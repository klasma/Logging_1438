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46219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46219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46219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46219</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46219</v>
      </c>
      <c r="F6" t="inlineStr">
        <is>
          <t>VÄSTRA GÖTALANDS LÄN</t>
        </is>
      </c>
      <c r="G6" t="inlineStr">
        <is>
          <t>DALS-ED</t>
        </is>
      </c>
      <c r="I6" t="n">
        <v>28.3</v>
      </c>
      <c r="J6" t="n">
        <v>5</v>
      </c>
      <c r="K6" t="n">
        <v>5</v>
      </c>
      <c r="L6" t="n">
        <v>4</v>
      </c>
      <c r="M6" t="n">
        <v>0</v>
      </c>
      <c r="N6" t="n">
        <v>0</v>
      </c>
      <c r="O6" t="n">
        <v>0</v>
      </c>
      <c r="P6" t="n">
        <v>0</v>
      </c>
      <c r="Q6" t="n">
        <v>4</v>
      </c>
      <c r="R6" t="n">
        <v>0</v>
      </c>
      <c r="S6" t="n">
        <v>12</v>
      </c>
      <c r="T6" t="n">
        <v>28</v>
      </c>
      <c r="U6" s="2" t="inlineStr">
        <is>
          <t>Dropptaggsvamp
Talltita
Tretåig hackspett
Vedskivlav
Blåmossa
Mandelriska
Rödgul trumpetsvamp
Stor revmossa
Västlig hakmossa
Spillkråka
Tjäder
Gröngöling</t>
        </is>
      </c>
      <c r="V6">
        <f>HYPERLINK("https://klasma.github.io/Logging_1438/artfynd/A 5403-2024 artfynd.xlsx", "A 5403-2024")</f>
        <v/>
      </c>
      <c r="W6">
        <f>HYPERLINK("https://klasma.github.io/Logging_1438/kartor/A 5403-2024 karta.png", "A 5403-2024")</f>
        <v/>
      </c>
      <c r="Y6">
        <f>HYPERLINK("https://klasma.github.io/Logging_1438/klagomål/A 5403-2024 FSC-klagomål.docx", "A 5403-2024")</f>
        <v/>
      </c>
      <c r="Z6">
        <f>HYPERLINK("https://klasma.github.io/Logging_1438/klagomålsmail/A 5403-2024 FSC-klagomål mail.docx", "A 5403-2024")</f>
        <v/>
      </c>
      <c r="AA6">
        <f>HYPERLINK("https://klasma.github.io/Logging_1438/tillsyn/A 5403-2024 tillsynsbegäran.docx", "A 5403-2024")</f>
        <v/>
      </c>
      <c r="AB6">
        <f>HYPERLINK("https://klasma.github.io/Logging_1438/tillsynsmail/A 5403-2024 tillsynsbegäran mail.docx", "A 5403-2024")</f>
        <v/>
      </c>
      <c r="AC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46219</v>
      </c>
      <c r="F7" t="inlineStr">
        <is>
          <t>VÄSTRA GÖTALANDS LÄN</t>
        </is>
      </c>
      <c r="G7" t="inlineStr">
        <is>
          <t>DALS-ED</t>
        </is>
      </c>
      <c r="I7" t="n">
        <v>9.1</v>
      </c>
      <c r="J7" t="n">
        <v>2</v>
      </c>
      <c r="K7" t="n">
        <v>6</v>
      </c>
      <c r="L7" t="n">
        <v>3</v>
      </c>
      <c r="M7" t="n">
        <v>2</v>
      </c>
      <c r="N7" t="n">
        <v>0</v>
      </c>
      <c r="O7" t="n">
        <v>0</v>
      </c>
      <c r="P7" t="n">
        <v>0</v>
      </c>
      <c r="Q7" t="n">
        <v>5</v>
      </c>
      <c r="R7" t="n">
        <v>2</v>
      </c>
      <c r="S7" t="n">
        <v>12</v>
      </c>
      <c r="T7" t="n">
        <v>21</v>
      </c>
      <c r="U7" s="2" t="inlineStr">
        <is>
          <t>Garnlav
Knärot
Blanksvart spiklav
Kattfotslav
Vedtrappmossa
Blåmossa
Bronshjon
Skuggmossa
Stor revmossa
Thomsons trägnagare
Vågbandad barkbock
Svartvit flugsnappare</t>
        </is>
      </c>
      <c r="V7">
        <f>HYPERLINK("https://klasma.github.io/Logging_1438/artfynd/A 22932-2026 artfynd.xlsx", "A 22932-2026")</f>
        <v/>
      </c>
      <c r="W7">
        <f>HYPERLINK("https://klasma.github.io/Logging_1438/kartor/A 22932-2026 karta.png", "A 22932-2026")</f>
        <v/>
      </c>
      <c r="X7">
        <f>HYPERLINK("https://klasma.github.io/Logging_1438/knärot/A 22932-2026 karta knärot.png", "A 22932-2026")</f>
        <v/>
      </c>
      <c r="Y7">
        <f>HYPERLINK("https://klasma.github.io/Logging_1438/klagomål/A 22932-2026 FSC-klagomål.docx", "A 22932-2026")</f>
        <v/>
      </c>
      <c r="Z7">
        <f>HYPERLINK("https://klasma.github.io/Logging_1438/klagomålsmail/A 22932-2026 FSC-klagomål mail.docx", "A 22932-2026")</f>
        <v/>
      </c>
      <c r="AA7">
        <f>HYPERLINK("https://klasma.github.io/Logging_1438/tillsyn/A 22932-2026 tillsynsbegäran.docx", "A 22932-2026")</f>
        <v/>
      </c>
      <c r="AB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46219</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46219</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46219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46219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46219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46219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46219</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s="2" t="inlineStr">
        <is>
          <t>Dropptaggsvamp
Barkticka
Blåmossa
Kornknutmossa
Mindre märgborre
Rävticka
Spillkråka</t>
        </is>
      </c>
      <c r="V14">
        <f>HYPERLINK("https://klasma.github.io/Logging_1438/artfynd/A 18326-2024 artfynd.xlsx", "A 18326-2024")</f>
        <v/>
      </c>
      <c r="W14">
        <f>HYPERLINK("https://klasma.github.io/Logging_1438/kartor/A 18326-2024 karta.png", "A 18326-2024")</f>
        <v/>
      </c>
      <c r="Y14">
        <f>HYPERLINK("https://klasma.github.io/Logging_1438/klagomål/A 18326-2024 FSC-klagomål.docx", "A 18326-2024")</f>
        <v/>
      </c>
      <c r="Z14">
        <f>HYPERLINK("https://klasma.github.io/Logging_1438/klagomålsmail/A 18326-2024 FSC-klagomål mail.docx", "A 18326-2024")</f>
        <v/>
      </c>
      <c r="AA14">
        <f>HYPERLINK("https://klasma.github.io/Logging_1438/tillsyn/A 18326-2024 tillsynsbegäran.docx", "A 18326-2024")</f>
        <v/>
      </c>
      <c r="AB14">
        <f>HYPERLINK("https://klasma.github.io/Logging_1438/tillsynsmail/A 18326-2024 tillsynsbegäran mail.docx", "A 18326-2024")</f>
        <v/>
      </c>
      <c r="AC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46219</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s="2" t="inlineStr">
        <is>
          <t>Kådvaxskinn
Nordtagging
Tretåig hackspett
Barkticka
Brandticka
Jättesvampmal
Mindre märgborre</t>
        </is>
      </c>
      <c r="V15">
        <f>HYPERLINK("https://klasma.github.io/Logging_1438/artfynd/A 28013-2025 artfynd.xlsx", "A 28013-2025")</f>
        <v/>
      </c>
      <c r="W15">
        <f>HYPERLINK("https://klasma.github.io/Logging_1438/kartor/A 28013-2025 karta.png", "A 28013-2025")</f>
        <v/>
      </c>
      <c r="Y15">
        <f>HYPERLINK("https://klasma.github.io/Logging_1438/klagomål/A 28013-2025 FSC-klagomål.docx", "A 28013-2025")</f>
        <v/>
      </c>
      <c r="Z15">
        <f>HYPERLINK("https://klasma.github.io/Logging_1438/klagomålsmail/A 28013-2025 FSC-klagomål mail.docx", "A 28013-2025")</f>
        <v/>
      </c>
      <c r="AA15">
        <f>HYPERLINK("https://klasma.github.io/Logging_1438/tillsyn/A 28013-2025 tillsynsbegäran.docx", "A 28013-2025")</f>
        <v/>
      </c>
      <c r="AB15">
        <f>HYPERLINK("https://klasma.github.io/Logging_1438/tillsynsmail/A 28013-2025 tillsynsbegäran mail.docx", "A 28013-2025")</f>
        <v/>
      </c>
      <c r="AC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46219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46219</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46219</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s="2" t="inlineStr">
        <is>
          <t>Brunpudrad nållav
Vedtrappmossa
Bronshjon
Thomsons trägnagare
Vedticka
Vågbandad barkbock</t>
        </is>
      </c>
      <c r="V18">
        <f>HYPERLINK("https://klasma.github.io/Logging_1438/artfynd/A 17502-2024 artfynd.xlsx", "A 17502-2024")</f>
        <v/>
      </c>
      <c r="W18">
        <f>HYPERLINK("https://klasma.github.io/Logging_1438/kartor/A 17502-2024 karta.png", "A 17502-2024")</f>
        <v/>
      </c>
      <c r="Y18">
        <f>HYPERLINK("https://klasma.github.io/Logging_1438/klagomål/A 17502-2024 FSC-klagomål.docx", "A 17502-2024")</f>
        <v/>
      </c>
      <c r="Z18">
        <f>HYPERLINK("https://klasma.github.io/Logging_1438/klagomålsmail/A 17502-2024 FSC-klagomål mail.docx", "A 17502-2024")</f>
        <v/>
      </c>
      <c r="AA18">
        <f>HYPERLINK("https://klasma.github.io/Logging_1438/tillsyn/A 17502-2024 tillsynsbegäran.docx", "A 17502-2024")</f>
        <v/>
      </c>
      <c r="AB18">
        <f>HYPERLINK("https://klasma.github.io/Logging_1438/tillsynsmail/A 17502-2024 tillsynsbegäran mail.docx", "A 17502-2024")</f>
        <v/>
      </c>
    </row>
    <row r="19" ht="15" customHeight="1">
      <c r="A19" t="inlineStr">
        <is>
          <t>A 44363-2023</t>
        </is>
      </c>
      <c r="B19" t="inlineStr">
        <is>
          <t>avverkningsanmälan</t>
        </is>
      </c>
      <c r="C19" t="inlineStr">
        <is>
          <t>Föryngringsavverkning</t>
        </is>
      </c>
      <c r="D19" s="1" t="n">
        <v>45188</v>
      </c>
      <c r="E19" s="1" t="n">
        <v>46219</v>
      </c>
      <c r="F19" t="inlineStr">
        <is>
          <t>VÄSTRA GÖTALANDS LÄN</t>
        </is>
      </c>
      <c r="G19" t="inlineStr">
        <is>
          <t>DALS-ED</t>
        </is>
      </c>
      <c r="I19" t="n">
        <v>3.5</v>
      </c>
      <c r="J19" t="n">
        <v>1</v>
      </c>
      <c r="K19" t="n">
        <v>3</v>
      </c>
      <c r="L19" t="n">
        <v>2</v>
      </c>
      <c r="M19" t="n">
        <v>0</v>
      </c>
      <c r="N19" t="n">
        <v>0</v>
      </c>
      <c r="O19" t="n">
        <v>0</v>
      </c>
      <c r="P19" t="n">
        <v>0</v>
      </c>
      <c r="Q19" t="n">
        <v>2</v>
      </c>
      <c r="R19" t="n">
        <v>0</v>
      </c>
      <c r="S19" t="n">
        <v>6</v>
      </c>
      <c r="T19" t="n">
        <v>12</v>
      </c>
      <c r="U19" s="2" t="inlineStr">
        <is>
          <t>Kattfotslav
Vedtrappmossa
Kornknutmossa
Västlig hakmossa
Zontaggsvamp
Spillkråka</t>
        </is>
      </c>
      <c r="V19">
        <f>HYPERLINK("https://klasma.github.io/Logging_1438/artfynd/A 44363-2023 artfynd.xlsx", "A 44363-2023")</f>
        <v/>
      </c>
      <c r="W19">
        <f>HYPERLINK("https://klasma.github.io/Logging_1438/kartor/A 44363-2023 karta.png", "A 44363-2023")</f>
        <v/>
      </c>
      <c r="Y19">
        <f>HYPERLINK("https://klasma.github.io/Logging_1438/klagomål/A 44363-2023 FSC-klagomål.docx", "A 44363-2023")</f>
        <v/>
      </c>
      <c r="Z19">
        <f>HYPERLINK("https://klasma.github.io/Logging_1438/klagomålsmail/A 44363-2023 FSC-klagomål mail.docx", "A 44363-2023")</f>
        <v/>
      </c>
      <c r="AA19">
        <f>HYPERLINK("https://klasma.github.io/Logging_1438/tillsyn/A 44363-2023 tillsynsbegäran.docx", "A 44363-2023")</f>
        <v/>
      </c>
      <c r="AB19">
        <f>HYPERLINK("https://klasma.github.io/Logging_1438/tillsynsmail/A 44363-2023 tillsynsbegäran mail.docx", "A 44363-2023")</f>
        <v/>
      </c>
      <c r="AC19">
        <f>HYPERLINK("https://klasma.github.io/Logging_1438/fåglar/A 44363-2023 prioriterade fågelarter.docx", "A 44363-2023")</f>
        <v/>
      </c>
    </row>
    <row r="20" ht="15" customHeight="1">
      <c r="A20" t="inlineStr">
        <is>
          <t>A 22922-2026</t>
        </is>
      </c>
      <c r="B20" t="inlineStr">
        <is>
          <t>avverkningsanmälan</t>
        </is>
      </c>
      <c r="C20" t="inlineStr">
        <is>
          <t>Föryngringsavverkning</t>
        </is>
      </c>
      <c r="D20" s="1" t="n">
        <v>46160</v>
      </c>
      <c r="E20" s="1" t="n">
        <v>46219</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s="2" t="inlineStr">
        <is>
          <t>Raggbock
Dropptaggsvamp
Talltagel
Vedskivlav
Vedtrappmossa
Bronshjon</t>
        </is>
      </c>
      <c r="V20">
        <f>HYPERLINK("https://klasma.github.io/Logging_1438/artfynd/A 22922-2026 artfynd.xlsx", "A 22922-2026")</f>
        <v/>
      </c>
      <c r="W20">
        <f>HYPERLINK("https://klasma.github.io/Logging_1438/kartor/A 22922-2026 karta.png", "A 22922-2026")</f>
        <v/>
      </c>
      <c r="Y20">
        <f>HYPERLINK("https://klasma.github.io/Logging_1438/klagomål/A 22922-2026 FSC-klagomål.docx", "A 22922-2026")</f>
        <v/>
      </c>
      <c r="Z20">
        <f>HYPERLINK("https://klasma.github.io/Logging_1438/klagomålsmail/A 22922-2026 FSC-klagomål mail.docx", "A 22922-2026")</f>
        <v/>
      </c>
      <c r="AA20">
        <f>HYPERLINK("https://klasma.github.io/Logging_1438/tillsyn/A 22922-2026 tillsynsbegäran.docx", "A 22922-2026")</f>
        <v/>
      </c>
      <c r="AB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46219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46219</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s="2" t="inlineStr">
        <is>
          <t>Talltita
Västlig hakmossa
Lopplummer (aggregat)</t>
        </is>
      </c>
      <c r="V22">
        <f>HYPERLINK("https://klasma.github.io/Logging_1438/artfynd/A 4645-2026 artfynd.xlsx", "A 4645-2026")</f>
        <v/>
      </c>
      <c r="W22">
        <f>HYPERLINK("https://klasma.github.io/Logging_1438/kartor/A 4645-2026 karta.png", "A 4645-2026")</f>
        <v/>
      </c>
      <c r="Y22">
        <f>HYPERLINK("https://klasma.github.io/Logging_1438/klagomål/A 4645-2026 FSC-klagomål.docx", "A 4645-2026")</f>
        <v/>
      </c>
      <c r="Z22">
        <f>HYPERLINK("https://klasma.github.io/Logging_1438/klagomålsmail/A 4645-2026 FSC-klagomål mail.docx", "A 4645-2026")</f>
        <v/>
      </c>
      <c r="AA22">
        <f>HYPERLINK("https://klasma.github.io/Logging_1438/tillsyn/A 4645-2026 tillsynsbegäran.docx", "A 4645-2026")</f>
        <v/>
      </c>
      <c r="AB22">
        <f>HYPERLINK("https://klasma.github.io/Logging_1438/tillsynsmail/A 4645-2026 tillsynsbegäran mail.docx", "A 4645-2026")</f>
        <v/>
      </c>
      <c r="AC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46219</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s="2" t="inlineStr">
        <is>
          <t>Garnlav
Sädesärla
Buskskvätta</t>
        </is>
      </c>
      <c r="V23">
        <f>HYPERLINK("https://klasma.github.io/Logging_1438/artfynd/A 36436-2023 artfynd.xlsx", "A 36436-2023")</f>
        <v/>
      </c>
      <c r="W23">
        <f>HYPERLINK("https://klasma.github.io/Logging_1438/kartor/A 36436-2023 karta.png", "A 36436-2023")</f>
        <v/>
      </c>
      <c r="X23">
        <f>HYPERLINK("https://klasma.github.io/Logging_1438/knärot/A 36436-2023 karta knärot.png", "A 36436-2023")</f>
        <v/>
      </c>
      <c r="Y23">
        <f>HYPERLINK("https://klasma.github.io/Logging_1438/klagomål/A 36436-2023 FSC-klagomål.docx", "A 36436-2023")</f>
        <v/>
      </c>
      <c r="Z23">
        <f>HYPERLINK("https://klasma.github.io/Logging_1438/klagomålsmail/A 36436-2023 FSC-klagomål mail.docx", "A 36436-2023")</f>
        <v/>
      </c>
      <c r="AA23">
        <f>HYPERLINK("https://klasma.github.io/Logging_1438/tillsyn/A 36436-2023 tillsynsbegäran.docx", "A 36436-2023")</f>
        <v/>
      </c>
      <c r="AB23">
        <f>HYPERLINK("https://klasma.github.io/Logging_1438/tillsynsmail/A 36436-2023 tillsynsbegäran mail.docx", "A 36436-2023")</f>
        <v/>
      </c>
      <c r="AC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46219</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s="2" t="inlineStr">
        <is>
          <t>Tretåig hackspett
Korallblylav
Spillkråka</t>
        </is>
      </c>
      <c r="V24">
        <f>HYPERLINK("https://klasma.github.io/Logging_1438/artfynd/A 18328-2024 artfynd.xlsx", "A 18328-2024")</f>
        <v/>
      </c>
      <c r="W24">
        <f>HYPERLINK("https://klasma.github.io/Logging_1438/kartor/A 18328-2024 karta.png", "A 18328-2024")</f>
        <v/>
      </c>
      <c r="Y24">
        <f>HYPERLINK("https://klasma.github.io/Logging_1438/klagomål/A 18328-2024 FSC-klagomål.docx", "A 18328-2024")</f>
        <v/>
      </c>
      <c r="Z24">
        <f>HYPERLINK("https://klasma.github.io/Logging_1438/klagomålsmail/A 18328-2024 FSC-klagomål mail.docx", "A 18328-2024")</f>
        <v/>
      </c>
      <c r="AA24">
        <f>HYPERLINK("https://klasma.github.io/Logging_1438/tillsyn/A 18328-2024 tillsynsbegäran.docx", "A 18328-2024")</f>
        <v/>
      </c>
      <c r="AB24">
        <f>HYPERLINK("https://klasma.github.io/Logging_1438/tillsynsmail/A 18328-2024 tillsynsbegäran mail.docx", "A 18328-2024")</f>
        <v/>
      </c>
      <c r="AC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46219</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s="2" t="inlineStr">
        <is>
          <t>Garnlav
Dropptaggsvamp
Kortskaftad ärgspik</t>
        </is>
      </c>
      <c r="V25">
        <f>HYPERLINK("https://klasma.github.io/Logging_1438/artfynd/A 22939-2026 artfynd.xlsx", "A 22939-2026")</f>
        <v/>
      </c>
      <c r="W25">
        <f>HYPERLINK("https://klasma.github.io/Logging_1438/kartor/A 22939-2026 karta.png", "A 22939-2026")</f>
        <v/>
      </c>
      <c r="Y25">
        <f>HYPERLINK("https://klasma.github.io/Logging_1438/klagomål/A 22939-2026 FSC-klagomål.docx", "A 22939-2026")</f>
        <v/>
      </c>
      <c r="Z25">
        <f>HYPERLINK("https://klasma.github.io/Logging_1438/klagomålsmail/A 22939-2026 FSC-klagomål mail.docx", "A 22939-2026")</f>
        <v/>
      </c>
      <c r="AA25">
        <f>HYPERLINK("https://klasma.github.io/Logging_1438/tillsyn/A 22939-2026 tillsynsbegäran.docx", "A 22939-2026")</f>
        <v/>
      </c>
      <c r="AB25">
        <f>HYPERLINK("https://klasma.github.io/Logging_1438/tillsynsmail/A 22939-2026 tillsynsbegäran mail.docx", "A 22939-2026")</f>
        <v/>
      </c>
    </row>
    <row r="26" ht="15" customHeight="1">
      <c r="A26" t="inlineStr">
        <is>
          <t>A 47665-2024</t>
        </is>
      </c>
      <c r="B26" t="inlineStr">
        <is>
          <t>avverkningsanmälan</t>
        </is>
      </c>
      <c r="C26" t="inlineStr">
        <is>
          <t>Föryngringsavverkning</t>
        </is>
      </c>
      <c r="D26" s="1" t="n">
        <v>45588</v>
      </c>
      <c r="E26" s="1" t="n">
        <v>46219</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s="2" t="inlineStr">
        <is>
          <t>Tretåig hackspett
Spillkråka</t>
        </is>
      </c>
      <c r="V26">
        <f>HYPERLINK("https://klasma.github.io/Logging_1438/artfynd/A 47665-2024 artfynd.xlsx", "A 47665-2024")</f>
        <v/>
      </c>
      <c r="W26">
        <f>HYPERLINK("https://klasma.github.io/Logging_1438/kartor/A 47665-2024 karta.png", "A 47665-2024")</f>
        <v/>
      </c>
      <c r="Y26">
        <f>HYPERLINK("https://klasma.github.io/Logging_1438/klagomål/A 47665-2024 FSC-klagomål.docx", "A 47665-2024")</f>
        <v/>
      </c>
      <c r="Z26">
        <f>HYPERLINK("https://klasma.github.io/Logging_1438/klagomålsmail/A 47665-2024 FSC-klagomål mail.docx", "A 47665-2024")</f>
        <v/>
      </c>
      <c r="AA26">
        <f>HYPERLINK("https://klasma.github.io/Logging_1438/tillsyn/A 47665-2024 tillsynsbegäran.docx", "A 47665-2024")</f>
        <v/>
      </c>
      <c r="AB26">
        <f>HYPERLINK("https://klasma.github.io/Logging_1438/tillsynsmail/A 47665-2024 tillsynsbegäran mail.docx", "A 47665-2024")</f>
        <v/>
      </c>
      <c r="AC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46219</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s="2" t="inlineStr">
        <is>
          <t>Motaggsvamp
Älg</t>
        </is>
      </c>
      <c r="V27">
        <f>HYPERLINK("https://klasma.github.io/Logging_1438/artfynd/A 43589-2024 artfynd.xlsx", "A 43589-2024")</f>
        <v/>
      </c>
      <c r="W27">
        <f>HYPERLINK("https://klasma.github.io/Logging_1438/kartor/A 43589-2024 karta.png", "A 43589-2024")</f>
        <v/>
      </c>
      <c r="Y27">
        <f>HYPERLINK("https://klasma.github.io/Logging_1438/klagomål/A 43589-2024 FSC-klagomål.docx", "A 43589-2024")</f>
        <v/>
      </c>
      <c r="Z27">
        <f>HYPERLINK("https://klasma.github.io/Logging_1438/klagomålsmail/A 43589-2024 FSC-klagomål mail.docx", "A 43589-2024")</f>
        <v/>
      </c>
      <c r="AA27">
        <f>HYPERLINK("https://klasma.github.io/Logging_1438/tillsyn/A 43589-2024 tillsynsbegäran.docx", "A 43589-2024")</f>
        <v/>
      </c>
      <c r="AB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46219</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s="2" t="inlineStr">
        <is>
          <t>Kattfotslav
Kolflarnlav</t>
        </is>
      </c>
      <c r="V28">
        <f>HYPERLINK("https://klasma.github.io/Logging_1438/artfynd/A 6454-2022 artfynd.xlsx", "A 6454-2022")</f>
        <v/>
      </c>
      <c r="W28">
        <f>HYPERLINK("https://klasma.github.io/Logging_1438/kartor/A 6454-2022 karta.png", "A 6454-2022")</f>
        <v/>
      </c>
      <c r="Y28">
        <f>HYPERLINK("https://klasma.github.io/Logging_1438/klagomål/A 6454-2022 FSC-klagomål.docx", "A 6454-2022")</f>
        <v/>
      </c>
      <c r="Z28">
        <f>HYPERLINK("https://klasma.github.io/Logging_1438/klagomålsmail/A 6454-2022 FSC-klagomål mail.docx", "A 6454-2022")</f>
        <v/>
      </c>
      <c r="AA28">
        <f>HYPERLINK("https://klasma.github.io/Logging_1438/tillsyn/A 6454-2022 tillsynsbegäran.docx", "A 6454-2022")</f>
        <v/>
      </c>
      <c r="AB28">
        <f>HYPERLINK("https://klasma.github.io/Logging_1438/tillsynsmail/A 6454-2022 tillsynsbegäran mail.docx", "A 6454-2022")</f>
        <v/>
      </c>
    </row>
    <row r="29" ht="15" customHeight="1">
      <c r="A29" t="inlineStr">
        <is>
          <t>A 49010-2025</t>
        </is>
      </c>
      <c r="B29" t="inlineStr">
        <is>
          <t>avverkningsanmälan</t>
        </is>
      </c>
      <c r="C29" t="inlineStr">
        <is>
          <t>Föryngringsavverkning</t>
        </is>
      </c>
      <c r="D29" s="1" t="n">
        <v>45937</v>
      </c>
      <c r="E29" s="1" t="n">
        <v>46219</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s="2" t="inlineStr">
        <is>
          <t>Knärot
Spillkråka</t>
        </is>
      </c>
      <c r="V29">
        <f>HYPERLINK("https://klasma.github.io/Logging_1438/artfynd/A 49010-2025 artfynd.xlsx", "A 49010-2025")</f>
        <v/>
      </c>
      <c r="W29">
        <f>HYPERLINK("https://klasma.github.io/Logging_1438/kartor/A 49010-2025 karta.png", "A 49010-2025")</f>
        <v/>
      </c>
      <c r="X29">
        <f>HYPERLINK("https://klasma.github.io/Logging_1438/knärot/A 49010-2025 karta knärot.png", "A 49010-2025")</f>
        <v/>
      </c>
      <c r="Y29">
        <f>HYPERLINK("https://klasma.github.io/Logging_1438/klagomål/A 49010-2025 FSC-klagomål.docx", "A 49010-2025")</f>
        <v/>
      </c>
      <c r="Z29">
        <f>HYPERLINK("https://klasma.github.io/Logging_1438/klagomålsmail/A 49010-2025 FSC-klagomål mail.docx", "A 49010-2025")</f>
        <v/>
      </c>
      <c r="AA29">
        <f>HYPERLINK("https://klasma.github.io/Logging_1438/tillsyn/A 49010-2025 tillsynsbegäran.docx", "A 49010-2025")</f>
        <v/>
      </c>
      <c r="AB29">
        <f>HYPERLINK("https://klasma.github.io/Logging_1438/tillsynsmail/A 49010-2025 tillsynsbegäran mail.docx", "A 49010-2025")</f>
        <v/>
      </c>
      <c r="AC29">
        <f>HYPERLINK("https://klasma.github.io/Logging_1438/fåglar/A 49010-2025 prioriterade fågelarter.docx", "A 49010-2025")</f>
        <v/>
      </c>
    </row>
    <row r="30" ht="15" customHeight="1">
      <c r="A30" t="inlineStr">
        <is>
          <t>A 64717-2023</t>
        </is>
      </c>
      <c r="B30" t="inlineStr">
        <is>
          <t>avverkningsanmälan</t>
        </is>
      </c>
      <c r="C30" t="inlineStr">
        <is>
          <t>Föryngringsavverkning</t>
        </is>
      </c>
      <c r="D30" s="1" t="n">
        <v>45281</v>
      </c>
      <c r="E30" s="1" t="n">
        <v>46219</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s="2" t="inlineStr">
        <is>
          <t>Rävticka
Spillkråka</t>
        </is>
      </c>
      <c r="V30">
        <f>HYPERLINK("https://klasma.github.io/Logging_1438/artfynd/A 64717-2023 artfynd.xlsx", "A 64717-2023")</f>
        <v/>
      </c>
      <c r="W30">
        <f>HYPERLINK("https://klasma.github.io/Logging_1438/kartor/A 64717-2023 karta.png", "A 64717-2023")</f>
        <v/>
      </c>
      <c r="Y30">
        <f>HYPERLINK("https://klasma.github.io/Logging_1438/klagomål/A 64717-2023 FSC-klagomål.docx", "A 64717-2023")</f>
        <v/>
      </c>
      <c r="Z30">
        <f>HYPERLINK("https://klasma.github.io/Logging_1438/klagomålsmail/A 64717-2023 FSC-klagomål mail.docx", "A 64717-2023")</f>
        <v/>
      </c>
      <c r="AA30">
        <f>HYPERLINK("https://klasma.github.io/Logging_1438/tillsyn/A 64717-2023 tillsynsbegäran.docx", "A 64717-2023")</f>
        <v/>
      </c>
      <c r="AB30">
        <f>HYPERLINK("https://klasma.github.io/Logging_1438/tillsynsmail/A 64717-2023 tillsynsbegäran mail.docx", "A 64717-2023")</f>
        <v/>
      </c>
      <c r="AC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46219</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s="2" t="inlineStr">
        <is>
          <t>Spillkråka
Revlummer</t>
        </is>
      </c>
      <c r="V31">
        <f>HYPERLINK("https://klasma.github.io/Logging_1438/artfynd/A 43908-2024 artfynd.xlsx", "A 43908-2024")</f>
        <v/>
      </c>
      <c r="W31">
        <f>HYPERLINK("https://klasma.github.io/Logging_1438/kartor/A 43908-2024 karta.png", "A 43908-2024")</f>
        <v/>
      </c>
      <c r="Y31">
        <f>HYPERLINK("https://klasma.github.io/Logging_1438/klagomål/A 43908-2024 FSC-klagomål.docx", "A 43908-2024")</f>
        <v/>
      </c>
      <c r="Z31">
        <f>HYPERLINK("https://klasma.github.io/Logging_1438/klagomålsmail/A 43908-2024 FSC-klagomål mail.docx", "A 43908-2024")</f>
        <v/>
      </c>
      <c r="AA31">
        <f>HYPERLINK("https://klasma.github.io/Logging_1438/tillsyn/A 43908-2024 tillsynsbegäran.docx", "A 43908-2024")</f>
        <v/>
      </c>
      <c r="AB31">
        <f>HYPERLINK("https://klasma.github.io/Logging_1438/tillsynsmail/A 43908-2024 tillsynsbegäran mail.docx", "A 43908-2024")</f>
        <v/>
      </c>
      <c r="AC31">
        <f>HYPERLINK("https://klasma.github.io/Logging_1438/fåglar/A 43908-2024 prioriterade fågelarter.docx", "A 43908-2024")</f>
        <v/>
      </c>
    </row>
    <row r="32" ht="15" customHeight="1">
      <c r="A32" t="inlineStr">
        <is>
          <t>A 4113-2023</t>
        </is>
      </c>
      <c r="B32" t="inlineStr">
        <is>
          <t>avverkningsanmälan</t>
        </is>
      </c>
      <c r="C32" t="inlineStr">
        <is>
          <t>Föryngringsavverkning</t>
        </is>
      </c>
      <c r="D32" s="1" t="n">
        <v>44952</v>
      </c>
      <c r="E32" s="1" t="n">
        <v>46219</v>
      </c>
      <c r="F32" t="inlineStr">
        <is>
          <t>VÄSTRA GÖTALANDS LÄN</t>
        </is>
      </c>
      <c r="G32" t="inlineStr">
        <is>
          <t>DALS-ED</t>
        </is>
      </c>
      <c r="I32" t="n">
        <v>7.9</v>
      </c>
      <c r="J32" t="n">
        <v>0</v>
      </c>
      <c r="K32" t="n">
        <v>0</v>
      </c>
      <c r="L32" t="n">
        <v>0</v>
      </c>
      <c r="M32" t="n">
        <v>1</v>
      </c>
      <c r="N32" t="n">
        <v>0</v>
      </c>
      <c r="O32" t="n">
        <v>0</v>
      </c>
      <c r="P32" t="n">
        <v>0</v>
      </c>
      <c r="Q32" t="n">
        <v>1</v>
      </c>
      <c r="R32" t="n">
        <v>1</v>
      </c>
      <c r="S32" t="n">
        <v>1</v>
      </c>
      <c r="T32" t="n">
        <v>1</v>
      </c>
      <c r="U32" s="2" t="inlineStr">
        <is>
          <t>Slåttergubbe</t>
        </is>
      </c>
      <c r="V32">
        <f>HYPERLINK("https://klasma.github.io/Logging_1438/artfynd/A 4113-2023 artfynd.xlsx", "A 4113-2023")</f>
        <v/>
      </c>
      <c r="W32">
        <f>HYPERLINK("https://klasma.github.io/Logging_1438/kartor/A 4113-2023 karta.png", "A 4113-2023")</f>
        <v/>
      </c>
      <c r="Y32">
        <f>HYPERLINK("https://klasma.github.io/Logging_1438/klagomål/A 4113-2023 FSC-klagomål.docx", "A 4113-2023")</f>
        <v/>
      </c>
      <c r="Z32">
        <f>HYPERLINK("https://klasma.github.io/Logging_1438/klagomålsmail/A 4113-2023 FSC-klagomål mail.docx", "A 4113-2023")</f>
        <v/>
      </c>
      <c r="AA32">
        <f>HYPERLINK("https://klasma.github.io/Logging_1438/tillsyn/A 4113-2023 tillsynsbegäran.docx", "A 4113-2023")</f>
        <v/>
      </c>
      <c r="AB32">
        <f>HYPERLINK("https://klasma.github.io/Logging_1438/tillsynsmail/A 4113-2023 tillsynsbegäran mail.docx", "A 4113-2023")</f>
        <v/>
      </c>
    </row>
    <row r="33" ht="15" customHeight="1">
      <c r="A33" t="inlineStr">
        <is>
          <t>A 23862-2023</t>
        </is>
      </c>
      <c r="B33" t="inlineStr">
        <is>
          <t>avverkningsanmälan</t>
        </is>
      </c>
      <c r="C33" t="inlineStr">
        <is>
          <t>Avverkning för annat ändamål</t>
        </is>
      </c>
      <c r="D33" s="1" t="n">
        <v>45075</v>
      </c>
      <c r="E33" s="1" t="n">
        <v>46219</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s="2" t="inlineStr">
        <is>
          <t>Jungfrulin</t>
        </is>
      </c>
      <c r="V33">
        <f>HYPERLINK("https://klasma.github.io/Logging_1438/artfynd/A 23862-2023 artfynd.xlsx", "A 23862-2023")</f>
        <v/>
      </c>
      <c r="W33">
        <f>HYPERLINK("https://klasma.github.io/Logging_1438/kartor/A 23862-2023 karta.png", "A 23862-2023")</f>
        <v/>
      </c>
      <c r="Y33">
        <f>HYPERLINK("https://klasma.github.io/Logging_1438/klagomål/A 23862-2023 FSC-klagomål.docx", "A 23862-2023")</f>
        <v/>
      </c>
      <c r="Z33">
        <f>HYPERLINK("https://klasma.github.io/Logging_1438/klagomålsmail/A 23862-2023 FSC-klagomål mail.docx", "A 23862-2023")</f>
        <v/>
      </c>
      <c r="AA33">
        <f>HYPERLINK("https://klasma.github.io/Logging_1438/tillsyn/A 23862-2023 tillsynsbegäran.docx", "A 23862-2023")</f>
        <v/>
      </c>
      <c r="AB33">
        <f>HYPERLINK("https://klasma.github.io/Logging_1438/tillsynsmail/A 23862-2023 tillsynsbegäran mail.docx", "A 23862-2023")</f>
        <v/>
      </c>
    </row>
    <row r="34" ht="15" customHeight="1">
      <c r="A34" t="inlineStr">
        <is>
          <t>A 14793-2023</t>
        </is>
      </c>
      <c r="B34" t="inlineStr">
        <is>
          <t>avverkningsanmälan</t>
        </is>
      </c>
      <c r="C34" t="inlineStr">
        <is>
          <t>Föryngringsavverkning</t>
        </is>
      </c>
      <c r="D34" s="1" t="n">
        <v>45014</v>
      </c>
      <c r="E34" s="1" t="n">
        <v>46219</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s="2" t="inlineStr">
        <is>
          <t>Slåttergubbe</t>
        </is>
      </c>
      <c r="V34">
        <f>HYPERLINK("https://klasma.github.io/Logging_1438/artfynd/A 14793-2023 artfynd.xlsx", "A 14793-2023")</f>
        <v/>
      </c>
      <c r="W34">
        <f>HYPERLINK("https://klasma.github.io/Logging_1438/kartor/A 14793-2023 karta.png", "A 14793-2023")</f>
        <v/>
      </c>
      <c r="Y34">
        <f>HYPERLINK("https://klasma.github.io/Logging_1438/klagomål/A 14793-2023 FSC-klagomål.docx", "A 14793-2023")</f>
        <v/>
      </c>
      <c r="Z34">
        <f>HYPERLINK("https://klasma.github.io/Logging_1438/klagomålsmail/A 14793-2023 FSC-klagomål mail.docx", "A 14793-2023")</f>
        <v/>
      </c>
      <c r="AA34">
        <f>HYPERLINK("https://klasma.github.io/Logging_1438/tillsyn/A 14793-2023 tillsynsbegäran.docx", "A 14793-2023")</f>
        <v/>
      </c>
      <c r="AB34">
        <f>HYPERLINK("https://klasma.github.io/Logging_1438/tillsynsmail/A 14793-2023 tillsynsbegäran mail.docx", "A 14793-2023")</f>
        <v/>
      </c>
    </row>
    <row r="35" ht="15" customHeight="1">
      <c r="A35" t="inlineStr">
        <is>
          <t>A 47311-2025</t>
        </is>
      </c>
      <c r="B35" t="inlineStr">
        <is>
          <t>avverkningsanmälan</t>
        </is>
      </c>
      <c r="C35" t="inlineStr">
        <is>
          <t>Föryngringsavverkning</t>
        </is>
      </c>
      <c r="D35" s="1" t="n">
        <v>45930</v>
      </c>
      <c r="E35" s="1" t="n">
        <v>46219</v>
      </c>
      <c r="F35" t="inlineStr">
        <is>
          <t>VÄSTRA GÖTALANDS LÄN</t>
        </is>
      </c>
      <c r="G35" t="inlineStr">
        <is>
          <t>DALS-ED</t>
        </is>
      </c>
      <c r="I35" t="n">
        <v>1.3</v>
      </c>
      <c r="J35" t="n">
        <v>0</v>
      </c>
      <c r="K35" t="n">
        <v>0</v>
      </c>
      <c r="L35" t="n">
        <v>0</v>
      </c>
      <c r="M35" t="n">
        <v>0</v>
      </c>
      <c r="N35" t="n">
        <v>1</v>
      </c>
      <c r="O35" t="n">
        <v>0</v>
      </c>
      <c r="P35" t="n">
        <v>0</v>
      </c>
      <c r="Q35" t="n">
        <v>1</v>
      </c>
      <c r="R35" t="n">
        <v>1</v>
      </c>
      <c r="S35" t="n">
        <v>1</v>
      </c>
      <c r="T35" t="n">
        <v>1</v>
      </c>
      <c r="U35" s="2" t="inlineStr">
        <is>
          <t>Kantlök</t>
        </is>
      </c>
      <c r="V35">
        <f>HYPERLINK("https://klasma.github.io/Logging_1438/artfynd/A 47311-2025 artfynd.xlsx", "A 47311-2025")</f>
        <v/>
      </c>
      <c r="W35">
        <f>HYPERLINK("https://klasma.github.io/Logging_1438/kartor/A 47311-2025 karta.png", "A 47311-2025")</f>
        <v/>
      </c>
      <c r="Y35">
        <f>HYPERLINK("https://klasma.github.io/Logging_1438/klagomål/A 47311-2025 FSC-klagomål.docx", "A 47311-2025")</f>
        <v/>
      </c>
      <c r="Z35">
        <f>HYPERLINK("https://klasma.github.io/Logging_1438/klagomålsmail/A 47311-2025 FSC-klagomål mail.docx", "A 47311-2025")</f>
        <v/>
      </c>
      <c r="AA35">
        <f>HYPERLINK("https://klasma.github.io/Logging_1438/tillsyn/A 47311-2025 tillsynsbegäran.docx", "A 47311-2025")</f>
        <v/>
      </c>
      <c r="AB35">
        <f>HYPERLINK("https://klasma.github.io/Logging_1438/tillsynsmail/A 47311-2025 tillsynsbegäran mail.docx", "A 47311-2025")</f>
        <v/>
      </c>
    </row>
    <row r="36" ht="15" customHeight="1">
      <c r="A36" t="inlineStr">
        <is>
          <t>A 32284-2023</t>
        </is>
      </c>
      <c r="B36" t="inlineStr">
        <is>
          <t>avverkningsanmälan</t>
        </is>
      </c>
      <c r="C36" t="inlineStr">
        <is>
          <t>Föryngringsavverkning</t>
        </is>
      </c>
      <c r="D36" s="1" t="n">
        <v>45120</v>
      </c>
      <c r="E36" s="1" t="n">
        <v>46219</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s="2" t="inlineStr">
        <is>
          <t>Mindre bastardsvärmare</t>
        </is>
      </c>
      <c r="V36">
        <f>HYPERLINK("https://klasma.github.io/Logging_1438/artfynd/A 32284-2023 artfynd.xlsx", "A 32284-2023")</f>
        <v/>
      </c>
      <c r="W36">
        <f>HYPERLINK("https://klasma.github.io/Logging_1438/kartor/A 32284-2023 karta.png", "A 32284-2023")</f>
        <v/>
      </c>
      <c r="Y36">
        <f>HYPERLINK("https://klasma.github.io/Logging_1438/klagomål/A 32284-2023 FSC-klagomål.docx", "A 32284-2023")</f>
        <v/>
      </c>
      <c r="Z36">
        <f>HYPERLINK("https://klasma.github.io/Logging_1438/klagomålsmail/A 32284-2023 FSC-klagomål mail.docx", "A 32284-2023")</f>
        <v/>
      </c>
      <c r="AA36">
        <f>HYPERLINK("https://klasma.github.io/Logging_1438/tillsyn/A 32284-2023 tillsynsbegäran.docx", "A 32284-2023")</f>
        <v/>
      </c>
      <c r="AB36">
        <f>HYPERLINK("https://klasma.github.io/Logging_1438/tillsynsmail/A 32284-2023 tillsynsbegäran mail.docx", "A 32284-2023")</f>
        <v/>
      </c>
    </row>
    <row r="37" ht="15" customHeight="1">
      <c r="A37" t="inlineStr">
        <is>
          <t>A 43216-2023</t>
        </is>
      </c>
      <c r="B37" t="inlineStr">
        <is>
          <t>avverkningsanmälan</t>
        </is>
      </c>
      <c r="C37" t="inlineStr">
        <is>
          <t>Föryngringsavverkning</t>
        </is>
      </c>
      <c r="D37" s="1" t="n">
        <v>45183</v>
      </c>
      <c r="E37" s="1" t="n">
        <v>46219</v>
      </c>
      <c r="F37" t="inlineStr">
        <is>
          <t>VÄSTRA GÖTALANDS LÄN</t>
        </is>
      </c>
      <c r="G37" t="inlineStr">
        <is>
          <t>DALS-ED</t>
        </is>
      </c>
      <c r="I37" t="n">
        <v>7.3</v>
      </c>
      <c r="J37" t="n">
        <v>1</v>
      </c>
      <c r="K37" t="n">
        <v>0</v>
      </c>
      <c r="L37" t="n">
        <v>0</v>
      </c>
      <c r="M37" t="n">
        <v>0</v>
      </c>
      <c r="N37" t="n">
        <v>0</v>
      </c>
      <c r="O37" t="n">
        <v>0</v>
      </c>
      <c r="P37" t="n">
        <v>0</v>
      </c>
      <c r="Q37" t="n">
        <v>0</v>
      </c>
      <c r="R37" t="n">
        <v>0</v>
      </c>
      <c r="S37" t="n">
        <v>1</v>
      </c>
      <c r="T37" t="n">
        <v>4</v>
      </c>
      <c r="U37" s="2" t="inlineStr">
        <is>
          <t>Spillkråka</t>
        </is>
      </c>
      <c r="V37">
        <f>HYPERLINK("https://klasma.github.io/Logging_1438/artfynd/A 43216-2023 artfynd.xlsx", "A 43216-2023")</f>
        <v/>
      </c>
      <c r="W37">
        <f>HYPERLINK("https://klasma.github.io/Logging_1438/kartor/A 43216-2023 karta.png", "A 43216-2023")</f>
        <v/>
      </c>
      <c r="Y37">
        <f>HYPERLINK("https://klasma.github.io/Logging_1438/klagomål/A 43216-2023 FSC-klagomål.docx", "A 43216-2023")</f>
        <v/>
      </c>
      <c r="Z37">
        <f>HYPERLINK("https://klasma.github.io/Logging_1438/klagomålsmail/A 43216-2023 FSC-klagomål mail.docx", "A 43216-2023")</f>
        <v/>
      </c>
      <c r="AA37">
        <f>HYPERLINK("https://klasma.github.io/Logging_1438/tillsyn/A 43216-2023 tillsynsbegäran.docx", "A 43216-2023")</f>
        <v/>
      </c>
      <c r="AB37">
        <f>HYPERLINK("https://klasma.github.io/Logging_1438/tillsynsmail/A 43216-2023 tillsynsbegäran mail.docx", "A 43216-2023")</f>
        <v/>
      </c>
      <c r="AC37">
        <f>HYPERLINK("https://klasma.github.io/Logging_1438/fåglar/A 43216-2023 prioriterade fågelarter.docx", "A 43216-2023")</f>
        <v/>
      </c>
    </row>
    <row r="38" ht="15" customHeight="1">
      <c r="A38" t="inlineStr">
        <is>
          <t>A 24788-2025</t>
        </is>
      </c>
      <c r="B38" t="inlineStr">
        <is>
          <t>avverkningsanmälan</t>
        </is>
      </c>
      <c r="C38" t="inlineStr">
        <is>
          <t>Föryngringsavverkning</t>
        </is>
      </c>
      <c r="D38" s="1" t="n">
        <v>45799</v>
      </c>
      <c r="E38" s="1" t="n">
        <v>46219</v>
      </c>
      <c r="F38" t="inlineStr">
        <is>
          <t>VÄSTRA GÖTALANDS LÄN</t>
        </is>
      </c>
      <c r="G38" t="inlineStr">
        <is>
          <t>DALS-ED</t>
        </is>
      </c>
      <c r="I38" t="n">
        <v>4.1</v>
      </c>
      <c r="J38" t="n">
        <v>0</v>
      </c>
      <c r="K38" t="n">
        <v>0</v>
      </c>
      <c r="L38" t="n">
        <v>1</v>
      </c>
      <c r="M38" t="n">
        <v>0</v>
      </c>
      <c r="N38" t="n">
        <v>0</v>
      </c>
      <c r="O38" t="n">
        <v>0</v>
      </c>
      <c r="P38" t="n">
        <v>0</v>
      </c>
      <c r="Q38" t="n">
        <v>1</v>
      </c>
      <c r="R38" t="n">
        <v>0</v>
      </c>
      <c r="S38" t="n">
        <v>1</v>
      </c>
      <c r="T38" t="n">
        <v>1</v>
      </c>
      <c r="U38" s="2" t="inlineStr">
        <is>
          <t>Kådvaxskinn</t>
        </is>
      </c>
      <c r="V38">
        <f>HYPERLINK("https://klasma.github.io/Logging_1438/artfynd/A 24788-2025 artfynd.xlsx", "A 24788-2025")</f>
        <v/>
      </c>
      <c r="W38">
        <f>HYPERLINK("https://klasma.github.io/Logging_1438/kartor/A 24788-2025 karta.png", "A 24788-2025")</f>
        <v/>
      </c>
      <c r="Y38">
        <f>HYPERLINK("https://klasma.github.io/Logging_1438/klagomål/A 24788-2025 FSC-klagomål.docx", "A 24788-2025")</f>
        <v/>
      </c>
      <c r="Z38">
        <f>HYPERLINK("https://klasma.github.io/Logging_1438/klagomålsmail/A 24788-2025 FSC-klagomål mail.docx", "A 24788-2025")</f>
        <v/>
      </c>
      <c r="AA38">
        <f>HYPERLINK("https://klasma.github.io/Logging_1438/tillsyn/A 24788-2025 tillsynsbegäran.docx", "A 24788-2025")</f>
        <v/>
      </c>
      <c r="AB38">
        <f>HYPERLINK("https://klasma.github.io/Logging_1438/tillsynsmail/A 24788-2025 tillsynsbegäran mail.docx", "A 24788-2025")</f>
        <v/>
      </c>
    </row>
    <row r="39" ht="15" customHeight="1">
      <c r="A39" t="inlineStr">
        <is>
          <t>A 25638-2025</t>
        </is>
      </c>
      <c r="B39" t="inlineStr">
        <is>
          <t>avverkningsanmälan</t>
        </is>
      </c>
      <c r="C39" t="inlineStr">
        <is>
          <t>Föryngringsavverkning</t>
        </is>
      </c>
      <c r="D39" s="1" t="n">
        <v>45803</v>
      </c>
      <c r="E39" s="1" t="n">
        <v>46219</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s="2" t="inlineStr">
        <is>
          <t>Nattskärra</t>
        </is>
      </c>
      <c r="V39">
        <f>HYPERLINK("https://klasma.github.io/Logging_1438/artfynd/A 25638-2025 artfynd.xlsx", "A 25638-2025")</f>
        <v/>
      </c>
      <c r="W39">
        <f>HYPERLINK("https://klasma.github.io/Logging_1438/kartor/A 25638-2025 karta.png", "A 25638-2025")</f>
        <v/>
      </c>
      <c r="Y39">
        <f>HYPERLINK("https://klasma.github.io/Logging_1438/klagomål/A 25638-2025 FSC-klagomål.docx", "A 25638-2025")</f>
        <v/>
      </c>
      <c r="Z39">
        <f>HYPERLINK("https://klasma.github.io/Logging_1438/klagomålsmail/A 25638-2025 FSC-klagomål mail.docx", "A 25638-2025")</f>
        <v/>
      </c>
      <c r="AA39">
        <f>HYPERLINK("https://klasma.github.io/Logging_1438/tillsyn/A 25638-2025 tillsynsbegäran.docx", "A 25638-2025")</f>
        <v/>
      </c>
      <c r="AB39">
        <f>HYPERLINK("https://klasma.github.io/Logging_1438/tillsynsmail/A 25638-2025 tillsynsbegäran mail.docx", "A 25638-2025")</f>
        <v/>
      </c>
      <c r="AC39">
        <f>HYPERLINK("https://klasma.github.io/Logging_1438/fåglar/A 25638-2025 prioriterade fågelarter.docx", "A 25638-2025")</f>
        <v/>
      </c>
    </row>
    <row r="40" ht="15" customHeight="1">
      <c r="A40" t="inlineStr">
        <is>
          <t>A 40355-2022</t>
        </is>
      </c>
      <c r="B40" t="inlineStr">
        <is>
          <t>avverkningsanmälan</t>
        </is>
      </c>
      <c r="C40" t="inlineStr">
        <is>
          <t>Föryngringsavverkning</t>
        </is>
      </c>
      <c r="D40" s="1" t="n">
        <v>44818</v>
      </c>
      <c r="E40" s="1" t="n">
        <v>46219</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s="2" t="inlineStr">
        <is>
          <t>Kantlök</t>
        </is>
      </c>
      <c r="V40">
        <f>HYPERLINK("https://klasma.github.io/Logging_1438/artfynd/A 40355-2022 artfynd.xlsx", "A 40355-2022")</f>
        <v/>
      </c>
      <c r="W40">
        <f>HYPERLINK("https://klasma.github.io/Logging_1438/kartor/A 40355-2022 karta.png", "A 40355-2022")</f>
        <v/>
      </c>
      <c r="Y40">
        <f>HYPERLINK("https://klasma.github.io/Logging_1438/klagomål/A 40355-2022 FSC-klagomål.docx", "A 40355-2022")</f>
        <v/>
      </c>
      <c r="Z40">
        <f>HYPERLINK("https://klasma.github.io/Logging_1438/klagomålsmail/A 40355-2022 FSC-klagomål mail.docx", "A 40355-2022")</f>
        <v/>
      </c>
      <c r="AA40">
        <f>HYPERLINK("https://klasma.github.io/Logging_1438/tillsyn/A 40355-2022 tillsynsbegäran.docx", "A 40355-2022")</f>
        <v/>
      </c>
      <c r="AB40">
        <f>HYPERLINK("https://klasma.github.io/Logging_1438/tillsynsmail/A 40355-2022 tillsynsbegäran mail.docx", "A 40355-2022")</f>
        <v/>
      </c>
    </row>
    <row r="41" ht="15" customHeight="1">
      <c r="A41" t="inlineStr">
        <is>
          <t>A 15626-2024</t>
        </is>
      </c>
      <c r="B41" t="inlineStr">
        <is>
          <t>avverkningsanmälan</t>
        </is>
      </c>
      <c r="C41" t="inlineStr">
        <is>
          <t>Föryngringsavverkning</t>
        </is>
      </c>
      <c r="D41" s="1" t="n">
        <v>45402</v>
      </c>
      <c r="E41" s="1" t="n">
        <v>46219</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s="2" t="inlineStr">
        <is>
          <t>Jungfrulin</t>
        </is>
      </c>
      <c r="V41">
        <f>HYPERLINK("https://klasma.github.io/Logging_1438/artfynd/A 15626-2024 artfynd.xlsx", "A 15626-2024")</f>
        <v/>
      </c>
      <c r="W41">
        <f>HYPERLINK("https://klasma.github.io/Logging_1438/kartor/A 15626-2024 karta.png", "A 15626-2024")</f>
        <v/>
      </c>
      <c r="Y41">
        <f>HYPERLINK("https://klasma.github.io/Logging_1438/klagomål/A 15626-2024 FSC-klagomål.docx", "A 15626-2024")</f>
        <v/>
      </c>
      <c r="Z41">
        <f>HYPERLINK("https://klasma.github.io/Logging_1438/klagomålsmail/A 15626-2024 FSC-klagomål mail.docx", "A 15626-2024")</f>
        <v/>
      </c>
      <c r="AA41">
        <f>HYPERLINK("https://klasma.github.io/Logging_1438/tillsyn/A 15626-2024 tillsynsbegäran.docx", "A 15626-2024")</f>
        <v/>
      </c>
      <c r="AB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46219</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s="2" t="inlineStr">
        <is>
          <t>Bergjohannesört</t>
        </is>
      </c>
      <c r="V42">
        <f>HYPERLINK("https://klasma.github.io/Logging_1438/artfynd/A 56442-2023 artfynd.xlsx", "A 56442-2023")</f>
        <v/>
      </c>
      <c r="W42">
        <f>HYPERLINK("https://klasma.github.io/Logging_1438/kartor/A 56442-2023 karta.png", "A 56442-2023")</f>
        <v/>
      </c>
      <c r="Y42">
        <f>HYPERLINK("https://klasma.github.io/Logging_1438/klagomål/A 56442-2023 FSC-klagomål.docx", "A 56442-2023")</f>
        <v/>
      </c>
      <c r="Z42">
        <f>HYPERLINK("https://klasma.github.io/Logging_1438/klagomålsmail/A 56442-2023 FSC-klagomål mail.docx", "A 56442-2023")</f>
        <v/>
      </c>
      <c r="AA42">
        <f>HYPERLINK("https://klasma.github.io/Logging_1438/tillsyn/A 56442-2023 tillsynsbegäran.docx", "A 56442-2023")</f>
        <v/>
      </c>
      <c r="AB42">
        <f>HYPERLINK("https://klasma.github.io/Logging_1438/tillsynsmail/A 56442-2023 tillsynsbegäran mail.docx", "A 56442-2023")</f>
        <v/>
      </c>
    </row>
    <row r="43" ht="15" customHeight="1">
      <c r="A43" t="inlineStr">
        <is>
          <t>A 27878-2024</t>
        </is>
      </c>
      <c r="B43" t="inlineStr">
        <is>
          <t>avverkningsanmälan</t>
        </is>
      </c>
      <c r="C43" t="inlineStr">
        <is>
          <t>Föryngringsavverkning</t>
        </is>
      </c>
      <c r="D43" s="1" t="n">
        <v>45475</v>
      </c>
      <c r="E43" s="1" t="n">
        <v>46219</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s="2" t="inlineStr">
        <is>
          <t>Dropptaggsvamp</t>
        </is>
      </c>
      <c r="V43">
        <f>HYPERLINK("https://klasma.github.io/Logging_1438/artfynd/A 27878-2024 artfynd.xlsx", "A 27878-2024")</f>
        <v/>
      </c>
      <c r="W43">
        <f>HYPERLINK("https://klasma.github.io/Logging_1438/kartor/A 27878-2024 karta.png", "A 27878-2024")</f>
        <v/>
      </c>
      <c r="Y43">
        <f>HYPERLINK("https://klasma.github.io/Logging_1438/klagomål/A 27878-2024 FSC-klagomål.docx", "A 27878-2024")</f>
        <v/>
      </c>
      <c r="Z43">
        <f>HYPERLINK("https://klasma.github.io/Logging_1438/klagomålsmail/A 27878-2024 FSC-klagomål mail.docx", "A 27878-2024")</f>
        <v/>
      </c>
      <c r="AA43">
        <f>HYPERLINK("https://klasma.github.io/Logging_1438/tillsyn/A 27878-2024 tillsynsbegäran.docx", "A 27878-2024")</f>
        <v/>
      </c>
      <c r="AB43">
        <f>HYPERLINK("https://klasma.github.io/Logging_1438/tillsynsmail/A 27878-2024 tillsynsbegäran mail.docx", "A 27878-2024")</f>
        <v/>
      </c>
    </row>
    <row r="44" ht="15" customHeight="1">
      <c r="A44" t="inlineStr">
        <is>
          <t>A 47656-2024</t>
        </is>
      </c>
      <c r="B44" t="inlineStr">
        <is>
          <t>avverkningsanmälan</t>
        </is>
      </c>
      <c r="C44" t="inlineStr">
        <is>
          <t>Föryngringsavverkning</t>
        </is>
      </c>
      <c r="D44" s="1" t="n">
        <v>45588</v>
      </c>
      <c r="E44" s="1" t="n">
        <v>46219</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s="2" t="inlineStr">
        <is>
          <t>Tretåig hackspett</t>
        </is>
      </c>
      <c r="V44">
        <f>HYPERLINK("https://klasma.github.io/Logging_1438/artfynd/A 47656-2024 artfynd.xlsx", "A 47656-2024")</f>
        <v/>
      </c>
      <c r="W44">
        <f>HYPERLINK("https://klasma.github.io/Logging_1438/kartor/A 47656-2024 karta.png", "A 47656-2024")</f>
        <v/>
      </c>
      <c r="Y44">
        <f>HYPERLINK("https://klasma.github.io/Logging_1438/klagomål/A 47656-2024 FSC-klagomål.docx", "A 47656-2024")</f>
        <v/>
      </c>
      <c r="Z44">
        <f>HYPERLINK("https://klasma.github.io/Logging_1438/klagomålsmail/A 47656-2024 FSC-klagomål mail.docx", "A 47656-2024")</f>
        <v/>
      </c>
      <c r="AA44">
        <f>HYPERLINK("https://klasma.github.io/Logging_1438/tillsyn/A 47656-2024 tillsynsbegäran.docx", "A 47656-2024")</f>
        <v/>
      </c>
      <c r="AB44">
        <f>HYPERLINK("https://klasma.github.io/Logging_1438/tillsynsmail/A 47656-2024 tillsynsbegäran mail.docx", "A 47656-2024")</f>
        <v/>
      </c>
      <c r="AC44">
        <f>HYPERLINK("https://klasma.github.io/Logging_1438/fåglar/A 47656-2024 prioriterade fågelarter.docx", "A 47656-2024")</f>
        <v/>
      </c>
    </row>
    <row r="45" ht="15" customHeight="1">
      <c r="A45" t="inlineStr">
        <is>
          <t>A 22947-2026</t>
        </is>
      </c>
      <c r="B45" t="inlineStr">
        <is>
          <t>avverkningsanmälan</t>
        </is>
      </c>
      <c r="C45" t="inlineStr">
        <is>
          <t>Föryngringsavverkning</t>
        </is>
      </c>
      <c r="D45" s="1" t="n">
        <v>46160</v>
      </c>
      <c r="E45" s="1" t="n">
        <v>46219</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s="2" t="inlineStr">
        <is>
          <t>Dropptaggsvamp</t>
        </is>
      </c>
      <c r="V45">
        <f>HYPERLINK("https://klasma.github.io/Logging_1438/artfynd/A 22947-2026 artfynd.xlsx", "A 22947-2026")</f>
        <v/>
      </c>
      <c r="W45">
        <f>HYPERLINK("https://klasma.github.io/Logging_1438/kartor/A 22947-2026 karta.png", "A 22947-2026")</f>
        <v/>
      </c>
      <c r="Y45">
        <f>HYPERLINK("https://klasma.github.io/Logging_1438/klagomål/A 22947-2026 FSC-klagomål.docx", "A 22947-2026")</f>
        <v/>
      </c>
      <c r="Z45">
        <f>HYPERLINK("https://klasma.github.io/Logging_1438/klagomålsmail/A 22947-2026 FSC-klagomål mail.docx", "A 22947-2026")</f>
        <v/>
      </c>
      <c r="AA45">
        <f>HYPERLINK("https://klasma.github.io/Logging_1438/tillsyn/A 22947-2026 tillsynsbegäran.docx", "A 22947-2026")</f>
        <v/>
      </c>
      <c r="AB45">
        <f>HYPERLINK("https://klasma.github.io/Logging_1438/tillsynsmail/A 22947-2026 tillsynsbegäran mail.docx", "A 22947-2026")</f>
        <v/>
      </c>
    </row>
    <row r="46" ht="15" customHeight="1">
      <c r="A46" t="inlineStr">
        <is>
          <t>A 22946-2026</t>
        </is>
      </c>
      <c r="B46" t="inlineStr">
        <is>
          <t>avverkningsanmälan</t>
        </is>
      </c>
      <c r="C46" t="inlineStr">
        <is>
          <t>Föryngringsavverkning</t>
        </is>
      </c>
      <c r="D46" s="1" t="n">
        <v>46160</v>
      </c>
      <c r="E46" s="1" t="n">
        <v>46219</v>
      </c>
      <c r="F46" t="inlineStr">
        <is>
          <t>VÄSTRA GÖTALANDS LÄN</t>
        </is>
      </c>
      <c r="G46" t="inlineStr">
        <is>
          <t>DALS-ED</t>
        </is>
      </c>
      <c r="I46" t="n">
        <v>2.6</v>
      </c>
      <c r="J46" t="n">
        <v>0</v>
      </c>
      <c r="K46" t="n">
        <v>0</v>
      </c>
      <c r="L46" t="n">
        <v>1</v>
      </c>
      <c r="M46" t="n">
        <v>0</v>
      </c>
      <c r="N46" t="n">
        <v>0</v>
      </c>
      <c r="O46" t="n">
        <v>0</v>
      </c>
      <c r="P46" t="n">
        <v>0</v>
      </c>
      <c r="Q46" t="n">
        <v>1</v>
      </c>
      <c r="R46" t="n">
        <v>0</v>
      </c>
      <c r="S46" t="n">
        <v>1</v>
      </c>
      <c r="T46" t="n">
        <v>1</v>
      </c>
      <c r="U46" s="2" t="inlineStr">
        <is>
          <t>Vedtrappmossa</t>
        </is>
      </c>
      <c r="V46">
        <f>HYPERLINK("https://klasma.github.io/Logging_1438/artfynd/A 22946-2026 artfynd.xlsx", "A 22946-2026")</f>
        <v/>
      </c>
      <c r="W46">
        <f>HYPERLINK("https://klasma.github.io/Logging_1438/kartor/A 22946-2026 karta.png", "A 22946-2026")</f>
        <v/>
      </c>
      <c r="Y46">
        <f>HYPERLINK("https://klasma.github.io/Logging_1438/klagomål/A 22946-2026 FSC-klagomål.docx", "A 22946-2026")</f>
        <v/>
      </c>
      <c r="Z46">
        <f>HYPERLINK("https://klasma.github.io/Logging_1438/klagomålsmail/A 22946-2026 FSC-klagomål mail.docx", "A 22946-2026")</f>
        <v/>
      </c>
      <c r="AA46">
        <f>HYPERLINK("https://klasma.github.io/Logging_1438/tillsyn/A 22946-2026 tillsynsbegäran.docx", "A 22946-2026")</f>
        <v/>
      </c>
      <c r="AB46">
        <f>HYPERLINK("https://klasma.github.io/Logging_1438/tillsynsmail/A 22946-2026 tillsynsbegäran mail.docx", "A 22946-2026")</f>
        <v/>
      </c>
    </row>
    <row r="47" ht="15" customHeight="1">
      <c r="A47" t="inlineStr">
        <is>
          <t>S 299-2025</t>
        </is>
      </c>
      <c r="B47" t="inlineStr">
        <is>
          <t>samrådsanmälan</t>
        </is>
      </c>
      <c r="C47" t="inlineStr">
        <is>
          <t>Annan skogsbruksåtgärd</t>
        </is>
      </c>
      <c r="D47" s="1" t="n">
        <v>45687</v>
      </c>
      <c r="E47" s="1" t="n">
        <v>46219</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46219</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46219</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46219</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46219</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46219</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47227-2021</t>
        </is>
      </c>
      <c r="B53" t="inlineStr">
        <is>
          <t>avverkningsanmälan</t>
        </is>
      </c>
      <c r="C53" t="inlineStr">
        <is>
          <t>Föryngringsavverkning</t>
        </is>
      </c>
      <c r="D53" s="1" t="n">
        <v>44446</v>
      </c>
      <c r="E53" s="1" t="n">
        <v>46219</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s="2" t="inlineStr"/>
    </row>
    <row r="54" ht="15" customHeight="1">
      <c r="A54" t="inlineStr">
        <is>
          <t>A 4121-2022</t>
        </is>
      </c>
      <c r="B54" t="inlineStr">
        <is>
          <t>avverkningsanmälan</t>
        </is>
      </c>
      <c r="C54" t="inlineStr">
        <is>
          <t>Föryngringsavverkning</t>
        </is>
      </c>
      <c r="D54" s="1" t="n">
        <v>44588</v>
      </c>
      <c r="E54" s="1" t="n">
        <v>46219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s="2" t="inlineStr"/>
    </row>
    <row r="55" ht="15" customHeight="1">
      <c r="A55" t="inlineStr">
        <is>
          <t>A 51564-2021</t>
        </is>
      </c>
      <c r="B55" t="inlineStr">
        <is>
          <t>avverkningsanmälan</t>
        </is>
      </c>
      <c r="C55" t="inlineStr">
        <is>
          <t>Föryngringsavverkning</t>
        </is>
      </c>
      <c r="D55" s="1" t="n">
        <v>44462</v>
      </c>
      <c r="E55" s="1" t="n">
        <v>46219</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46219</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46219</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46219</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46219</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46219</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46219</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46219</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46219</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39016-2021</t>
        </is>
      </c>
      <c r="B64" t="inlineStr">
        <is>
          <t>avverkningsanmälan</t>
        </is>
      </c>
      <c r="C64" t="inlineStr">
        <is>
          <t>Föryngringsavverkning</t>
        </is>
      </c>
      <c r="D64" s="1" t="n">
        <v>44412</v>
      </c>
      <c r="E64" s="1" t="n">
        <v>46219</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s="2" t="inlineStr"/>
    </row>
    <row r="65" ht="15" customHeight="1">
      <c r="A65" t="inlineStr">
        <is>
          <t>A 16935-2022</t>
        </is>
      </c>
      <c r="B65" t="inlineStr">
        <is>
          <t>avverkningsanmälan</t>
        </is>
      </c>
      <c r="C65" t="inlineStr">
        <is>
          <t>Föryngringsavverkning</t>
        </is>
      </c>
      <c r="D65" s="1" t="n">
        <v>44676</v>
      </c>
      <c r="E65" s="1" t="n">
        <v>46219</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46219</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46219</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46219</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46219</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9154-2022</t>
        </is>
      </c>
      <c r="B70" t="inlineStr">
        <is>
          <t>avverkningsanmälan</t>
        </is>
      </c>
      <c r="C70" t="inlineStr">
        <is>
          <t>Föryngringsavverkning</t>
        </is>
      </c>
      <c r="D70" s="1" t="n">
        <v>44615</v>
      </c>
      <c r="E70" s="1" t="n">
        <v>46219</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s="2" t="inlineStr"/>
    </row>
    <row r="71" ht="15" customHeight="1">
      <c r="A71" t="inlineStr">
        <is>
          <t>A 7933-2022</t>
        </is>
      </c>
      <c r="B71" t="inlineStr">
        <is>
          <t>avverkningsanmälan</t>
        </is>
      </c>
      <c r="C71" t="inlineStr">
        <is>
          <t>Föryngringsavverkning</t>
        </is>
      </c>
      <c r="D71" s="1" t="n">
        <v>44608</v>
      </c>
      <c r="E71" s="1" t="n">
        <v>46219</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46219</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46219</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46219</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46219</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46219</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58346-2024</t>
        </is>
      </c>
      <c r="B77" t="inlineStr">
        <is>
          <t>avverkningsanmälan</t>
        </is>
      </c>
      <c r="C77" t="inlineStr">
        <is>
          <t>Föryngringsavverkning</t>
        </is>
      </c>
      <c r="D77" s="1" t="n">
        <v>45632</v>
      </c>
      <c r="E77" s="1" t="n">
        <v>46219</v>
      </c>
      <c r="F77" t="inlineStr">
        <is>
          <t>VÄSTRA GÖTALANDS LÄN</t>
        </is>
      </c>
      <c r="G77" t="inlineStr">
        <is>
          <t>DALS-ED</t>
        </is>
      </c>
      <c r="I77" t="n">
        <v>2.4</v>
      </c>
      <c r="J77" t="n">
        <v>0</v>
      </c>
      <c r="K77" t="n">
        <v>0</v>
      </c>
      <c r="L77" t="n">
        <v>0</v>
      </c>
      <c r="M77" t="n">
        <v>0</v>
      </c>
      <c r="N77" t="n">
        <v>0</v>
      </c>
      <c r="O77" t="n">
        <v>0</v>
      </c>
      <c r="P77" t="n">
        <v>0</v>
      </c>
      <c r="Q77" t="n">
        <v>0</v>
      </c>
      <c r="R77" t="n">
        <v>0</v>
      </c>
      <c r="S77" t="n">
        <v>0</v>
      </c>
      <c r="T77" t="n">
        <v>0</v>
      </c>
      <c r="U77" s="2" t="inlineStr"/>
    </row>
    <row r="78" ht="15" customHeight="1">
      <c r="A78" t="inlineStr">
        <is>
          <t>A 21370-2022</t>
        </is>
      </c>
      <c r="B78" t="inlineStr">
        <is>
          <t>avverkningsanmälan</t>
        </is>
      </c>
      <c r="C78" t="inlineStr">
        <is>
          <t>Föryngringsavverkning</t>
        </is>
      </c>
      <c r="D78" s="1" t="n">
        <v>44705</v>
      </c>
      <c r="E78" s="1" t="n">
        <v>46219</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s="2" t="inlineStr"/>
    </row>
    <row r="79" ht="15" customHeight="1">
      <c r="A79" t="inlineStr">
        <is>
          <t>A 36231-2023</t>
        </is>
      </c>
      <c r="B79" t="inlineStr">
        <is>
          <t>avverkningsanmälan</t>
        </is>
      </c>
      <c r="C79" t="inlineStr">
        <is>
          <t>Föryngringsavverkning</t>
        </is>
      </c>
      <c r="D79" s="1" t="n">
        <v>45150</v>
      </c>
      <c r="E79" s="1" t="n">
        <v>46219</v>
      </c>
      <c r="F79" t="inlineStr">
        <is>
          <t>VÄSTRA GÖTALANDS LÄN</t>
        </is>
      </c>
      <c r="G79" t="inlineStr">
        <is>
          <t>DALS-ED</t>
        </is>
      </c>
      <c r="I79" t="n">
        <v>0.4</v>
      </c>
      <c r="J79" t="n">
        <v>0</v>
      </c>
      <c r="K79" t="n">
        <v>0</v>
      </c>
      <c r="L79" t="n">
        <v>0</v>
      </c>
      <c r="M79" t="n">
        <v>0</v>
      </c>
      <c r="N79" t="n">
        <v>0</v>
      </c>
      <c r="O79" t="n">
        <v>0</v>
      </c>
      <c r="P79" t="n">
        <v>0</v>
      </c>
      <c r="Q79" t="n">
        <v>0</v>
      </c>
      <c r="R79" t="n">
        <v>0</v>
      </c>
      <c r="S79" t="n">
        <v>0</v>
      </c>
      <c r="T79" t="n">
        <v>0</v>
      </c>
      <c r="U79" s="2" t="inlineStr"/>
    </row>
    <row r="80" ht="15" customHeight="1">
      <c r="A80" t="inlineStr">
        <is>
          <t>A 49290-2024</t>
        </is>
      </c>
      <c r="B80" t="inlineStr">
        <is>
          <t>avverkningsanmälan</t>
        </is>
      </c>
      <c r="C80" t="inlineStr">
        <is>
          <t>Föryngringsavverkning</t>
        </is>
      </c>
      <c r="D80" s="1" t="n">
        <v>45595</v>
      </c>
      <c r="E80" s="1" t="n">
        <v>46219</v>
      </c>
      <c r="F80" t="inlineStr">
        <is>
          <t>VÄSTRA GÖTALANDS LÄN</t>
        </is>
      </c>
      <c r="G80" t="inlineStr">
        <is>
          <t>DALS-ED</t>
        </is>
      </c>
      <c r="I80" t="n">
        <v>0.7</v>
      </c>
      <c r="J80" t="n">
        <v>0</v>
      </c>
      <c r="K80" t="n">
        <v>0</v>
      </c>
      <c r="L80" t="n">
        <v>0</v>
      </c>
      <c r="M80" t="n">
        <v>0</v>
      </c>
      <c r="N80" t="n">
        <v>0</v>
      </c>
      <c r="O80" t="n">
        <v>0</v>
      </c>
      <c r="P80" t="n">
        <v>0</v>
      </c>
      <c r="Q80" t="n">
        <v>0</v>
      </c>
      <c r="R80" t="n">
        <v>0</v>
      </c>
      <c r="S80" t="n">
        <v>0</v>
      </c>
      <c r="T80" t="n">
        <v>0</v>
      </c>
      <c r="U80" s="2" t="inlineStr"/>
    </row>
    <row r="81" ht="15" customHeight="1">
      <c r="A81" t="inlineStr">
        <is>
          <t>A 52349-2024</t>
        </is>
      </c>
      <c r="B81" t="inlineStr">
        <is>
          <t>avverkningsanmälan</t>
        </is>
      </c>
      <c r="C81" t="inlineStr">
        <is>
          <t>Föryngringsavverkning</t>
        </is>
      </c>
      <c r="D81" s="1" t="n">
        <v>45609</v>
      </c>
      <c r="E81" s="1" t="n">
        <v>46219</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s="2" t="inlineStr"/>
    </row>
    <row r="82" ht="15" customHeight="1">
      <c r="A82" t="inlineStr">
        <is>
          <t>A 21372-2022</t>
        </is>
      </c>
      <c r="B82" t="inlineStr">
        <is>
          <t>avverkningsanmälan</t>
        </is>
      </c>
      <c r="C82" t="inlineStr">
        <is>
          <t>Föryngringsavverkning</t>
        </is>
      </c>
      <c r="D82" s="1" t="n">
        <v>44705</v>
      </c>
      <c r="E82" s="1" t="n">
        <v>46219</v>
      </c>
      <c r="F82" t="inlineStr">
        <is>
          <t>VÄSTRA GÖTALANDS LÄN</t>
        </is>
      </c>
      <c r="G82" t="inlineStr">
        <is>
          <t>DALS-ED</t>
        </is>
      </c>
      <c r="I82" t="n">
        <v>0.9</v>
      </c>
      <c r="J82" t="n">
        <v>0</v>
      </c>
      <c r="K82" t="n">
        <v>0</v>
      </c>
      <c r="L82" t="n">
        <v>0</v>
      </c>
      <c r="M82" t="n">
        <v>0</v>
      </c>
      <c r="N82" t="n">
        <v>0</v>
      </c>
      <c r="O82" t="n">
        <v>0</v>
      </c>
      <c r="P82" t="n">
        <v>0</v>
      </c>
      <c r="Q82" t="n">
        <v>0</v>
      </c>
      <c r="R82" t="n">
        <v>0</v>
      </c>
      <c r="S82" t="n">
        <v>0</v>
      </c>
      <c r="T82" t="n">
        <v>0</v>
      </c>
      <c r="U82" s="2" t="inlineStr"/>
    </row>
    <row r="83" ht="15" customHeight="1">
      <c r="A83" t="inlineStr">
        <is>
          <t>A 4105-2023</t>
        </is>
      </c>
      <c r="B83" t="inlineStr">
        <is>
          <t>avverkningsanmälan</t>
        </is>
      </c>
      <c r="C83" t="inlineStr">
        <is>
          <t>Föryngringsavverkning</t>
        </is>
      </c>
      <c r="D83" s="1" t="n">
        <v>44952</v>
      </c>
      <c r="E83" s="1" t="n">
        <v>46219</v>
      </c>
      <c r="F83" t="inlineStr">
        <is>
          <t>VÄSTRA GÖTALANDS LÄN</t>
        </is>
      </c>
      <c r="G83" t="inlineStr">
        <is>
          <t>DALS-ED</t>
        </is>
      </c>
      <c r="I83" t="n">
        <v>3.9</v>
      </c>
      <c r="J83" t="n">
        <v>0</v>
      </c>
      <c r="K83" t="n">
        <v>0</v>
      </c>
      <c r="L83" t="n">
        <v>0</v>
      </c>
      <c r="M83" t="n">
        <v>0</v>
      </c>
      <c r="N83" t="n">
        <v>0</v>
      </c>
      <c r="O83" t="n">
        <v>0</v>
      </c>
      <c r="P83" t="n">
        <v>0</v>
      </c>
      <c r="Q83" t="n">
        <v>0</v>
      </c>
      <c r="R83" t="n">
        <v>0</v>
      </c>
      <c r="S83" t="n">
        <v>0</v>
      </c>
      <c r="T83" t="n">
        <v>0</v>
      </c>
      <c r="U83" s="2" t="inlineStr"/>
    </row>
    <row r="84" ht="15" customHeight="1">
      <c r="A84" t="inlineStr">
        <is>
          <t>A 4108-2023</t>
        </is>
      </c>
      <c r="B84" t="inlineStr">
        <is>
          <t>avverkningsanmälan</t>
        </is>
      </c>
      <c r="C84" t="inlineStr">
        <is>
          <t>Föryngringsavverkning</t>
        </is>
      </c>
      <c r="D84" s="1" t="n">
        <v>44952</v>
      </c>
      <c r="E84" s="1" t="n">
        <v>46219</v>
      </c>
      <c r="F84" t="inlineStr">
        <is>
          <t>VÄSTRA GÖTALANDS LÄN</t>
        </is>
      </c>
      <c r="G84" t="inlineStr">
        <is>
          <t>DALS-ED</t>
        </is>
      </c>
      <c r="I84" t="n">
        <v>4</v>
      </c>
      <c r="J84" t="n">
        <v>0</v>
      </c>
      <c r="K84" t="n">
        <v>0</v>
      </c>
      <c r="L84" t="n">
        <v>0</v>
      </c>
      <c r="M84" t="n">
        <v>0</v>
      </c>
      <c r="N84" t="n">
        <v>0</v>
      </c>
      <c r="O84" t="n">
        <v>0</v>
      </c>
      <c r="P84" t="n">
        <v>0</v>
      </c>
      <c r="Q84" t="n">
        <v>0</v>
      </c>
      <c r="R84" t="n">
        <v>0</v>
      </c>
      <c r="S84" t="n">
        <v>0</v>
      </c>
      <c r="T84" t="n">
        <v>0</v>
      </c>
      <c r="U84" s="2" t="inlineStr"/>
    </row>
    <row r="85" ht="15" customHeight="1">
      <c r="A85" t="inlineStr">
        <is>
          <t>A 2632-2025</t>
        </is>
      </c>
      <c r="B85" t="inlineStr">
        <is>
          <t>avverkningsanmälan</t>
        </is>
      </c>
      <c r="C85" t="inlineStr">
        <is>
          <t>Föryngringsavverkning</t>
        </is>
      </c>
      <c r="D85" s="1" t="n">
        <v>45675</v>
      </c>
      <c r="E85" s="1" t="n">
        <v>46219</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s="2" t="inlineStr"/>
    </row>
    <row r="86" ht="15" customHeight="1">
      <c r="A86" t="inlineStr">
        <is>
          <t>A 21368-2022</t>
        </is>
      </c>
      <c r="B86" t="inlineStr">
        <is>
          <t>avverkningsanmälan</t>
        </is>
      </c>
      <c r="C86" t="inlineStr">
        <is>
          <t>Föryngringsavverkning</t>
        </is>
      </c>
      <c r="D86" s="1" t="n">
        <v>44705</v>
      </c>
      <c r="E86" s="1" t="n">
        <v>46219</v>
      </c>
      <c r="F86" t="inlineStr">
        <is>
          <t>VÄSTRA GÖTALANDS LÄN</t>
        </is>
      </c>
      <c r="G86" t="inlineStr">
        <is>
          <t>DALS-ED</t>
        </is>
      </c>
      <c r="I86" t="n">
        <v>1</v>
      </c>
      <c r="J86" t="n">
        <v>0</v>
      </c>
      <c r="K86" t="n">
        <v>0</v>
      </c>
      <c r="L86" t="n">
        <v>0</v>
      </c>
      <c r="M86" t="n">
        <v>0</v>
      </c>
      <c r="N86" t="n">
        <v>0</v>
      </c>
      <c r="O86" t="n">
        <v>0</v>
      </c>
      <c r="P86" t="n">
        <v>0</v>
      </c>
      <c r="Q86" t="n">
        <v>0</v>
      </c>
      <c r="R86" t="n">
        <v>0</v>
      </c>
      <c r="S86" t="n">
        <v>0</v>
      </c>
      <c r="T86" t="n">
        <v>0</v>
      </c>
      <c r="U86" s="2" t="inlineStr"/>
    </row>
    <row r="87" ht="15" customHeight="1">
      <c r="A87" t="inlineStr">
        <is>
          <t>A 2082-2025</t>
        </is>
      </c>
      <c r="B87" t="inlineStr">
        <is>
          <t>avverkningsanmälan</t>
        </is>
      </c>
      <c r="C87" t="inlineStr">
        <is>
          <t>Föryngringsavverkning</t>
        </is>
      </c>
      <c r="D87" s="1" t="n">
        <v>45672</v>
      </c>
      <c r="E87" s="1" t="n">
        <v>46219</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s="2" t="inlineStr"/>
    </row>
    <row r="88" ht="15" customHeight="1">
      <c r="A88" t="inlineStr">
        <is>
          <t>A 47650-2024</t>
        </is>
      </c>
      <c r="B88" t="inlineStr">
        <is>
          <t>avverkningsanmälan</t>
        </is>
      </c>
      <c r="C88" t="inlineStr">
        <is>
          <t>Föryngringsavverkning</t>
        </is>
      </c>
      <c r="D88" s="1" t="n">
        <v>45588</v>
      </c>
      <c r="E88" s="1" t="n">
        <v>46219</v>
      </c>
      <c r="F88" t="inlineStr">
        <is>
          <t>VÄSTRA GÖTALANDS LÄN</t>
        </is>
      </c>
      <c r="G88" t="inlineStr">
        <is>
          <t>DALS-ED</t>
        </is>
      </c>
      <c r="I88" t="n">
        <v>3.6</v>
      </c>
      <c r="J88" t="n">
        <v>0</v>
      </c>
      <c r="K88" t="n">
        <v>0</v>
      </c>
      <c r="L88" t="n">
        <v>0</v>
      </c>
      <c r="M88" t="n">
        <v>0</v>
      </c>
      <c r="N88" t="n">
        <v>0</v>
      </c>
      <c r="O88" t="n">
        <v>0</v>
      </c>
      <c r="P88" t="n">
        <v>0</v>
      </c>
      <c r="Q88" t="n">
        <v>0</v>
      </c>
      <c r="R88" t="n">
        <v>0</v>
      </c>
      <c r="S88" t="n">
        <v>0</v>
      </c>
      <c r="T88" t="n">
        <v>0</v>
      </c>
      <c r="U88" s="2" t="inlineStr"/>
    </row>
    <row r="89" ht="15" customHeight="1">
      <c r="A89" t="inlineStr">
        <is>
          <t>A 7207-2025</t>
        </is>
      </c>
      <c r="B89" t="inlineStr">
        <is>
          <t>avverkningsanmälan</t>
        </is>
      </c>
      <c r="C89" t="inlineStr">
        <is>
          <t>Föryngringsavverkning</t>
        </is>
      </c>
      <c r="D89" s="1" t="n">
        <v>45702</v>
      </c>
      <c r="E89" s="1" t="n">
        <v>46219</v>
      </c>
      <c r="F89" t="inlineStr">
        <is>
          <t>VÄSTRA GÖTALANDS LÄN</t>
        </is>
      </c>
      <c r="G89" t="inlineStr">
        <is>
          <t>DALS-ED</t>
        </is>
      </c>
      <c r="I89" t="n">
        <v>3.3</v>
      </c>
      <c r="J89" t="n">
        <v>0</v>
      </c>
      <c r="K89" t="n">
        <v>0</v>
      </c>
      <c r="L89" t="n">
        <v>0</v>
      </c>
      <c r="M89" t="n">
        <v>0</v>
      </c>
      <c r="N89" t="n">
        <v>0</v>
      </c>
      <c r="O89" t="n">
        <v>0</v>
      </c>
      <c r="P89" t="n">
        <v>0</v>
      </c>
      <c r="Q89" t="n">
        <v>0</v>
      </c>
      <c r="R89" t="n">
        <v>0</v>
      </c>
      <c r="S89" t="n">
        <v>0</v>
      </c>
      <c r="T89" t="n">
        <v>0</v>
      </c>
      <c r="U89" s="2" t="inlineStr"/>
    </row>
    <row r="90" ht="15" customHeight="1">
      <c r="A90" t="inlineStr">
        <is>
          <t>A 43747-2023</t>
        </is>
      </c>
      <c r="B90" t="inlineStr">
        <is>
          <t>avverkningsanmälan</t>
        </is>
      </c>
      <c r="C90" t="inlineStr">
        <is>
          <t>Föryngringsavverkning</t>
        </is>
      </c>
      <c r="D90" s="1" t="n">
        <v>45187</v>
      </c>
      <c r="E90" s="1" t="n">
        <v>46219</v>
      </c>
      <c r="F90" t="inlineStr">
        <is>
          <t>VÄSTRA GÖTALANDS LÄN</t>
        </is>
      </c>
      <c r="G90" t="inlineStr">
        <is>
          <t>DALS-ED</t>
        </is>
      </c>
      <c r="I90" t="n">
        <v>1.6</v>
      </c>
      <c r="J90" t="n">
        <v>0</v>
      </c>
      <c r="K90" t="n">
        <v>0</v>
      </c>
      <c r="L90" t="n">
        <v>0</v>
      </c>
      <c r="M90" t="n">
        <v>0</v>
      </c>
      <c r="N90" t="n">
        <v>0</v>
      </c>
      <c r="O90" t="n">
        <v>0</v>
      </c>
      <c r="P90" t="n">
        <v>0</v>
      </c>
      <c r="Q90" t="n">
        <v>0</v>
      </c>
      <c r="R90" t="n">
        <v>0</v>
      </c>
      <c r="S90" t="n">
        <v>0</v>
      </c>
      <c r="T90" t="n">
        <v>0</v>
      </c>
      <c r="U90" s="2" t="inlineStr"/>
    </row>
    <row r="91" ht="15" customHeight="1">
      <c r="A91" t="inlineStr">
        <is>
          <t>A 44653-2023</t>
        </is>
      </c>
      <c r="B91" t="inlineStr">
        <is>
          <t>avverkningsanmälan</t>
        </is>
      </c>
      <c r="C91" t="inlineStr">
        <is>
          <t>Föryngringsavverkning</t>
        </is>
      </c>
      <c r="D91" s="1" t="n">
        <v>45189</v>
      </c>
      <c r="E91" s="1" t="n">
        <v>46219</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s="2" t="inlineStr"/>
    </row>
    <row r="92" ht="15" customHeight="1">
      <c r="A92" t="inlineStr">
        <is>
          <t>A 41804-2024</t>
        </is>
      </c>
      <c r="B92" t="inlineStr">
        <is>
          <t>avverkningsanmälan</t>
        </is>
      </c>
      <c r="C92" t="inlineStr">
        <is>
          <t>Föryngringsavverkning</t>
        </is>
      </c>
      <c r="D92" s="1" t="n">
        <v>45561</v>
      </c>
      <c r="E92" s="1" t="n">
        <v>46219</v>
      </c>
      <c r="F92" t="inlineStr">
        <is>
          <t>VÄSTRA GÖTALANDS LÄN</t>
        </is>
      </c>
      <c r="G92" t="inlineStr">
        <is>
          <t>DALS-ED</t>
        </is>
      </c>
      <c r="I92" t="n">
        <v>1.4</v>
      </c>
      <c r="J92" t="n">
        <v>0</v>
      </c>
      <c r="K92" t="n">
        <v>0</v>
      </c>
      <c r="L92" t="n">
        <v>0</v>
      </c>
      <c r="M92" t="n">
        <v>0</v>
      </c>
      <c r="N92" t="n">
        <v>0</v>
      </c>
      <c r="O92" t="n">
        <v>0</v>
      </c>
      <c r="P92" t="n">
        <v>0</v>
      </c>
      <c r="Q92" t="n">
        <v>0</v>
      </c>
      <c r="R92" t="n">
        <v>0</v>
      </c>
      <c r="S92" t="n">
        <v>0</v>
      </c>
      <c r="T92" t="n">
        <v>0</v>
      </c>
      <c r="U92" s="2" t="inlineStr"/>
    </row>
    <row r="93" ht="15" customHeight="1">
      <c r="A93" t="inlineStr">
        <is>
          <t>A 56341-2024</t>
        </is>
      </c>
      <c r="B93" t="inlineStr">
        <is>
          <t>avverkningsanmälan</t>
        </is>
      </c>
      <c r="C93" t="inlineStr">
        <is>
          <t>Föryngringsavverkning</t>
        </is>
      </c>
      <c r="D93" s="1" t="n">
        <v>45624</v>
      </c>
      <c r="E93" s="1" t="n">
        <v>46219</v>
      </c>
      <c r="F93" t="inlineStr">
        <is>
          <t>VÄSTRA GÖTALANDS LÄN</t>
        </is>
      </c>
      <c r="G93" t="inlineStr">
        <is>
          <t>DALS-ED</t>
        </is>
      </c>
      <c r="I93" t="n">
        <v>3</v>
      </c>
      <c r="J93" t="n">
        <v>0</v>
      </c>
      <c r="K93" t="n">
        <v>0</v>
      </c>
      <c r="L93" t="n">
        <v>0</v>
      </c>
      <c r="M93" t="n">
        <v>0</v>
      </c>
      <c r="N93" t="n">
        <v>0</v>
      </c>
      <c r="O93" t="n">
        <v>0</v>
      </c>
      <c r="P93" t="n">
        <v>0</v>
      </c>
      <c r="Q93" t="n">
        <v>0</v>
      </c>
      <c r="R93" t="n">
        <v>0</v>
      </c>
      <c r="S93" t="n">
        <v>0</v>
      </c>
      <c r="T93" t="n">
        <v>0</v>
      </c>
      <c r="U93" s="2" t="inlineStr"/>
    </row>
    <row r="94" ht="15" customHeight="1">
      <c r="A94" t="inlineStr">
        <is>
          <t>A 41151-2022</t>
        </is>
      </c>
      <c r="B94" t="inlineStr">
        <is>
          <t>avverkningsanmälan</t>
        </is>
      </c>
      <c r="C94" t="inlineStr">
        <is>
          <t>Föryngringsavverkning</t>
        </is>
      </c>
      <c r="D94" s="1" t="n">
        <v>44825</v>
      </c>
      <c r="E94" s="1" t="n">
        <v>46219</v>
      </c>
      <c r="F94" t="inlineStr">
        <is>
          <t>VÄSTRA GÖTALANDS LÄN</t>
        </is>
      </c>
      <c r="G94" t="inlineStr">
        <is>
          <t>DALS-ED</t>
        </is>
      </c>
      <c r="I94" t="n">
        <v>3.4</v>
      </c>
      <c r="J94" t="n">
        <v>0</v>
      </c>
      <c r="K94" t="n">
        <v>0</v>
      </c>
      <c r="L94" t="n">
        <v>0</v>
      </c>
      <c r="M94" t="n">
        <v>0</v>
      </c>
      <c r="N94" t="n">
        <v>0</v>
      </c>
      <c r="O94" t="n">
        <v>0</v>
      </c>
      <c r="P94" t="n">
        <v>0</v>
      </c>
      <c r="Q94" t="n">
        <v>0</v>
      </c>
      <c r="R94" t="n">
        <v>0</v>
      </c>
      <c r="S94" t="n">
        <v>0</v>
      </c>
      <c r="T94" t="n">
        <v>0</v>
      </c>
      <c r="U94" s="2" t="inlineStr"/>
    </row>
    <row r="95" ht="15" customHeight="1">
      <c r="A95" t="inlineStr">
        <is>
          <t>A 36342-2023</t>
        </is>
      </c>
      <c r="B95" t="inlineStr">
        <is>
          <t>avverkningsanmälan</t>
        </is>
      </c>
      <c r="C95" t="inlineStr">
        <is>
          <t>Föryngringsavverkning</t>
        </is>
      </c>
      <c r="D95" s="1" t="n">
        <v>45152</v>
      </c>
      <c r="E95" s="1" t="n">
        <v>46219</v>
      </c>
      <c r="F95" t="inlineStr">
        <is>
          <t>VÄSTRA GÖTALANDS LÄN</t>
        </is>
      </c>
      <c r="G95" t="inlineStr">
        <is>
          <t>DALS-ED</t>
        </is>
      </c>
      <c r="I95" t="n">
        <v>5.2</v>
      </c>
      <c r="J95" t="n">
        <v>0</v>
      </c>
      <c r="K95" t="n">
        <v>0</v>
      </c>
      <c r="L95" t="n">
        <v>0</v>
      </c>
      <c r="M95" t="n">
        <v>0</v>
      </c>
      <c r="N95" t="n">
        <v>0</v>
      </c>
      <c r="O95" t="n">
        <v>0</v>
      </c>
      <c r="P95" t="n">
        <v>0</v>
      </c>
      <c r="Q95" t="n">
        <v>0</v>
      </c>
      <c r="R95" t="n">
        <v>0</v>
      </c>
      <c r="S95" t="n">
        <v>0</v>
      </c>
      <c r="T95" t="n">
        <v>0</v>
      </c>
      <c r="U95" s="2" t="inlineStr"/>
    </row>
    <row r="96" ht="15" customHeight="1">
      <c r="A96" t="inlineStr">
        <is>
          <t>A 25007-2023</t>
        </is>
      </c>
      <c r="B96" t="inlineStr">
        <is>
          <t>avverkningsanmälan</t>
        </is>
      </c>
      <c r="C96" t="inlineStr">
        <is>
          <t>Föryngringsavverkning</t>
        </is>
      </c>
      <c r="D96" s="1" t="n">
        <v>45085</v>
      </c>
      <c r="E96" s="1" t="n">
        <v>46219</v>
      </c>
      <c r="F96" t="inlineStr">
        <is>
          <t>VÄSTRA GÖTALANDS LÄN</t>
        </is>
      </c>
      <c r="G96" t="inlineStr">
        <is>
          <t>DALS-ED</t>
        </is>
      </c>
      <c r="I96" t="n">
        <v>4.3</v>
      </c>
      <c r="J96" t="n">
        <v>0</v>
      </c>
      <c r="K96" t="n">
        <v>0</v>
      </c>
      <c r="L96" t="n">
        <v>0</v>
      </c>
      <c r="M96" t="n">
        <v>0</v>
      </c>
      <c r="N96" t="n">
        <v>0</v>
      </c>
      <c r="O96" t="n">
        <v>0</v>
      </c>
      <c r="P96" t="n">
        <v>0</v>
      </c>
      <c r="Q96" t="n">
        <v>0</v>
      </c>
      <c r="R96" t="n">
        <v>0</v>
      </c>
      <c r="S96" t="n">
        <v>0</v>
      </c>
      <c r="T96" t="n">
        <v>0</v>
      </c>
      <c r="U96" s="2" t="inlineStr"/>
    </row>
    <row r="97" ht="15" customHeight="1">
      <c r="A97" t="inlineStr">
        <is>
          <t>A 18456-2025</t>
        </is>
      </c>
      <c r="B97" t="inlineStr">
        <is>
          <t>avverkningsanmälan</t>
        </is>
      </c>
      <c r="C97" t="inlineStr">
        <is>
          <t>Föryngringsavverkning</t>
        </is>
      </c>
      <c r="D97" s="1" t="n">
        <v>45762</v>
      </c>
      <c r="E97" s="1" t="n">
        <v>46219</v>
      </c>
      <c r="F97" t="inlineStr">
        <is>
          <t>VÄSTRA GÖTALANDS LÄN</t>
        </is>
      </c>
      <c r="G97" t="inlineStr">
        <is>
          <t>DALS-ED</t>
        </is>
      </c>
      <c r="I97" t="n">
        <v>3.7</v>
      </c>
      <c r="J97" t="n">
        <v>0</v>
      </c>
      <c r="K97" t="n">
        <v>0</v>
      </c>
      <c r="L97" t="n">
        <v>0</v>
      </c>
      <c r="M97" t="n">
        <v>0</v>
      </c>
      <c r="N97" t="n">
        <v>0</v>
      </c>
      <c r="O97" t="n">
        <v>0</v>
      </c>
      <c r="P97" t="n">
        <v>0</v>
      </c>
      <c r="Q97" t="n">
        <v>0</v>
      </c>
      <c r="R97" t="n">
        <v>0</v>
      </c>
      <c r="S97" t="n">
        <v>0</v>
      </c>
      <c r="T97" t="n">
        <v>0</v>
      </c>
      <c r="U97" s="2" t="inlineStr"/>
    </row>
    <row r="98" ht="15" customHeight="1">
      <c r="A98" t="inlineStr">
        <is>
          <t>A 59815-2023</t>
        </is>
      </c>
      <c r="B98" t="inlineStr">
        <is>
          <t>avverkningsanmälan</t>
        </is>
      </c>
      <c r="C98" t="inlineStr">
        <is>
          <t>Föryngringsavverkning</t>
        </is>
      </c>
      <c r="D98" s="1" t="n">
        <v>45257</v>
      </c>
      <c r="E98" s="1" t="n">
        <v>46219</v>
      </c>
      <c r="F98" t="inlineStr">
        <is>
          <t>VÄSTRA GÖTALANDS LÄN</t>
        </is>
      </c>
      <c r="G98" t="inlineStr">
        <is>
          <t>DALS-ED</t>
        </is>
      </c>
      <c r="I98" t="n">
        <v>1.1</v>
      </c>
      <c r="J98" t="n">
        <v>0</v>
      </c>
      <c r="K98" t="n">
        <v>0</v>
      </c>
      <c r="L98" t="n">
        <v>0</v>
      </c>
      <c r="M98" t="n">
        <v>0</v>
      </c>
      <c r="N98" t="n">
        <v>0</v>
      </c>
      <c r="O98" t="n">
        <v>0</v>
      </c>
      <c r="P98" t="n">
        <v>0</v>
      </c>
      <c r="Q98" t="n">
        <v>0</v>
      </c>
      <c r="R98" t="n">
        <v>0</v>
      </c>
      <c r="S98" t="n">
        <v>0</v>
      </c>
      <c r="T98" t="n">
        <v>0</v>
      </c>
      <c r="U98" s="2" t="inlineStr"/>
    </row>
    <row r="99" ht="15" customHeight="1">
      <c r="A99" t="inlineStr">
        <is>
          <t>A 9382-2024</t>
        </is>
      </c>
      <c r="B99" t="inlineStr">
        <is>
          <t>avverkningsanmälan</t>
        </is>
      </c>
      <c r="C99" t="inlineStr">
        <is>
          <t>Föryngringsavverkning</t>
        </is>
      </c>
      <c r="D99" s="1" t="n">
        <v>45359</v>
      </c>
      <c r="E99" s="1" t="n">
        <v>46219</v>
      </c>
      <c r="F99" t="inlineStr">
        <is>
          <t>VÄSTRA GÖTALANDS LÄN</t>
        </is>
      </c>
      <c r="G99" t="inlineStr">
        <is>
          <t>DALS-ED</t>
        </is>
      </c>
      <c r="I99" t="n">
        <v>0.9</v>
      </c>
      <c r="J99" t="n">
        <v>0</v>
      </c>
      <c r="K99" t="n">
        <v>0</v>
      </c>
      <c r="L99" t="n">
        <v>0</v>
      </c>
      <c r="M99" t="n">
        <v>0</v>
      </c>
      <c r="N99" t="n">
        <v>0</v>
      </c>
      <c r="O99" t="n">
        <v>0</v>
      </c>
      <c r="P99" t="n">
        <v>0</v>
      </c>
      <c r="Q99" t="n">
        <v>0</v>
      </c>
      <c r="R99" t="n">
        <v>0</v>
      </c>
      <c r="S99" t="n">
        <v>0</v>
      </c>
      <c r="T99" t="n">
        <v>0</v>
      </c>
      <c r="U99" s="2" t="inlineStr"/>
    </row>
    <row r="100" ht="15" customHeight="1">
      <c r="A100" t="inlineStr">
        <is>
          <t>A 17503-2024</t>
        </is>
      </c>
      <c r="B100" t="inlineStr">
        <is>
          <t>avverkningsanmälan</t>
        </is>
      </c>
      <c r="C100" t="inlineStr">
        <is>
          <t>Föryngringsavverkning</t>
        </is>
      </c>
      <c r="D100" s="1" t="n">
        <v>45415</v>
      </c>
      <c r="E100" s="1" t="n">
        <v>46219</v>
      </c>
      <c r="F100" t="inlineStr">
        <is>
          <t>VÄSTRA GÖTALANDS LÄN</t>
        </is>
      </c>
      <c r="G100" t="inlineStr">
        <is>
          <t>DALS-ED</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56344-2024</t>
        </is>
      </c>
      <c r="B101" t="inlineStr">
        <is>
          <t>avverkningsanmälan</t>
        </is>
      </c>
      <c r="C101" t="inlineStr">
        <is>
          <t>Föryngringsavverkning</t>
        </is>
      </c>
      <c r="D101" s="1" t="n">
        <v>45624</v>
      </c>
      <c r="E101" s="1" t="n">
        <v>46219</v>
      </c>
      <c r="F101" t="inlineStr">
        <is>
          <t>VÄSTRA GÖTALANDS LÄN</t>
        </is>
      </c>
      <c r="G101" t="inlineStr">
        <is>
          <t>DALS-ED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17144-2024</t>
        </is>
      </c>
      <c r="B102" t="inlineStr">
        <is>
          <t>avverkningsanmälan</t>
        </is>
      </c>
      <c r="C102" t="inlineStr">
        <is>
          <t>Föryngringsavverkning</t>
        </is>
      </c>
      <c r="D102" s="1" t="n">
        <v>45412</v>
      </c>
      <c r="E102" s="1" t="n">
        <v>46219</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17142-2024</t>
        </is>
      </c>
      <c r="B103" t="inlineStr">
        <is>
          <t>avverkningsanmälan</t>
        </is>
      </c>
      <c r="C103" t="inlineStr">
        <is>
          <t>Föryngringsavverkning</t>
        </is>
      </c>
      <c r="D103" s="1" t="n">
        <v>45412</v>
      </c>
      <c r="E103" s="1" t="n">
        <v>46219</v>
      </c>
      <c r="F103" t="inlineStr">
        <is>
          <t>VÄSTRA GÖTALANDS LÄN</t>
        </is>
      </c>
      <c r="G103" t="inlineStr">
        <is>
          <t>DALS-ED</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35466-2024</t>
        </is>
      </c>
      <c r="B104" t="inlineStr">
        <is>
          <t>avverkningsanmälan</t>
        </is>
      </c>
      <c r="C104" t="inlineStr">
        <is>
          <t>Föryngringsavverkning</t>
        </is>
      </c>
      <c r="D104" s="1" t="n">
        <v>45531</v>
      </c>
      <c r="E104" s="1" t="n">
        <v>46219</v>
      </c>
      <c r="F104" t="inlineStr">
        <is>
          <t>VÄSTRA GÖTALANDS LÄN</t>
        </is>
      </c>
      <c r="G104" t="inlineStr">
        <is>
          <t>DALS-ED</t>
        </is>
      </c>
      <c r="I104" t="n">
        <v>4.7</v>
      </c>
      <c r="J104" t="n">
        <v>0</v>
      </c>
      <c r="K104" t="n">
        <v>0</v>
      </c>
      <c r="L104" t="n">
        <v>0</v>
      </c>
      <c r="M104" t="n">
        <v>0</v>
      </c>
      <c r="N104" t="n">
        <v>0</v>
      </c>
      <c r="O104" t="n">
        <v>0</v>
      </c>
      <c r="P104" t="n">
        <v>0</v>
      </c>
      <c r="Q104" t="n">
        <v>0</v>
      </c>
      <c r="R104" t="n">
        <v>0</v>
      </c>
      <c r="S104" t="n">
        <v>0</v>
      </c>
      <c r="T104" t="n">
        <v>0</v>
      </c>
      <c r="U104" s="2" t="inlineStr"/>
    </row>
    <row r="105" ht="15" customHeight="1">
      <c r="A105" t="inlineStr">
        <is>
          <t>A 14186-2024</t>
        </is>
      </c>
      <c r="B105" t="inlineStr">
        <is>
          <t>avverkningsanmälan</t>
        </is>
      </c>
      <c r="C105" t="inlineStr">
        <is>
          <t>Föryngringsavverkning</t>
        </is>
      </c>
      <c r="D105" s="1" t="n">
        <v>45393</v>
      </c>
      <c r="E105" s="1" t="n">
        <v>46219</v>
      </c>
      <c r="F105" t="inlineStr">
        <is>
          <t>VÄSTRA GÖTALANDS LÄN</t>
        </is>
      </c>
      <c r="G105" t="inlineStr">
        <is>
          <t>DALS-ED</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13537-2023</t>
        </is>
      </c>
      <c r="B106" t="inlineStr">
        <is>
          <t>avverkningsanmälan</t>
        </is>
      </c>
      <c r="C106" t="inlineStr">
        <is>
          <t>Föryngringsavverkning</t>
        </is>
      </c>
      <c r="D106" s="1" t="n">
        <v>45006</v>
      </c>
      <c r="E106" s="1" t="n">
        <v>46219</v>
      </c>
      <c r="F106" t="inlineStr">
        <is>
          <t>VÄSTRA GÖTALANDS LÄN</t>
        </is>
      </c>
      <c r="G106" t="inlineStr">
        <is>
          <t>DALS-ED</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52277-2023</t>
        </is>
      </c>
      <c r="B107" t="inlineStr">
        <is>
          <t>avverkningsanmälan</t>
        </is>
      </c>
      <c r="C107" t="inlineStr">
        <is>
          <t>Föryngringsavverkning</t>
        </is>
      </c>
      <c r="D107" s="1" t="n">
        <v>45217</v>
      </c>
      <c r="E107" s="1" t="n">
        <v>46219</v>
      </c>
      <c r="F107" t="inlineStr">
        <is>
          <t>VÄSTRA GÖTALANDS LÄN</t>
        </is>
      </c>
      <c r="G107" t="inlineStr">
        <is>
          <t>DALS-ED</t>
        </is>
      </c>
      <c r="H107" t="inlineStr">
        <is>
          <t>Kyrkan</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17800-2023</t>
        </is>
      </c>
      <c r="B108" t="inlineStr">
        <is>
          <t>avverkningsanmälan</t>
        </is>
      </c>
      <c r="C108" t="inlineStr">
        <is>
          <t>Föryngringsavverkning</t>
        </is>
      </c>
      <c r="D108" s="1" t="n">
        <v>45037</v>
      </c>
      <c r="E108" s="1" t="n">
        <v>46219</v>
      </c>
      <c r="F108" t="inlineStr">
        <is>
          <t>VÄSTRA GÖTALANDS LÄN</t>
        </is>
      </c>
      <c r="G108" t="inlineStr">
        <is>
          <t>DALS-ED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58206-2022</t>
        </is>
      </c>
      <c r="B109" t="inlineStr">
        <is>
          <t>avverkningsanmälan</t>
        </is>
      </c>
      <c r="C109" t="inlineStr">
        <is>
          <t>Föryngringsavverkning</t>
        </is>
      </c>
      <c r="D109" s="1" t="n">
        <v>44901</v>
      </c>
      <c r="E109" s="1" t="n">
        <v>46219</v>
      </c>
      <c r="F109" t="inlineStr">
        <is>
          <t>VÄSTRA GÖTALANDS LÄN</t>
        </is>
      </c>
      <c r="G109" t="inlineStr">
        <is>
          <t>DALS-ED</t>
        </is>
      </c>
      <c r="I109" t="n">
        <v>5.3</v>
      </c>
      <c r="J109" t="n">
        <v>0</v>
      </c>
      <c r="K109" t="n">
        <v>0</v>
      </c>
      <c r="L109" t="n">
        <v>0</v>
      </c>
      <c r="M109" t="n">
        <v>0</v>
      </c>
      <c r="N109" t="n">
        <v>0</v>
      </c>
      <c r="O109" t="n">
        <v>0</v>
      </c>
      <c r="P109" t="n">
        <v>0</v>
      </c>
      <c r="Q109" t="n">
        <v>0</v>
      </c>
      <c r="R109" t="n">
        <v>0</v>
      </c>
      <c r="S109" t="n">
        <v>0</v>
      </c>
      <c r="T109" t="n">
        <v>0</v>
      </c>
      <c r="U109" s="2" t="inlineStr"/>
    </row>
    <row r="110" ht="15" customHeight="1">
      <c r="A110" t="inlineStr">
        <is>
          <t>A 21140-2024</t>
        </is>
      </c>
      <c r="B110" t="inlineStr">
        <is>
          <t>avverkningsanmälan</t>
        </is>
      </c>
      <c r="C110" t="inlineStr">
        <is>
          <t>Föryngringsavverkning</t>
        </is>
      </c>
      <c r="D110" s="1" t="n">
        <v>45440</v>
      </c>
      <c r="E110" s="1" t="n">
        <v>46219</v>
      </c>
      <c r="F110" t="inlineStr">
        <is>
          <t>VÄSTRA GÖTALANDS LÄN</t>
        </is>
      </c>
      <c r="G110" t="inlineStr">
        <is>
          <t>DALS-ED</t>
        </is>
      </c>
      <c r="I110" t="n">
        <v>0.7</v>
      </c>
      <c r="J110" t="n">
        <v>0</v>
      </c>
      <c r="K110" t="n">
        <v>0</v>
      </c>
      <c r="L110" t="n">
        <v>0</v>
      </c>
      <c r="M110" t="n">
        <v>0</v>
      </c>
      <c r="N110" t="n">
        <v>0</v>
      </c>
      <c r="O110" t="n">
        <v>0</v>
      </c>
      <c r="P110" t="n">
        <v>0</v>
      </c>
      <c r="Q110" t="n">
        <v>0</v>
      </c>
      <c r="R110" t="n">
        <v>0</v>
      </c>
      <c r="S110" t="n">
        <v>0</v>
      </c>
      <c r="T110" t="n">
        <v>0</v>
      </c>
      <c r="U110" s="2" t="inlineStr"/>
    </row>
    <row r="111" ht="15" customHeight="1">
      <c r="A111" t="inlineStr">
        <is>
          <t>A 21148-2024</t>
        </is>
      </c>
      <c r="B111" t="inlineStr">
        <is>
          <t>avverkningsanmälan</t>
        </is>
      </c>
      <c r="C111" t="inlineStr">
        <is>
          <t>Föryngringsavverkning</t>
        </is>
      </c>
      <c r="D111" s="1" t="n">
        <v>45440</v>
      </c>
      <c r="E111" s="1" t="n">
        <v>46219</v>
      </c>
      <c r="F111" t="inlineStr">
        <is>
          <t>VÄSTRA GÖTALANDS LÄN</t>
        </is>
      </c>
      <c r="G111" t="inlineStr">
        <is>
          <t>DALS-ED</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4043-2023</t>
        </is>
      </c>
      <c r="B112" t="inlineStr">
        <is>
          <t>avverkningsanmälan</t>
        </is>
      </c>
      <c r="C112" t="inlineStr">
        <is>
          <t>Föryngringsavverkning</t>
        </is>
      </c>
      <c r="D112" s="1" t="n">
        <v>44952</v>
      </c>
      <c r="E112" s="1" t="n">
        <v>46219</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4369-2024</t>
        </is>
      </c>
      <c r="B113" t="inlineStr">
        <is>
          <t>avverkningsanmälan</t>
        </is>
      </c>
      <c r="C113" t="inlineStr">
        <is>
          <t>Föryngringsavverkning</t>
        </is>
      </c>
      <c r="D113" s="1" t="n">
        <v>45326</v>
      </c>
      <c r="E113" s="1" t="n">
        <v>46219</v>
      </c>
      <c r="F113" t="inlineStr">
        <is>
          <t>VÄSTRA GÖTALANDS LÄN</t>
        </is>
      </c>
      <c r="G113" t="inlineStr">
        <is>
          <t>DALS-ED</t>
        </is>
      </c>
      <c r="I113" t="n">
        <v>4.2</v>
      </c>
      <c r="J113" t="n">
        <v>0</v>
      </c>
      <c r="K113" t="n">
        <v>0</v>
      </c>
      <c r="L113" t="n">
        <v>0</v>
      </c>
      <c r="M113" t="n">
        <v>0</v>
      </c>
      <c r="N113" t="n">
        <v>0</v>
      </c>
      <c r="O113" t="n">
        <v>0</v>
      </c>
      <c r="P113" t="n">
        <v>0</v>
      </c>
      <c r="Q113" t="n">
        <v>0</v>
      </c>
      <c r="R113" t="n">
        <v>0</v>
      </c>
      <c r="S113" t="n">
        <v>0</v>
      </c>
      <c r="T113" t="n">
        <v>0</v>
      </c>
      <c r="U113" s="2" t="inlineStr"/>
    </row>
    <row r="114" ht="15" customHeight="1">
      <c r="A114" t="inlineStr">
        <is>
          <t>A 5117-2023</t>
        </is>
      </c>
      <c r="B114" t="inlineStr">
        <is>
          <t>avverkningsanmälan</t>
        </is>
      </c>
      <c r="C114" t="inlineStr">
        <is>
          <t>Föryngringsavverkning</t>
        </is>
      </c>
      <c r="D114" s="1" t="n">
        <v>44958</v>
      </c>
      <c r="E114" s="1" t="n">
        <v>46219</v>
      </c>
      <c r="F114" t="inlineStr">
        <is>
          <t>VÄSTRA GÖTALANDS LÄN</t>
        </is>
      </c>
      <c r="G114" t="inlineStr">
        <is>
          <t>DALS-ED</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4115-2023</t>
        </is>
      </c>
      <c r="B115" t="inlineStr">
        <is>
          <t>avverkningsanmälan</t>
        </is>
      </c>
      <c r="C115" t="inlineStr">
        <is>
          <t>Föryngringsavverkning</t>
        </is>
      </c>
      <c r="D115" s="1" t="n">
        <v>44952</v>
      </c>
      <c r="E115" s="1" t="n">
        <v>46219</v>
      </c>
      <c r="F115" t="inlineStr">
        <is>
          <t>VÄSTRA GÖTALANDS LÄN</t>
        </is>
      </c>
      <c r="G115" t="inlineStr">
        <is>
          <t>DALS-ED</t>
        </is>
      </c>
      <c r="I115" t="n">
        <v>4.2</v>
      </c>
      <c r="J115" t="n">
        <v>0</v>
      </c>
      <c r="K115" t="n">
        <v>0</v>
      </c>
      <c r="L115" t="n">
        <v>0</v>
      </c>
      <c r="M115" t="n">
        <v>0</v>
      </c>
      <c r="N115" t="n">
        <v>0</v>
      </c>
      <c r="O115" t="n">
        <v>0</v>
      </c>
      <c r="P115" t="n">
        <v>0</v>
      </c>
      <c r="Q115" t="n">
        <v>0</v>
      </c>
      <c r="R115" t="n">
        <v>0</v>
      </c>
      <c r="S115" t="n">
        <v>0</v>
      </c>
      <c r="T115" t="n">
        <v>0</v>
      </c>
      <c r="U115" s="2" t="inlineStr"/>
    </row>
    <row r="116" ht="15" customHeight="1">
      <c r="A116" t="inlineStr">
        <is>
          <t>A 19171-2024</t>
        </is>
      </c>
      <c r="B116" t="inlineStr">
        <is>
          <t>avverkningsanmälan</t>
        </is>
      </c>
      <c r="C116" t="inlineStr">
        <is>
          <t>Föryngringsavverkning</t>
        </is>
      </c>
      <c r="D116" s="1" t="n">
        <v>45428</v>
      </c>
      <c r="E116" s="1" t="n">
        <v>46219</v>
      </c>
      <c r="F116" t="inlineStr">
        <is>
          <t>VÄSTRA GÖTALANDS LÄN</t>
        </is>
      </c>
      <c r="G116" t="inlineStr">
        <is>
          <t>DALS-ED</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2283-2025</t>
        </is>
      </c>
      <c r="B117" t="inlineStr">
        <is>
          <t>avverkningsanmälan</t>
        </is>
      </c>
      <c r="C117" t="inlineStr">
        <is>
          <t>Föryngringsavverkning</t>
        </is>
      </c>
      <c r="D117" s="1" t="n">
        <v>45673</v>
      </c>
      <c r="E117" s="1" t="n">
        <v>46219</v>
      </c>
      <c r="F117" t="inlineStr">
        <is>
          <t>VÄSTRA GÖTALANDS LÄN</t>
        </is>
      </c>
      <c r="G117" t="inlineStr">
        <is>
          <t>DALS-ED</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18228-2025</t>
        </is>
      </c>
      <c r="B118" t="inlineStr">
        <is>
          <t>avverkningsanmälan</t>
        </is>
      </c>
      <c r="C118" t="inlineStr">
        <is>
          <t>Föryngringsavverkning</t>
        </is>
      </c>
      <c r="D118" s="1" t="n">
        <v>45761</v>
      </c>
      <c r="E118" s="1" t="n">
        <v>46219</v>
      </c>
      <c r="F118" t="inlineStr">
        <is>
          <t>VÄSTRA GÖTALANDS LÄN</t>
        </is>
      </c>
      <c r="G118" t="inlineStr">
        <is>
          <t>DALS-ED</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38372-2025</t>
        </is>
      </c>
      <c r="B119" t="inlineStr">
        <is>
          <t>avverkningsanmälan</t>
        </is>
      </c>
      <c r="C119" t="inlineStr">
        <is>
          <t>Föryngringsavverkning</t>
        </is>
      </c>
      <c r="D119" s="1" t="n">
        <v>45883</v>
      </c>
      <c r="E119" s="1" t="n">
        <v>46219</v>
      </c>
      <c r="F119" t="inlineStr">
        <is>
          <t>VÄSTRA GÖTALANDS LÄN</t>
        </is>
      </c>
      <c r="G119" t="inlineStr">
        <is>
          <t>DALS-ED</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21865-2023</t>
        </is>
      </c>
      <c r="B120" t="inlineStr">
        <is>
          <t>avverkningsanmälan</t>
        </is>
      </c>
      <c r="C120" t="inlineStr">
        <is>
          <t>Föryngringsavverkning</t>
        </is>
      </c>
      <c r="D120" s="1" t="n">
        <v>45068</v>
      </c>
      <c r="E120" s="1" t="n">
        <v>46219</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38347-2023</t>
        </is>
      </c>
      <c r="B121" t="inlineStr">
        <is>
          <t>avverkningsanmälan</t>
        </is>
      </c>
      <c r="C121" t="inlineStr">
        <is>
          <t>Föryngringsavverkning</t>
        </is>
      </c>
      <c r="D121" s="1" t="n">
        <v>45161</v>
      </c>
      <c r="E121" s="1" t="n">
        <v>46219</v>
      </c>
      <c r="F121" t="inlineStr">
        <is>
          <t>VÄSTRA GÖTALANDS LÄN</t>
        </is>
      </c>
      <c r="G121" t="inlineStr">
        <is>
          <t>DALS-ED</t>
        </is>
      </c>
      <c r="H121" t="inlineStr">
        <is>
          <t>Kommuner</t>
        </is>
      </c>
      <c r="I121" t="n">
        <v>2.3</v>
      </c>
      <c r="J121" t="n">
        <v>0</v>
      </c>
      <c r="K121" t="n">
        <v>0</v>
      </c>
      <c r="L121" t="n">
        <v>0</v>
      </c>
      <c r="M121" t="n">
        <v>0</v>
      </c>
      <c r="N121" t="n">
        <v>0</v>
      </c>
      <c r="O121" t="n">
        <v>0</v>
      </c>
      <c r="P121" t="n">
        <v>0</v>
      </c>
      <c r="Q121" t="n">
        <v>0</v>
      </c>
      <c r="R121" t="n">
        <v>0</v>
      </c>
      <c r="S121" t="n">
        <v>0</v>
      </c>
      <c r="T121" t="n">
        <v>0</v>
      </c>
      <c r="U121" s="2" t="inlineStr"/>
    </row>
    <row r="122" ht="15" customHeight="1">
      <c r="A122" t="inlineStr">
        <is>
          <t>A 38548-2023</t>
        </is>
      </c>
      <c r="B122" t="inlineStr">
        <is>
          <t>avverkningsanmälan</t>
        </is>
      </c>
      <c r="C122" t="inlineStr">
        <is>
          <t>Föryngringsavverkning</t>
        </is>
      </c>
      <c r="D122" s="1" t="n">
        <v>45162</v>
      </c>
      <c r="E122" s="1" t="n">
        <v>46219</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51701-2021</t>
        </is>
      </c>
      <c r="B123" t="inlineStr">
        <is>
          <t>avverkningsanmälan</t>
        </is>
      </c>
      <c r="C123" t="inlineStr">
        <is>
          <t>Föryngringsavverkning</t>
        </is>
      </c>
      <c r="D123" s="1" t="n">
        <v>44462</v>
      </c>
      <c r="E123" s="1" t="n">
        <v>46219</v>
      </c>
      <c r="F123" t="inlineStr">
        <is>
          <t>VÄSTRA GÖTALANDS LÄN</t>
        </is>
      </c>
      <c r="G123" t="inlineStr">
        <is>
          <t>DALS-ED</t>
        </is>
      </c>
      <c r="I123" t="n">
        <v>3.5</v>
      </c>
      <c r="J123" t="n">
        <v>0</v>
      </c>
      <c r="K123" t="n">
        <v>0</v>
      </c>
      <c r="L123" t="n">
        <v>0</v>
      </c>
      <c r="M123" t="n">
        <v>0</v>
      </c>
      <c r="N123" t="n">
        <v>0</v>
      </c>
      <c r="O123" t="n">
        <v>0</v>
      </c>
      <c r="P123" t="n">
        <v>0</v>
      </c>
      <c r="Q123" t="n">
        <v>0</v>
      </c>
      <c r="R123" t="n">
        <v>0</v>
      </c>
      <c r="S123" t="n">
        <v>0</v>
      </c>
      <c r="T123" t="n">
        <v>0</v>
      </c>
      <c r="U123" s="2" t="inlineStr"/>
    </row>
    <row r="124" ht="15" customHeight="1">
      <c r="A124" t="inlineStr">
        <is>
          <t>A 38370-2025</t>
        </is>
      </c>
      <c r="B124" t="inlineStr">
        <is>
          <t>avverkningsanmälan</t>
        </is>
      </c>
      <c r="C124" t="inlineStr">
        <is>
          <t>Föryngringsavverkning</t>
        </is>
      </c>
      <c r="D124" s="1" t="n">
        <v>45883</v>
      </c>
      <c r="E124" s="1" t="n">
        <v>46219</v>
      </c>
      <c r="F124" t="inlineStr">
        <is>
          <t>VÄSTRA GÖTALANDS LÄN</t>
        </is>
      </c>
      <c r="G124" t="inlineStr">
        <is>
          <t>DALS-ED</t>
        </is>
      </c>
      <c r="I124" t="n">
        <v>2.3</v>
      </c>
      <c r="J124" t="n">
        <v>0</v>
      </c>
      <c r="K124" t="n">
        <v>0</v>
      </c>
      <c r="L124" t="n">
        <v>0</v>
      </c>
      <c r="M124" t="n">
        <v>0</v>
      </c>
      <c r="N124" t="n">
        <v>0</v>
      </c>
      <c r="O124" t="n">
        <v>0</v>
      </c>
      <c r="P124" t="n">
        <v>0</v>
      </c>
      <c r="Q124" t="n">
        <v>0</v>
      </c>
      <c r="R124" t="n">
        <v>0</v>
      </c>
      <c r="S124" t="n">
        <v>0</v>
      </c>
      <c r="T124" t="n">
        <v>0</v>
      </c>
      <c r="U124" s="2" t="inlineStr"/>
    </row>
    <row r="125" ht="15" customHeight="1">
      <c r="A125" t="inlineStr">
        <is>
          <t>A 57262-2022</t>
        </is>
      </c>
      <c r="B125" t="inlineStr">
        <is>
          <t>avverkningsanmälan</t>
        </is>
      </c>
      <c r="C125" t="inlineStr">
        <is>
          <t>Föryngringsavverkning</t>
        </is>
      </c>
      <c r="D125" s="1" t="n">
        <v>44895</v>
      </c>
      <c r="E125" s="1" t="n">
        <v>46219</v>
      </c>
      <c r="F125" t="inlineStr">
        <is>
          <t>VÄSTRA GÖTALANDS LÄN</t>
        </is>
      </c>
      <c r="G125" t="inlineStr">
        <is>
          <t>DALS-ED</t>
        </is>
      </c>
      <c r="H125" t="inlineStr">
        <is>
          <t>Kommuner</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15364-2022</t>
        </is>
      </c>
      <c r="B126" t="inlineStr">
        <is>
          <t>avverkningsanmälan</t>
        </is>
      </c>
      <c r="C126" t="inlineStr">
        <is>
          <t>Föryngringsavverkning</t>
        </is>
      </c>
      <c r="D126" s="1" t="n">
        <v>44659</v>
      </c>
      <c r="E126" s="1" t="n">
        <v>46219</v>
      </c>
      <c r="F126" t="inlineStr">
        <is>
          <t>VÄSTRA GÖTALANDS LÄN</t>
        </is>
      </c>
      <c r="G126" t="inlineStr">
        <is>
          <t>DALS-ED</t>
        </is>
      </c>
      <c r="I126" t="n">
        <v>6.5</v>
      </c>
      <c r="J126" t="n">
        <v>0</v>
      </c>
      <c r="K126" t="n">
        <v>0</v>
      </c>
      <c r="L126" t="n">
        <v>0</v>
      </c>
      <c r="M126" t="n">
        <v>0</v>
      </c>
      <c r="N126" t="n">
        <v>0</v>
      </c>
      <c r="O126" t="n">
        <v>0</v>
      </c>
      <c r="P126" t="n">
        <v>0</v>
      </c>
      <c r="Q126" t="n">
        <v>0</v>
      </c>
      <c r="R126" t="n">
        <v>0</v>
      </c>
      <c r="S126" t="n">
        <v>0</v>
      </c>
      <c r="T126" t="n">
        <v>0</v>
      </c>
      <c r="U126" s="2" t="inlineStr"/>
    </row>
    <row r="127" ht="15" customHeight="1">
      <c r="A127" t="inlineStr">
        <is>
          <t>A 48344-2024</t>
        </is>
      </c>
      <c r="B127" t="inlineStr">
        <is>
          <t>avverkningsanmälan</t>
        </is>
      </c>
      <c r="C127" t="inlineStr">
        <is>
          <t>Föryngringsavverkning</t>
        </is>
      </c>
      <c r="D127" s="1" t="n">
        <v>45590</v>
      </c>
      <c r="E127" s="1" t="n">
        <v>46219</v>
      </c>
      <c r="F127" t="inlineStr">
        <is>
          <t>VÄSTRA GÖTALANDS LÄN</t>
        </is>
      </c>
      <c r="G127" t="inlineStr">
        <is>
          <t>DALS-ED</t>
        </is>
      </c>
      <c r="I127" t="n">
        <v>2.3</v>
      </c>
      <c r="J127" t="n">
        <v>0</v>
      </c>
      <c r="K127" t="n">
        <v>0</v>
      </c>
      <c r="L127" t="n">
        <v>0</v>
      </c>
      <c r="M127" t="n">
        <v>0</v>
      </c>
      <c r="N127" t="n">
        <v>0</v>
      </c>
      <c r="O127" t="n">
        <v>0</v>
      </c>
      <c r="P127" t="n">
        <v>0</v>
      </c>
      <c r="Q127" t="n">
        <v>0</v>
      </c>
      <c r="R127" t="n">
        <v>0</v>
      </c>
      <c r="S127" t="n">
        <v>0</v>
      </c>
      <c r="T127" t="n">
        <v>0</v>
      </c>
      <c r="U127" s="2" t="inlineStr"/>
    </row>
    <row r="128" ht="15" customHeight="1">
      <c r="A128" t="inlineStr">
        <is>
          <t>A 53910-2024</t>
        </is>
      </c>
      <c r="B128" t="inlineStr">
        <is>
          <t>avverkningsanmälan</t>
        </is>
      </c>
      <c r="C128" t="inlineStr">
        <is>
          <t>Föryngringsavverkning</t>
        </is>
      </c>
      <c r="D128" s="1" t="n">
        <v>45615</v>
      </c>
      <c r="E128" s="1" t="n">
        <v>46219</v>
      </c>
      <c r="F128" t="inlineStr">
        <is>
          <t>VÄSTRA GÖTALANDS LÄN</t>
        </is>
      </c>
      <c r="G128" t="inlineStr">
        <is>
          <t>DALS-ED</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40354-2022</t>
        </is>
      </c>
      <c r="B129" t="inlineStr">
        <is>
          <t>avverkningsanmälan</t>
        </is>
      </c>
      <c r="C129" t="inlineStr">
        <is>
          <t>Föryngringsavverkning</t>
        </is>
      </c>
      <c r="D129" s="1" t="n">
        <v>44823</v>
      </c>
      <c r="E129" s="1" t="n">
        <v>46219</v>
      </c>
      <c r="F129" t="inlineStr">
        <is>
          <t>VÄSTRA GÖTALANDS LÄN</t>
        </is>
      </c>
      <c r="G129" t="inlineStr">
        <is>
          <t>DALS-ED</t>
        </is>
      </c>
      <c r="I129" t="n">
        <v>4.1</v>
      </c>
      <c r="J129" t="n">
        <v>0</v>
      </c>
      <c r="K129" t="n">
        <v>0</v>
      </c>
      <c r="L129" t="n">
        <v>0</v>
      </c>
      <c r="M129" t="n">
        <v>0</v>
      </c>
      <c r="N129" t="n">
        <v>0</v>
      </c>
      <c r="O129" t="n">
        <v>0</v>
      </c>
      <c r="P129" t="n">
        <v>0</v>
      </c>
      <c r="Q129" t="n">
        <v>0</v>
      </c>
      <c r="R129" t="n">
        <v>0</v>
      </c>
      <c r="S129" t="n">
        <v>0</v>
      </c>
      <c r="T129" t="n">
        <v>0</v>
      </c>
      <c r="U129" s="2" t="inlineStr"/>
    </row>
    <row r="130" ht="15" customHeight="1">
      <c r="A130" t="inlineStr">
        <is>
          <t>A 13026-2023</t>
        </is>
      </c>
      <c r="B130" t="inlineStr">
        <is>
          <t>avverkningsanmälan</t>
        </is>
      </c>
      <c r="C130" t="inlineStr">
        <is>
          <t>Föryngringsavverkning</t>
        </is>
      </c>
      <c r="D130" s="1" t="n">
        <v>45002</v>
      </c>
      <c r="E130" s="1" t="n">
        <v>46219</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38810-2025</t>
        </is>
      </c>
      <c r="B131" t="inlineStr">
        <is>
          <t>avverkningsanmälan</t>
        </is>
      </c>
      <c r="C131" t="inlineStr">
        <is>
          <t>Föryngringsavverkning</t>
        </is>
      </c>
      <c r="D131" s="1" t="n">
        <v>45887</v>
      </c>
      <c r="E131" s="1" t="n">
        <v>46219</v>
      </c>
      <c r="F131" t="inlineStr">
        <is>
          <t>VÄSTRA GÖTALANDS LÄN</t>
        </is>
      </c>
      <c r="G131" t="inlineStr">
        <is>
          <t>DALS-ED</t>
        </is>
      </c>
      <c r="I131" t="n">
        <v>1.6</v>
      </c>
      <c r="J131" t="n">
        <v>0</v>
      </c>
      <c r="K131" t="n">
        <v>0</v>
      </c>
      <c r="L131" t="n">
        <v>0</v>
      </c>
      <c r="M131" t="n">
        <v>0</v>
      </c>
      <c r="N131" t="n">
        <v>0</v>
      </c>
      <c r="O131" t="n">
        <v>0</v>
      </c>
      <c r="P131" t="n">
        <v>0</v>
      </c>
      <c r="Q131" t="n">
        <v>0</v>
      </c>
      <c r="R131" t="n">
        <v>0</v>
      </c>
      <c r="S131" t="n">
        <v>0</v>
      </c>
      <c r="T131" t="n">
        <v>0</v>
      </c>
      <c r="U131" s="2" t="inlineStr"/>
    </row>
    <row r="132" ht="15" customHeight="1">
      <c r="A132" t="inlineStr">
        <is>
          <t>A 55077-2024</t>
        </is>
      </c>
      <c r="B132" t="inlineStr">
        <is>
          <t>avverkningsanmälan</t>
        </is>
      </c>
      <c r="C132" t="inlineStr">
        <is>
          <t>Föryngringsavverkning</t>
        </is>
      </c>
      <c r="D132" s="1" t="n">
        <v>45621</v>
      </c>
      <c r="E132" s="1" t="n">
        <v>46219</v>
      </c>
      <c r="F132" t="inlineStr">
        <is>
          <t>VÄSTRA GÖTALANDS LÄN</t>
        </is>
      </c>
      <c r="G132" t="inlineStr">
        <is>
          <t>DALS-ED</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20265-2025</t>
        </is>
      </c>
      <c r="B133" t="inlineStr">
        <is>
          <t>avverkningsanmälan</t>
        </is>
      </c>
      <c r="C133" t="inlineStr">
        <is>
          <t>Föryngringsavverkning</t>
        </is>
      </c>
      <c r="D133" s="1" t="n">
        <v>45773</v>
      </c>
      <c r="E133" s="1" t="n">
        <v>46219</v>
      </c>
      <c r="F133" t="inlineStr">
        <is>
          <t>VÄSTRA GÖTALANDS LÄN</t>
        </is>
      </c>
      <c r="G133" t="inlineStr">
        <is>
          <t>DALS-ED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34467-2023</t>
        </is>
      </c>
      <c r="B134" t="inlineStr">
        <is>
          <t>avverkningsanmälan</t>
        </is>
      </c>
      <c r="C134" t="inlineStr">
        <is>
          <t>Föryngringsavverkning</t>
        </is>
      </c>
      <c r="D134" s="1" t="n">
        <v>45139</v>
      </c>
      <c r="E134" s="1" t="n">
        <v>46219</v>
      </c>
      <c r="F134" t="inlineStr">
        <is>
          <t>VÄSTRA GÖTALANDS LÄN</t>
        </is>
      </c>
      <c r="G134" t="inlineStr">
        <is>
          <t>DALS-ED</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32683-2023</t>
        </is>
      </c>
      <c r="B135" t="inlineStr">
        <is>
          <t>avverkningsanmälan</t>
        </is>
      </c>
      <c r="C135" t="inlineStr">
        <is>
          <t>Avverkning för annat ändamål</t>
        </is>
      </c>
      <c r="D135" s="1" t="n">
        <v>45112</v>
      </c>
      <c r="E135" s="1" t="n">
        <v>46219</v>
      </c>
      <c r="F135" t="inlineStr">
        <is>
          <t>VÄSTRA GÖTALANDS LÄN</t>
        </is>
      </c>
      <c r="G135" t="inlineStr">
        <is>
          <t>DALS-ED</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48341-2024</t>
        </is>
      </c>
      <c r="B136" t="inlineStr">
        <is>
          <t>avverkningsanmälan</t>
        </is>
      </c>
      <c r="C136" t="inlineStr">
        <is>
          <t>Föryngringsavverkning</t>
        </is>
      </c>
      <c r="D136" s="1" t="n">
        <v>45590</v>
      </c>
      <c r="E136" s="1" t="n">
        <v>46219</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28588-2024</t>
        </is>
      </c>
      <c r="B137" t="inlineStr">
        <is>
          <t>avverkningsanmälan</t>
        </is>
      </c>
      <c r="C137" t="inlineStr">
        <is>
          <t>Föryngringsavverkning</t>
        </is>
      </c>
      <c r="D137" s="1" t="n">
        <v>45478</v>
      </c>
      <c r="E137" s="1" t="n">
        <v>46219</v>
      </c>
      <c r="F137" t="inlineStr">
        <is>
          <t>VÄSTRA GÖTALANDS LÄN</t>
        </is>
      </c>
      <c r="G137" t="inlineStr">
        <is>
          <t>DALS-ED</t>
        </is>
      </c>
      <c r="I137" t="n">
        <v>5.1</v>
      </c>
      <c r="J137" t="n">
        <v>0</v>
      </c>
      <c r="K137" t="n">
        <v>0</v>
      </c>
      <c r="L137" t="n">
        <v>0</v>
      </c>
      <c r="M137" t="n">
        <v>0</v>
      </c>
      <c r="N137" t="n">
        <v>0</v>
      </c>
      <c r="O137" t="n">
        <v>0</v>
      </c>
      <c r="P137" t="n">
        <v>0</v>
      </c>
      <c r="Q137" t="n">
        <v>0</v>
      </c>
      <c r="R137" t="n">
        <v>0</v>
      </c>
      <c r="S137" t="n">
        <v>0</v>
      </c>
      <c r="T137" t="n">
        <v>0</v>
      </c>
      <c r="U137" s="2" t="inlineStr"/>
    </row>
    <row r="138" ht="15" customHeight="1">
      <c r="A138" t="inlineStr">
        <is>
          <t>A 32082-2023</t>
        </is>
      </c>
      <c r="B138" t="inlineStr">
        <is>
          <t>avverkningsanmälan</t>
        </is>
      </c>
      <c r="C138" t="inlineStr">
        <is>
          <t>Föryngringsavverkning</t>
        </is>
      </c>
      <c r="D138" s="1" t="n">
        <v>45119</v>
      </c>
      <c r="E138" s="1" t="n">
        <v>46219</v>
      </c>
      <c r="F138" t="inlineStr">
        <is>
          <t>VÄSTRA GÖTALANDS LÄN</t>
        </is>
      </c>
      <c r="G138" t="inlineStr">
        <is>
          <t>DALS-ED</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15363-2024</t>
        </is>
      </c>
      <c r="B139" t="inlineStr">
        <is>
          <t>avverkningsanmälan</t>
        </is>
      </c>
      <c r="C139" t="inlineStr">
        <is>
          <t>Föryngringsavverkning</t>
        </is>
      </c>
      <c r="D139" s="1" t="n">
        <v>45400</v>
      </c>
      <c r="E139" s="1" t="n">
        <v>46219</v>
      </c>
      <c r="F139" t="inlineStr">
        <is>
          <t>VÄSTRA GÖTALANDS LÄN</t>
        </is>
      </c>
      <c r="G139" t="inlineStr">
        <is>
          <t>DALS-ED</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21290-2023</t>
        </is>
      </c>
      <c r="B140" t="inlineStr">
        <is>
          <t>avverkningsanmälan</t>
        </is>
      </c>
      <c r="C140" t="inlineStr">
        <is>
          <t>Föryngringsavverkning</t>
        </is>
      </c>
      <c r="D140" s="1" t="n">
        <v>45062</v>
      </c>
      <c r="E140" s="1" t="n">
        <v>46219</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64177-2023</t>
        </is>
      </c>
      <c r="B141" t="inlineStr">
        <is>
          <t>avverkningsanmälan</t>
        </is>
      </c>
      <c r="C141" t="inlineStr">
        <is>
          <t>Föryngringsavverkning</t>
        </is>
      </c>
      <c r="D141" s="1" t="n">
        <v>45279</v>
      </c>
      <c r="E141" s="1" t="n">
        <v>46219</v>
      </c>
      <c r="F141" t="inlineStr">
        <is>
          <t>VÄSTRA GÖTALANDS LÄN</t>
        </is>
      </c>
      <c r="G141" t="inlineStr">
        <is>
          <t>DALS-ED</t>
        </is>
      </c>
      <c r="H141" t="inlineStr">
        <is>
          <t>Bergvik skog väst AB</t>
        </is>
      </c>
      <c r="I141" t="n">
        <v>18.6</v>
      </c>
      <c r="J141" t="n">
        <v>0</v>
      </c>
      <c r="K141" t="n">
        <v>0</v>
      </c>
      <c r="L141" t="n">
        <v>0</v>
      </c>
      <c r="M141" t="n">
        <v>0</v>
      </c>
      <c r="N141" t="n">
        <v>0</v>
      </c>
      <c r="O141" t="n">
        <v>0</v>
      </c>
      <c r="P141" t="n">
        <v>0</v>
      </c>
      <c r="Q141" t="n">
        <v>0</v>
      </c>
      <c r="R141" t="n">
        <v>0</v>
      </c>
      <c r="S141" t="n">
        <v>0</v>
      </c>
      <c r="T141" t="n">
        <v>0</v>
      </c>
      <c r="U141" s="2" t="inlineStr"/>
    </row>
    <row r="142" ht="15" customHeight="1">
      <c r="A142" t="inlineStr">
        <is>
          <t>A 4724-2022</t>
        </is>
      </c>
      <c r="B142" t="inlineStr">
        <is>
          <t>avverkningsanmälan</t>
        </is>
      </c>
      <c r="C142" t="inlineStr">
        <is>
          <t>Föryngringsavverkning</t>
        </is>
      </c>
      <c r="D142" s="1" t="n">
        <v>44592</v>
      </c>
      <c r="E142" s="1" t="n">
        <v>46219</v>
      </c>
      <c r="F142" t="inlineStr">
        <is>
          <t>VÄSTRA GÖTALANDS LÄN</t>
        </is>
      </c>
      <c r="G142" t="inlineStr">
        <is>
          <t>DALS-ED</t>
        </is>
      </c>
      <c r="I142" t="n">
        <v>3.5</v>
      </c>
      <c r="J142" t="n">
        <v>0</v>
      </c>
      <c r="K142" t="n">
        <v>0</v>
      </c>
      <c r="L142" t="n">
        <v>0</v>
      </c>
      <c r="M142" t="n">
        <v>0</v>
      </c>
      <c r="N142" t="n">
        <v>0</v>
      </c>
      <c r="O142" t="n">
        <v>0</v>
      </c>
      <c r="P142" t="n">
        <v>0</v>
      </c>
      <c r="Q142" t="n">
        <v>0</v>
      </c>
      <c r="R142" t="n">
        <v>0</v>
      </c>
      <c r="S142" t="n">
        <v>0</v>
      </c>
      <c r="T142" t="n">
        <v>0</v>
      </c>
      <c r="U142" s="2" t="inlineStr"/>
    </row>
    <row r="143" ht="15" customHeight="1">
      <c r="A143" t="inlineStr">
        <is>
          <t>A 40457-2025</t>
        </is>
      </c>
      <c r="B143" t="inlineStr">
        <is>
          <t>avverkningsanmälan</t>
        </is>
      </c>
      <c r="C143" t="inlineStr">
        <is>
          <t>Föryngringsavverkning</t>
        </is>
      </c>
      <c r="D143" s="1" t="n">
        <v>45895</v>
      </c>
      <c r="E143" s="1" t="n">
        <v>46219</v>
      </c>
      <c r="F143" t="inlineStr">
        <is>
          <t>VÄSTRA GÖTALANDS LÄN</t>
        </is>
      </c>
      <c r="G143" t="inlineStr">
        <is>
          <t>DALS-ED</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47828-2022</t>
        </is>
      </c>
      <c r="B144" t="inlineStr">
        <is>
          <t>avverkningsanmälan</t>
        </is>
      </c>
      <c r="C144" t="inlineStr">
        <is>
          <t>Föryngringsavverkning</t>
        </is>
      </c>
      <c r="D144" s="1" t="n">
        <v>44855</v>
      </c>
      <c r="E144" s="1" t="n">
        <v>46219</v>
      </c>
      <c r="F144" t="inlineStr">
        <is>
          <t>VÄSTRA GÖTALANDS LÄN</t>
        </is>
      </c>
      <c r="G144" t="inlineStr">
        <is>
          <t>DALS-ED</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5662-2025</t>
        </is>
      </c>
      <c r="B145" t="inlineStr">
        <is>
          <t>avverkningsanmälan</t>
        </is>
      </c>
      <c r="C145" t="inlineStr">
        <is>
          <t>Föryngringsavverkning</t>
        </is>
      </c>
      <c r="D145" s="1" t="n">
        <v>45693</v>
      </c>
      <c r="E145" s="1" t="n">
        <v>46219</v>
      </c>
      <c r="F145" t="inlineStr">
        <is>
          <t>VÄSTRA GÖTALANDS LÄN</t>
        </is>
      </c>
      <c r="G145" t="inlineStr">
        <is>
          <t>DALS-ED</t>
        </is>
      </c>
      <c r="I145" t="n">
        <v>8.1</v>
      </c>
      <c r="J145" t="n">
        <v>0</v>
      </c>
      <c r="K145" t="n">
        <v>0</v>
      </c>
      <c r="L145" t="n">
        <v>0</v>
      </c>
      <c r="M145" t="n">
        <v>0</v>
      </c>
      <c r="N145" t="n">
        <v>0</v>
      </c>
      <c r="O145" t="n">
        <v>0</v>
      </c>
      <c r="P145" t="n">
        <v>0</v>
      </c>
      <c r="Q145" t="n">
        <v>0</v>
      </c>
      <c r="R145" t="n">
        <v>0</v>
      </c>
      <c r="S145" t="n">
        <v>0</v>
      </c>
      <c r="T145" t="n">
        <v>0</v>
      </c>
      <c r="U145" s="2" t="inlineStr"/>
    </row>
    <row r="146" ht="15" customHeight="1">
      <c r="A146" t="inlineStr">
        <is>
          <t>A 44465-2023</t>
        </is>
      </c>
      <c r="B146" t="inlineStr">
        <is>
          <t>avverkningsanmälan</t>
        </is>
      </c>
      <c r="C146" t="inlineStr">
        <is>
          <t>Föryngringsavverkning</t>
        </is>
      </c>
      <c r="D146" s="1" t="n">
        <v>45189</v>
      </c>
      <c r="E146" s="1" t="n">
        <v>46219</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5569-2023</t>
        </is>
      </c>
      <c r="B147" t="inlineStr">
        <is>
          <t>avverkningsanmälan</t>
        </is>
      </c>
      <c r="C147" t="inlineStr">
        <is>
          <t>Föryngringsavverkning</t>
        </is>
      </c>
      <c r="D147" s="1" t="n">
        <v>44960</v>
      </c>
      <c r="E147" s="1" t="n">
        <v>46219</v>
      </c>
      <c r="F147" t="inlineStr">
        <is>
          <t>VÄSTRA GÖTALANDS LÄN</t>
        </is>
      </c>
      <c r="G147" t="inlineStr">
        <is>
          <t>DALS-ED</t>
        </is>
      </c>
      <c r="I147" t="n">
        <v>10.4</v>
      </c>
      <c r="J147" t="n">
        <v>0</v>
      </c>
      <c r="K147" t="n">
        <v>0</v>
      </c>
      <c r="L147" t="n">
        <v>0</v>
      </c>
      <c r="M147" t="n">
        <v>0</v>
      </c>
      <c r="N147" t="n">
        <v>0</v>
      </c>
      <c r="O147" t="n">
        <v>0</v>
      </c>
      <c r="P147" t="n">
        <v>0</v>
      </c>
      <c r="Q147" t="n">
        <v>0</v>
      </c>
      <c r="R147" t="n">
        <v>0</v>
      </c>
      <c r="S147" t="n">
        <v>0</v>
      </c>
      <c r="T147" t="n">
        <v>0</v>
      </c>
      <c r="U147" s="2" t="inlineStr"/>
    </row>
    <row r="148" ht="15" customHeight="1">
      <c r="A148" t="inlineStr">
        <is>
          <t>A 31259-2025</t>
        </is>
      </c>
      <c r="B148" t="inlineStr">
        <is>
          <t>avverkningsanmälan</t>
        </is>
      </c>
      <c r="C148" t="inlineStr">
        <is>
          <t>Föryngringsavverkning</t>
        </is>
      </c>
      <c r="D148" s="1" t="n">
        <v>45833</v>
      </c>
      <c r="E148" s="1" t="n">
        <v>46219</v>
      </c>
      <c r="F148" t="inlineStr">
        <is>
          <t>VÄSTRA GÖTALANDS LÄN</t>
        </is>
      </c>
      <c r="G148" t="inlineStr">
        <is>
          <t>DALS-ED</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41696-2021</t>
        </is>
      </c>
      <c r="B149" t="inlineStr">
        <is>
          <t>avverkningsanmälan</t>
        </is>
      </c>
      <c r="C149" t="inlineStr">
        <is>
          <t>Föryngringsavverkning</t>
        </is>
      </c>
      <c r="D149" s="1" t="n">
        <v>44425</v>
      </c>
      <c r="E149" s="1" t="n">
        <v>46219</v>
      </c>
      <c r="F149" t="inlineStr">
        <is>
          <t>VÄSTRA GÖTALANDS LÄN</t>
        </is>
      </c>
      <c r="G149" t="inlineStr">
        <is>
          <t>DALS-ED</t>
        </is>
      </c>
      <c r="I149" t="n">
        <v>6</v>
      </c>
      <c r="J149" t="n">
        <v>0</v>
      </c>
      <c r="K149" t="n">
        <v>0</v>
      </c>
      <c r="L149" t="n">
        <v>0</v>
      </c>
      <c r="M149" t="n">
        <v>0</v>
      </c>
      <c r="N149" t="n">
        <v>0</v>
      </c>
      <c r="O149" t="n">
        <v>0</v>
      </c>
      <c r="P149" t="n">
        <v>0</v>
      </c>
      <c r="Q149" t="n">
        <v>0</v>
      </c>
      <c r="R149" t="n">
        <v>0</v>
      </c>
      <c r="S149" t="n">
        <v>0</v>
      </c>
      <c r="T149" t="n">
        <v>0</v>
      </c>
      <c r="U149" s="2" t="inlineStr"/>
    </row>
    <row r="150" ht="15" customHeight="1">
      <c r="A150" t="inlineStr">
        <is>
          <t>A 2280-2023</t>
        </is>
      </c>
      <c r="B150" t="inlineStr">
        <is>
          <t>avverkningsanmälan</t>
        </is>
      </c>
      <c r="C150" t="inlineStr">
        <is>
          <t>Föryngringsavverkning</t>
        </is>
      </c>
      <c r="D150" s="1" t="n">
        <v>44942</v>
      </c>
      <c r="E150" s="1" t="n">
        <v>46219</v>
      </c>
      <c r="F150" t="inlineStr">
        <is>
          <t>VÄSTRA GÖTALANDS LÄN</t>
        </is>
      </c>
      <c r="G150" t="inlineStr">
        <is>
          <t>DALS-ED</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6817-2024</t>
        </is>
      </c>
      <c r="B151" t="inlineStr">
        <is>
          <t>avverkningsanmälan</t>
        </is>
      </c>
      <c r="C151" t="inlineStr">
        <is>
          <t>Föryngringsavverkning</t>
        </is>
      </c>
      <c r="D151" s="1" t="n">
        <v>45342</v>
      </c>
      <c r="E151" s="1" t="n">
        <v>46219</v>
      </c>
      <c r="F151" t="inlineStr">
        <is>
          <t>VÄSTRA GÖTALANDS LÄN</t>
        </is>
      </c>
      <c r="G151" t="inlineStr">
        <is>
          <t>DALS-ED</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42781-2023</t>
        </is>
      </c>
      <c r="B152" t="inlineStr">
        <is>
          <t>avverkningsanmälan</t>
        </is>
      </c>
      <c r="C152" t="inlineStr">
        <is>
          <t>Föryngringsavverkning</t>
        </is>
      </c>
      <c r="D152" s="1" t="n">
        <v>45181</v>
      </c>
      <c r="E152" s="1" t="n">
        <v>46219</v>
      </c>
      <c r="F152" t="inlineStr">
        <is>
          <t>VÄSTRA GÖTALANDS LÄN</t>
        </is>
      </c>
      <c r="G152" t="inlineStr">
        <is>
          <t>DALS-ED</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41709-2025</t>
        </is>
      </c>
      <c r="B153" t="inlineStr">
        <is>
          <t>avverkningsanmälan</t>
        </is>
      </c>
      <c r="C153" t="inlineStr">
        <is>
          <t>Föryngringsavverkning</t>
        </is>
      </c>
      <c r="D153" s="1" t="n">
        <v>45902</v>
      </c>
      <c r="E153" s="1" t="n">
        <v>46219</v>
      </c>
      <c r="F153" t="inlineStr">
        <is>
          <t>VÄSTRA GÖTALANDS LÄN</t>
        </is>
      </c>
      <c r="G153" t="inlineStr">
        <is>
          <t>DALS-ED</t>
        </is>
      </c>
      <c r="I153" t="n">
        <v>4.1</v>
      </c>
      <c r="J153" t="n">
        <v>0</v>
      </c>
      <c r="K153" t="n">
        <v>0</v>
      </c>
      <c r="L153" t="n">
        <v>0</v>
      </c>
      <c r="M153" t="n">
        <v>0</v>
      </c>
      <c r="N153" t="n">
        <v>0</v>
      </c>
      <c r="O153" t="n">
        <v>0</v>
      </c>
      <c r="P153" t="n">
        <v>0</v>
      </c>
      <c r="Q153" t="n">
        <v>0</v>
      </c>
      <c r="R153" t="n">
        <v>0</v>
      </c>
      <c r="S153" t="n">
        <v>0</v>
      </c>
      <c r="T153" t="n">
        <v>0</v>
      </c>
      <c r="U153" s="2" t="inlineStr"/>
    </row>
    <row r="154" ht="15" customHeight="1">
      <c r="A154" t="inlineStr">
        <is>
          <t>A 36232-2023</t>
        </is>
      </c>
      <c r="B154" t="inlineStr">
        <is>
          <t>avverkningsanmälan</t>
        </is>
      </c>
      <c r="C154" t="inlineStr">
        <is>
          <t>Föryngringsavverkning</t>
        </is>
      </c>
      <c r="D154" s="1" t="n">
        <v>45150</v>
      </c>
      <c r="E154" s="1" t="n">
        <v>46219</v>
      </c>
      <c r="F154" t="inlineStr">
        <is>
          <t>VÄSTRA GÖTALANDS LÄN</t>
        </is>
      </c>
      <c r="G154" t="inlineStr">
        <is>
          <t>DALS-ED</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62303-2021</t>
        </is>
      </c>
      <c r="B155" t="inlineStr">
        <is>
          <t>avverkningsanmälan</t>
        </is>
      </c>
      <c r="C155" t="inlineStr">
        <is>
          <t>Avverkning för annat ändamål</t>
        </is>
      </c>
      <c r="D155" s="1" t="n">
        <v>44503</v>
      </c>
      <c r="E155" s="1" t="n">
        <v>46219</v>
      </c>
      <c r="F155" t="inlineStr">
        <is>
          <t>VÄSTRA GÖTALANDS LÄN</t>
        </is>
      </c>
      <c r="G155" t="inlineStr">
        <is>
          <t>DALS-ED</t>
        </is>
      </c>
      <c r="H155" t="inlineStr">
        <is>
          <t>Kyrkan</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41859-2025</t>
        </is>
      </c>
      <c r="B156" t="inlineStr">
        <is>
          <t>avverkningsanmälan</t>
        </is>
      </c>
      <c r="C156" t="inlineStr">
        <is>
          <t>Avverkning för annat ändamål</t>
        </is>
      </c>
      <c r="D156" s="1" t="n">
        <v>45903</v>
      </c>
      <c r="E156" s="1" t="n">
        <v>46219</v>
      </c>
      <c r="F156" t="inlineStr">
        <is>
          <t>VÄSTRA GÖTALANDS LÄN</t>
        </is>
      </c>
      <c r="G156" t="inlineStr">
        <is>
          <t>DALS-ED</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57105-2022</t>
        </is>
      </c>
      <c r="B157" t="inlineStr">
        <is>
          <t>avverkningsanmälan</t>
        </is>
      </c>
      <c r="C157" t="inlineStr">
        <is>
          <t>Föryngringsavverkning</t>
        </is>
      </c>
      <c r="D157" s="1" t="n">
        <v>44895</v>
      </c>
      <c r="E157" s="1" t="n">
        <v>46219</v>
      </c>
      <c r="F157" t="inlineStr">
        <is>
          <t>VÄSTRA GÖTALANDS LÄN</t>
        </is>
      </c>
      <c r="G157" t="inlineStr">
        <is>
          <t>DALS-ED</t>
        </is>
      </c>
      <c r="I157" t="n">
        <v>11.4</v>
      </c>
      <c r="J157" t="n">
        <v>0</v>
      </c>
      <c r="K157" t="n">
        <v>0</v>
      </c>
      <c r="L157" t="n">
        <v>0</v>
      </c>
      <c r="M157" t="n">
        <v>0</v>
      </c>
      <c r="N157" t="n">
        <v>0</v>
      </c>
      <c r="O157" t="n">
        <v>0</v>
      </c>
      <c r="P157" t="n">
        <v>0</v>
      </c>
      <c r="Q157" t="n">
        <v>0</v>
      </c>
      <c r="R157" t="n">
        <v>0</v>
      </c>
      <c r="S157" t="n">
        <v>0</v>
      </c>
      <c r="T157" t="n">
        <v>0</v>
      </c>
      <c r="U157" s="2" t="inlineStr"/>
    </row>
    <row r="158" ht="15" customHeight="1">
      <c r="A158" t="inlineStr">
        <is>
          <t>A 42314-2025</t>
        </is>
      </c>
      <c r="B158" t="inlineStr">
        <is>
          <t>avverkningsanmälan</t>
        </is>
      </c>
      <c r="C158" t="inlineStr">
        <is>
          <t>Föryngringsavverkning</t>
        </is>
      </c>
      <c r="D158" s="1" t="n">
        <v>45904</v>
      </c>
      <c r="E158" s="1" t="n">
        <v>46219</v>
      </c>
      <c r="F158" t="inlineStr">
        <is>
          <t>VÄSTRA GÖTALANDS LÄN</t>
        </is>
      </c>
      <c r="G158" t="inlineStr">
        <is>
          <t>DALS-ED</t>
        </is>
      </c>
      <c r="I158" t="n">
        <v>5.5</v>
      </c>
      <c r="J158" t="n">
        <v>0</v>
      </c>
      <c r="K158" t="n">
        <v>0</v>
      </c>
      <c r="L158" t="n">
        <v>0</v>
      </c>
      <c r="M158" t="n">
        <v>0</v>
      </c>
      <c r="N158" t="n">
        <v>0</v>
      </c>
      <c r="O158" t="n">
        <v>0</v>
      </c>
      <c r="P158" t="n">
        <v>0</v>
      </c>
      <c r="Q158" t="n">
        <v>0</v>
      </c>
      <c r="R158" t="n">
        <v>0</v>
      </c>
      <c r="S158" t="n">
        <v>0</v>
      </c>
      <c r="T158" t="n">
        <v>0</v>
      </c>
      <c r="U158" s="2" t="inlineStr"/>
    </row>
    <row r="159" ht="15" customHeight="1">
      <c r="A159" t="inlineStr">
        <is>
          <t>A 42190-2025</t>
        </is>
      </c>
      <c r="B159" t="inlineStr">
        <is>
          <t>avverkningsanmälan</t>
        </is>
      </c>
      <c r="C159" t="inlineStr">
        <is>
          <t>Föryngringsavverkning</t>
        </is>
      </c>
      <c r="D159" s="1" t="n">
        <v>45904</v>
      </c>
      <c r="E159" s="1" t="n">
        <v>46219</v>
      </c>
      <c r="F159" t="inlineStr">
        <is>
          <t>VÄSTRA GÖTALANDS LÄN</t>
        </is>
      </c>
      <c r="G159" t="inlineStr">
        <is>
          <t>DALS-ED</t>
        </is>
      </c>
      <c r="I159" t="n">
        <v>6.3</v>
      </c>
      <c r="J159" t="n">
        <v>0</v>
      </c>
      <c r="K159" t="n">
        <v>0</v>
      </c>
      <c r="L159" t="n">
        <v>0</v>
      </c>
      <c r="M159" t="n">
        <v>0</v>
      </c>
      <c r="N159" t="n">
        <v>0</v>
      </c>
      <c r="O159" t="n">
        <v>0</v>
      </c>
      <c r="P159" t="n">
        <v>0</v>
      </c>
      <c r="Q159" t="n">
        <v>0</v>
      </c>
      <c r="R159" t="n">
        <v>0</v>
      </c>
      <c r="S159" t="n">
        <v>0</v>
      </c>
      <c r="T159" t="n">
        <v>0</v>
      </c>
      <c r="U159" s="2" t="inlineStr"/>
    </row>
    <row r="160" ht="15" customHeight="1">
      <c r="A160" t="inlineStr">
        <is>
          <t>A 42306-2025</t>
        </is>
      </c>
      <c r="B160" t="inlineStr">
        <is>
          <t>avverkningsanmälan</t>
        </is>
      </c>
      <c r="C160" t="inlineStr">
        <is>
          <t>Föryngringsavverkning</t>
        </is>
      </c>
      <c r="D160" s="1" t="n">
        <v>45904</v>
      </c>
      <c r="E160" s="1" t="n">
        <v>46219</v>
      </c>
      <c r="F160" t="inlineStr">
        <is>
          <t>VÄSTRA GÖTALANDS LÄN</t>
        </is>
      </c>
      <c r="G160" t="inlineStr">
        <is>
          <t>DALS-ED</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41853-2025</t>
        </is>
      </c>
      <c r="B161" t="inlineStr">
        <is>
          <t>avverkningsanmälan</t>
        </is>
      </c>
      <c r="C161" t="inlineStr">
        <is>
          <t>Föryngringsavverkning</t>
        </is>
      </c>
      <c r="D161" s="1" t="n">
        <v>45902</v>
      </c>
      <c r="E161" s="1" t="n">
        <v>46219</v>
      </c>
      <c r="F161" t="inlineStr">
        <is>
          <t>VÄSTRA GÖTALANDS LÄN</t>
        </is>
      </c>
      <c r="G161" t="inlineStr">
        <is>
          <t>DALS-ED</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42781-2025</t>
        </is>
      </c>
      <c r="B162" t="inlineStr">
        <is>
          <t>avverkningsanmälan</t>
        </is>
      </c>
      <c r="C162" t="inlineStr">
        <is>
          <t>Föryngringsavverkning</t>
        </is>
      </c>
      <c r="D162" s="1" t="n">
        <v>45908</v>
      </c>
      <c r="E162" s="1" t="n">
        <v>46219</v>
      </c>
      <c r="F162" t="inlineStr">
        <is>
          <t>VÄSTRA GÖTALANDS LÄN</t>
        </is>
      </c>
      <c r="G162" t="inlineStr">
        <is>
          <t>DALS-ED</t>
        </is>
      </c>
      <c r="H162" t="inlineStr">
        <is>
          <t>Kyrkan</t>
        </is>
      </c>
      <c r="I162" t="n">
        <v>2.9</v>
      </c>
      <c r="J162" t="n">
        <v>0</v>
      </c>
      <c r="K162" t="n">
        <v>0</v>
      </c>
      <c r="L162" t="n">
        <v>0</v>
      </c>
      <c r="M162" t="n">
        <v>0</v>
      </c>
      <c r="N162" t="n">
        <v>0</v>
      </c>
      <c r="O162" t="n">
        <v>0</v>
      </c>
      <c r="P162" t="n">
        <v>0</v>
      </c>
      <c r="Q162" t="n">
        <v>0</v>
      </c>
      <c r="R162" t="n">
        <v>0</v>
      </c>
      <c r="S162" t="n">
        <v>0</v>
      </c>
      <c r="T162" t="n">
        <v>0</v>
      </c>
      <c r="U162" s="2" t="inlineStr"/>
    </row>
    <row r="163" ht="15" customHeight="1">
      <c r="A163" t="inlineStr">
        <is>
          <t>A 61497-2024</t>
        </is>
      </c>
      <c r="B163" t="inlineStr">
        <is>
          <t>avverkningsanmälan</t>
        </is>
      </c>
      <c r="C163" t="inlineStr">
        <is>
          <t>Föryngringsavverkning</t>
        </is>
      </c>
      <c r="D163" s="1" t="n">
        <v>45646</v>
      </c>
      <c r="E163" s="1" t="n">
        <v>46219</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42703-2025</t>
        </is>
      </c>
      <c r="B164" t="inlineStr">
        <is>
          <t>avverkningsanmälan</t>
        </is>
      </c>
      <c r="C164" t="inlineStr">
        <is>
          <t>Föryngringsavverkning</t>
        </is>
      </c>
      <c r="D164" s="1" t="n">
        <v>45908</v>
      </c>
      <c r="E164" s="1" t="n">
        <v>46219</v>
      </c>
      <c r="F164" t="inlineStr">
        <is>
          <t>VÄSTRA GÖTALANDS LÄN</t>
        </is>
      </c>
      <c r="G164" t="inlineStr">
        <is>
          <t>DALS-ED</t>
        </is>
      </c>
      <c r="H164" t="inlineStr">
        <is>
          <t>Kyrkan</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43086-2025</t>
        </is>
      </c>
      <c r="B165" t="inlineStr">
        <is>
          <t>avverkningsanmälan</t>
        </is>
      </c>
      <c r="C165" t="inlineStr">
        <is>
          <t>Avverkning för annat ändamål</t>
        </is>
      </c>
      <c r="D165" s="1" t="n">
        <v>45909</v>
      </c>
      <c r="E165" s="1" t="n">
        <v>46219</v>
      </c>
      <c r="F165" t="inlineStr">
        <is>
          <t>VÄSTRA GÖTALANDS LÄN</t>
        </is>
      </c>
      <c r="G165" t="inlineStr">
        <is>
          <t>DALS-ED</t>
        </is>
      </c>
      <c r="I165" t="n">
        <v>0.1</v>
      </c>
      <c r="J165" t="n">
        <v>0</v>
      </c>
      <c r="K165" t="n">
        <v>0</v>
      </c>
      <c r="L165" t="n">
        <v>0</v>
      </c>
      <c r="M165" t="n">
        <v>0</v>
      </c>
      <c r="N165" t="n">
        <v>0</v>
      </c>
      <c r="O165" t="n">
        <v>0</v>
      </c>
      <c r="P165" t="n">
        <v>0</v>
      </c>
      <c r="Q165" t="n">
        <v>0</v>
      </c>
      <c r="R165" t="n">
        <v>0</v>
      </c>
      <c r="S165" t="n">
        <v>0</v>
      </c>
      <c r="T165" t="n">
        <v>0</v>
      </c>
      <c r="U165" s="2" t="inlineStr"/>
    </row>
    <row r="166" ht="15" customHeight="1">
      <c r="A166" t="inlineStr">
        <is>
          <t>A 42953-2025</t>
        </is>
      </c>
      <c r="B166" t="inlineStr">
        <is>
          <t>avverkningsanmälan</t>
        </is>
      </c>
      <c r="C166" t="inlineStr">
        <is>
          <t>Föryngringsavverkning</t>
        </is>
      </c>
      <c r="D166" s="1" t="n">
        <v>45909</v>
      </c>
      <c r="E166" s="1" t="n">
        <v>46219</v>
      </c>
      <c r="F166" t="inlineStr">
        <is>
          <t>VÄSTRA GÖTALANDS LÄN</t>
        </is>
      </c>
      <c r="G166" t="inlineStr">
        <is>
          <t>DALS-ED</t>
        </is>
      </c>
      <c r="H166" t="inlineStr">
        <is>
          <t>Kyrkan</t>
        </is>
      </c>
      <c r="I166" t="n">
        <v>3.5</v>
      </c>
      <c r="J166" t="n">
        <v>0</v>
      </c>
      <c r="K166" t="n">
        <v>0</v>
      </c>
      <c r="L166" t="n">
        <v>0</v>
      </c>
      <c r="M166" t="n">
        <v>0</v>
      </c>
      <c r="N166" t="n">
        <v>0</v>
      </c>
      <c r="O166" t="n">
        <v>0</v>
      </c>
      <c r="P166" t="n">
        <v>0</v>
      </c>
      <c r="Q166" t="n">
        <v>0</v>
      </c>
      <c r="R166" t="n">
        <v>0</v>
      </c>
      <c r="S166" t="n">
        <v>0</v>
      </c>
      <c r="T166" t="n">
        <v>0</v>
      </c>
      <c r="U166" s="2" t="inlineStr"/>
    </row>
    <row r="167" ht="15" customHeight="1">
      <c r="A167" t="inlineStr">
        <is>
          <t>A 35295-2024</t>
        </is>
      </c>
      <c r="B167" t="inlineStr">
        <is>
          <t>avverkningsanmälan</t>
        </is>
      </c>
      <c r="C167" t="inlineStr">
        <is>
          <t>Avverkning för annat ändamål</t>
        </is>
      </c>
      <c r="D167" s="1" t="n">
        <v>45530</v>
      </c>
      <c r="E167" s="1" t="n">
        <v>46219</v>
      </c>
      <c r="F167" t="inlineStr">
        <is>
          <t>VÄSTRA GÖTALANDS LÄN</t>
        </is>
      </c>
      <c r="G167" t="inlineStr">
        <is>
          <t>DALS-ED</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27877-2024</t>
        </is>
      </c>
      <c r="B168" t="inlineStr">
        <is>
          <t>avverkningsanmälan</t>
        </is>
      </c>
      <c r="C168" t="inlineStr">
        <is>
          <t>Föryngringsavverkning</t>
        </is>
      </c>
      <c r="D168" s="1" t="n">
        <v>45475</v>
      </c>
      <c r="E168" s="1" t="n">
        <v>46219</v>
      </c>
      <c r="F168" t="inlineStr">
        <is>
          <t>VÄSTRA GÖTALANDS LÄN</t>
        </is>
      </c>
      <c r="G168" t="inlineStr">
        <is>
          <t>DALS-ED</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52254-2023</t>
        </is>
      </c>
      <c r="B169" t="inlineStr">
        <is>
          <t>avverkningsanmälan</t>
        </is>
      </c>
      <c r="C169" t="inlineStr">
        <is>
          <t>Föryngringsavverkning</t>
        </is>
      </c>
      <c r="D169" s="1" t="n">
        <v>45217</v>
      </c>
      <c r="E169" s="1" t="n">
        <v>46219</v>
      </c>
      <c r="F169" t="inlineStr">
        <is>
          <t>VÄSTRA GÖTALANDS LÄN</t>
        </is>
      </c>
      <c r="G169" t="inlineStr">
        <is>
          <t>DALS-ED</t>
        </is>
      </c>
      <c r="H169" t="inlineStr">
        <is>
          <t>Kyrkan</t>
        </is>
      </c>
      <c r="I169" t="n">
        <v>1.2</v>
      </c>
      <c r="J169" t="n">
        <v>0</v>
      </c>
      <c r="K169" t="n">
        <v>0</v>
      </c>
      <c r="L169" t="n">
        <v>0</v>
      </c>
      <c r="M169" t="n">
        <v>0</v>
      </c>
      <c r="N169" t="n">
        <v>0</v>
      </c>
      <c r="O169" t="n">
        <v>0</v>
      </c>
      <c r="P169" t="n">
        <v>0</v>
      </c>
      <c r="Q169" t="n">
        <v>0</v>
      </c>
      <c r="R169" t="n">
        <v>0</v>
      </c>
      <c r="S169" t="n">
        <v>0</v>
      </c>
      <c r="T169" t="n">
        <v>0</v>
      </c>
      <c r="U169" s="2" t="inlineStr"/>
    </row>
    <row r="170" ht="15" customHeight="1">
      <c r="A170" t="inlineStr">
        <is>
          <t>A 57701-2023</t>
        </is>
      </c>
      <c r="B170" t="inlineStr">
        <is>
          <t>avverkningsanmälan</t>
        </is>
      </c>
      <c r="C170" t="inlineStr">
        <is>
          <t>Föryngringsavverkning</t>
        </is>
      </c>
      <c r="D170" s="1" t="n">
        <v>45246</v>
      </c>
      <c r="E170" s="1" t="n">
        <v>46219</v>
      </c>
      <c r="F170" t="inlineStr">
        <is>
          <t>VÄSTRA GÖTALANDS LÄN</t>
        </is>
      </c>
      <c r="G170" t="inlineStr">
        <is>
          <t>DALS-ED</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46435-2023</t>
        </is>
      </c>
      <c r="B171" t="inlineStr">
        <is>
          <t>avverkningsanmälan</t>
        </is>
      </c>
      <c r="C171" t="inlineStr">
        <is>
          <t>Föryngringsavverkning</t>
        </is>
      </c>
      <c r="D171" s="1" t="n">
        <v>45197</v>
      </c>
      <c r="E171" s="1" t="n">
        <v>46219</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38671-2024</t>
        </is>
      </c>
      <c r="B172" t="inlineStr">
        <is>
          <t>avverkningsanmälan</t>
        </is>
      </c>
      <c r="C172" t="inlineStr">
        <is>
          <t>Föryngringsavverkning</t>
        </is>
      </c>
      <c r="D172" s="1" t="n">
        <v>45547</v>
      </c>
      <c r="E172" s="1" t="n">
        <v>46219</v>
      </c>
      <c r="F172" t="inlineStr">
        <is>
          <t>VÄSTRA GÖTALANDS LÄN</t>
        </is>
      </c>
      <c r="G172" t="inlineStr">
        <is>
          <t>DALS-ED</t>
        </is>
      </c>
      <c r="I172" t="n">
        <v>4.9</v>
      </c>
      <c r="J172" t="n">
        <v>0</v>
      </c>
      <c r="K172" t="n">
        <v>0</v>
      </c>
      <c r="L172" t="n">
        <v>0</v>
      </c>
      <c r="M172" t="n">
        <v>0</v>
      </c>
      <c r="N172" t="n">
        <v>0</v>
      </c>
      <c r="O172" t="n">
        <v>0</v>
      </c>
      <c r="P172" t="n">
        <v>0</v>
      </c>
      <c r="Q172" t="n">
        <v>0</v>
      </c>
      <c r="R172" t="n">
        <v>0</v>
      </c>
      <c r="S172" t="n">
        <v>0</v>
      </c>
      <c r="T172" t="n">
        <v>0</v>
      </c>
      <c r="U172" s="2" t="inlineStr"/>
    </row>
    <row r="173" ht="15" customHeight="1">
      <c r="A173" t="inlineStr">
        <is>
          <t>A 7522-2024</t>
        </is>
      </c>
      <c r="B173" t="inlineStr">
        <is>
          <t>avverkningsanmälan</t>
        </is>
      </c>
      <c r="C173" t="inlineStr">
        <is>
          <t>Föryngringsavverkning</t>
        </is>
      </c>
      <c r="D173" s="1" t="n">
        <v>45348</v>
      </c>
      <c r="E173" s="1" t="n">
        <v>46219</v>
      </c>
      <c r="F173" t="inlineStr">
        <is>
          <t>VÄSTRA GÖTALANDS LÄN</t>
        </is>
      </c>
      <c r="G173" t="inlineStr">
        <is>
          <t>DALS-ED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45494-2025</t>
        </is>
      </c>
      <c r="B174" t="inlineStr">
        <is>
          <t>avverkningsanmälan</t>
        </is>
      </c>
      <c r="C174" t="inlineStr">
        <is>
          <t>Föryngringsavverkning</t>
        </is>
      </c>
      <c r="D174" s="1" t="n">
        <v>45922</v>
      </c>
      <c r="E174" s="1" t="n">
        <v>46219</v>
      </c>
      <c r="F174" t="inlineStr">
        <is>
          <t>VÄSTRA GÖTALANDS LÄN</t>
        </is>
      </c>
      <c r="G174" t="inlineStr">
        <is>
          <t>DALS-ED</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6570-2022</t>
        </is>
      </c>
      <c r="B175" t="inlineStr">
        <is>
          <t>avverkningsanmälan</t>
        </is>
      </c>
      <c r="C175" t="inlineStr">
        <is>
          <t>Föryngringsavverkning</t>
        </is>
      </c>
      <c r="D175" s="1" t="n">
        <v>44601</v>
      </c>
      <c r="E175" s="1" t="n">
        <v>46219</v>
      </c>
      <c r="F175" t="inlineStr">
        <is>
          <t>VÄSTRA GÖTALANDS LÄN</t>
        </is>
      </c>
      <c r="G175" t="inlineStr">
        <is>
          <t>DALS-ED</t>
        </is>
      </c>
      <c r="I175" t="n">
        <v>2.9</v>
      </c>
      <c r="J175" t="n">
        <v>0</v>
      </c>
      <c r="K175" t="n">
        <v>0</v>
      </c>
      <c r="L175" t="n">
        <v>0</v>
      </c>
      <c r="M175" t="n">
        <v>0</v>
      </c>
      <c r="N175" t="n">
        <v>0</v>
      </c>
      <c r="O175" t="n">
        <v>0</v>
      </c>
      <c r="P175" t="n">
        <v>0</v>
      </c>
      <c r="Q175" t="n">
        <v>0</v>
      </c>
      <c r="R175" t="n">
        <v>0</v>
      </c>
      <c r="S175" t="n">
        <v>0</v>
      </c>
      <c r="T175" t="n">
        <v>0</v>
      </c>
      <c r="U175" s="2" t="inlineStr"/>
    </row>
    <row r="176" ht="15" customHeight="1">
      <c r="A176" t="inlineStr">
        <is>
          <t>A 52860-2022</t>
        </is>
      </c>
      <c r="B176" t="inlineStr">
        <is>
          <t>avverkningsanmälan</t>
        </is>
      </c>
      <c r="C176" t="inlineStr">
        <is>
          <t>Föryngringsavverkning</t>
        </is>
      </c>
      <c r="D176" s="1" t="n">
        <v>44875</v>
      </c>
      <c r="E176" s="1" t="n">
        <v>46219</v>
      </c>
      <c r="F176" t="inlineStr">
        <is>
          <t>VÄSTRA GÖTALANDS LÄN</t>
        </is>
      </c>
      <c r="G176" t="inlineStr">
        <is>
          <t>DALS-ED</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60146-2022</t>
        </is>
      </c>
      <c r="B177" t="inlineStr">
        <is>
          <t>avverkningsanmälan</t>
        </is>
      </c>
      <c r="C177" t="inlineStr">
        <is>
          <t>Föryngringsavverkning</t>
        </is>
      </c>
      <c r="D177" s="1" t="n">
        <v>44902</v>
      </c>
      <c r="E177" s="1" t="n">
        <v>46219</v>
      </c>
      <c r="F177" t="inlineStr">
        <is>
          <t>VÄSTRA GÖTALANDS LÄN</t>
        </is>
      </c>
      <c r="G177" t="inlineStr">
        <is>
          <t>DALS-ED</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58199-2022</t>
        </is>
      </c>
      <c r="B178" t="inlineStr">
        <is>
          <t>avverkningsanmälan</t>
        </is>
      </c>
      <c r="C178" t="inlineStr">
        <is>
          <t>Föryngringsavverkning</t>
        </is>
      </c>
      <c r="D178" s="1" t="n">
        <v>44901</v>
      </c>
      <c r="E178" s="1" t="n">
        <v>46219</v>
      </c>
      <c r="F178" t="inlineStr">
        <is>
          <t>VÄSTRA GÖTALANDS LÄN</t>
        </is>
      </c>
      <c r="G178" t="inlineStr">
        <is>
          <t>DALS-ED</t>
        </is>
      </c>
      <c r="I178" t="n">
        <v>5.6</v>
      </c>
      <c r="J178" t="n">
        <v>0</v>
      </c>
      <c r="K178" t="n">
        <v>0</v>
      </c>
      <c r="L178" t="n">
        <v>0</v>
      </c>
      <c r="M178" t="n">
        <v>0</v>
      </c>
      <c r="N178" t="n">
        <v>0</v>
      </c>
      <c r="O178" t="n">
        <v>0</v>
      </c>
      <c r="P178" t="n">
        <v>0</v>
      </c>
      <c r="Q178" t="n">
        <v>0</v>
      </c>
      <c r="R178" t="n">
        <v>0</v>
      </c>
      <c r="S178" t="n">
        <v>0</v>
      </c>
      <c r="T178" t="n">
        <v>0</v>
      </c>
      <c r="U178" s="2" t="inlineStr"/>
    </row>
    <row r="179" ht="15" customHeight="1">
      <c r="A179" t="inlineStr">
        <is>
          <t>A 60106-2022</t>
        </is>
      </c>
      <c r="B179" t="inlineStr">
        <is>
          <t>avverkningsanmälan</t>
        </is>
      </c>
      <c r="C179" t="inlineStr">
        <is>
          <t>Föryngringsavverkning</t>
        </is>
      </c>
      <c r="D179" s="1" t="n">
        <v>44909</v>
      </c>
      <c r="E179" s="1" t="n">
        <v>46219</v>
      </c>
      <c r="F179" t="inlineStr">
        <is>
          <t>VÄSTRA GÖTALANDS LÄN</t>
        </is>
      </c>
      <c r="G179" t="inlineStr">
        <is>
          <t>DALS-ED</t>
        </is>
      </c>
      <c r="I179" t="n">
        <v>3.7</v>
      </c>
      <c r="J179" t="n">
        <v>0</v>
      </c>
      <c r="K179" t="n">
        <v>0</v>
      </c>
      <c r="L179" t="n">
        <v>0</v>
      </c>
      <c r="M179" t="n">
        <v>0</v>
      </c>
      <c r="N179" t="n">
        <v>0</v>
      </c>
      <c r="O179" t="n">
        <v>0</v>
      </c>
      <c r="P179" t="n">
        <v>0</v>
      </c>
      <c r="Q179" t="n">
        <v>0</v>
      </c>
      <c r="R179" t="n">
        <v>0</v>
      </c>
      <c r="S179" t="n">
        <v>0</v>
      </c>
      <c r="T179" t="n">
        <v>0</v>
      </c>
      <c r="U179" s="2" t="inlineStr"/>
    </row>
    <row r="180" ht="15" customHeight="1">
      <c r="A180" t="inlineStr">
        <is>
          <t>A 49863-2024</t>
        </is>
      </c>
      <c r="B180" t="inlineStr">
        <is>
          <t>avverkningsanmälan</t>
        </is>
      </c>
      <c r="C180" t="inlineStr">
        <is>
          <t>Föryngringsavverkning</t>
        </is>
      </c>
      <c r="D180" s="1" t="n">
        <v>45597</v>
      </c>
      <c r="E180" s="1" t="n">
        <v>46219</v>
      </c>
      <c r="F180" t="inlineStr">
        <is>
          <t>VÄSTRA GÖTALANDS LÄN</t>
        </is>
      </c>
      <c r="G180" t="inlineStr">
        <is>
          <t>DALS-ED</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13581-2022</t>
        </is>
      </c>
      <c r="B181" t="inlineStr">
        <is>
          <t>avverkningsanmälan</t>
        </is>
      </c>
      <c r="C181" t="inlineStr">
        <is>
          <t>Föryngringsavverkning</t>
        </is>
      </c>
      <c r="D181" s="1" t="n">
        <v>44648</v>
      </c>
      <c r="E181" s="1" t="n">
        <v>46219</v>
      </c>
      <c r="F181" t="inlineStr">
        <is>
          <t>VÄSTRA GÖTALANDS LÄN</t>
        </is>
      </c>
      <c r="G181" t="inlineStr">
        <is>
          <t>DALS-ED</t>
        </is>
      </c>
      <c r="I181" t="n">
        <v>3.8</v>
      </c>
      <c r="J181" t="n">
        <v>0</v>
      </c>
      <c r="K181" t="n">
        <v>0</v>
      </c>
      <c r="L181" t="n">
        <v>0</v>
      </c>
      <c r="M181" t="n">
        <v>0</v>
      </c>
      <c r="N181" t="n">
        <v>0</v>
      </c>
      <c r="O181" t="n">
        <v>0</v>
      </c>
      <c r="P181" t="n">
        <v>0</v>
      </c>
      <c r="Q181" t="n">
        <v>0</v>
      </c>
      <c r="R181" t="n">
        <v>0</v>
      </c>
      <c r="S181" t="n">
        <v>0</v>
      </c>
      <c r="T181" t="n">
        <v>0</v>
      </c>
      <c r="U181" s="2" t="inlineStr"/>
    </row>
    <row r="182" ht="15" customHeight="1">
      <c r="A182" t="inlineStr">
        <is>
          <t>A 46434-2025</t>
        </is>
      </c>
      <c r="B182" t="inlineStr">
        <is>
          <t>avverkningsanmälan</t>
        </is>
      </c>
      <c r="C182" t="inlineStr">
        <is>
          <t>Föryngringsavverkning</t>
        </is>
      </c>
      <c r="D182" s="1" t="n">
        <v>45925</v>
      </c>
      <c r="E182" s="1" t="n">
        <v>46219</v>
      </c>
      <c r="F182" t="inlineStr">
        <is>
          <t>VÄSTRA GÖTALANDS LÄN</t>
        </is>
      </c>
      <c r="G182" t="inlineStr">
        <is>
          <t>DALS-ED</t>
        </is>
      </c>
      <c r="I182" t="n">
        <v>11.6</v>
      </c>
      <c r="J182" t="n">
        <v>0</v>
      </c>
      <c r="K182" t="n">
        <v>0</v>
      </c>
      <c r="L182" t="n">
        <v>0</v>
      </c>
      <c r="M182" t="n">
        <v>0</v>
      </c>
      <c r="N182" t="n">
        <v>0</v>
      </c>
      <c r="O182" t="n">
        <v>0</v>
      </c>
      <c r="P182" t="n">
        <v>0</v>
      </c>
      <c r="Q182" t="n">
        <v>0</v>
      </c>
      <c r="R182" t="n">
        <v>0</v>
      </c>
      <c r="S182" t="n">
        <v>0</v>
      </c>
      <c r="T182" t="n">
        <v>0</v>
      </c>
      <c r="U182" s="2" t="inlineStr"/>
    </row>
    <row r="183" ht="15" customHeight="1">
      <c r="A183" t="inlineStr">
        <is>
          <t>A 46240-2025</t>
        </is>
      </c>
      <c r="B183" t="inlineStr">
        <is>
          <t>avverkningsanmälan</t>
        </is>
      </c>
      <c r="C183" t="inlineStr">
        <is>
          <t>Föryngringsavverkning</t>
        </is>
      </c>
      <c r="D183" s="1" t="n">
        <v>45925</v>
      </c>
      <c r="E183" s="1" t="n">
        <v>46219</v>
      </c>
      <c r="F183" t="inlineStr">
        <is>
          <t>VÄSTRA GÖTALANDS LÄN</t>
        </is>
      </c>
      <c r="G183" t="inlineStr">
        <is>
          <t>DALS-ED</t>
        </is>
      </c>
      <c r="I183" t="n">
        <v>19.8</v>
      </c>
      <c r="J183" t="n">
        <v>0</v>
      </c>
      <c r="K183" t="n">
        <v>0</v>
      </c>
      <c r="L183" t="n">
        <v>0</v>
      </c>
      <c r="M183" t="n">
        <v>0</v>
      </c>
      <c r="N183" t="n">
        <v>0</v>
      </c>
      <c r="O183" t="n">
        <v>0</v>
      </c>
      <c r="P183" t="n">
        <v>0</v>
      </c>
      <c r="Q183" t="n">
        <v>0</v>
      </c>
      <c r="R183" t="n">
        <v>0</v>
      </c>
      <c r="S183" t="n">
        <v>0</v>
      </c>
      <c r="T183" t="n">
        <v>0</v>
      </c>
      <c r="U183" s="2" t="inlineStr"/>
    </row>
    <row r="184" ht="15" customHeight="1">
      <c r="A184" t="inlineStr">
        <is>
          <t>A 46383-2025</t>
        </is>
      </c>
      <c r="B184" t="inlineStr">
        <is>
          <t>avverkningsanmälan</t>
        </is>
      </c>
      <c r="C184" t="inlineStr">
        <is>
          <t>Föryngringsavverkning</t>
        </is>
      </c>
      <c r="D184" s="1" t="n">
        <v>45925</v>
      </c>
      <c r="E184" s="1" t="n">
        <v>46219</v>
      </c>
      <c r="F184" t="inlineStr">
        <is>
          <t>VÄSTRA GÖTALANDS LÄN</t>
        </is>
      </c>
      <c r="G184" t="inlineStr">
        <is>
          <t>DALS-ED</t>
        </is>
      </c>
      <c r="H184" t="inlineStr">
        <is>
          <t>Kyrkan</t>
        </is>
      </c>
      <c r="I184" t="n">
        <v>3.6</v>
      </c>
      <c r="J184" t="n">
        <v>0</v>
      </c>
      <c r="K184" t="n">
        <v>0</v>
      </c>
      <c r="L184" t="n">
        <v>0</v>
      </c>
      <c r="M184" t="n">
        <v>0</v>
      </c>
      <c r="N184" t="n">
        <v>0</v>
      </c>
      <c r="O184" t="n">
        <v>0</v>
      </c>
      <c r="P184" t="n">
        <v>0</v>
      </c>
      <c r="Q184" t="n">
        <v>0</v>
      </c>
      <c r="R184" t="n">
        <v>0</v>
      </c>
      <c r="S184" t="n">
        <v>0</v>
      </c>
      <c r="T184" t="n">
        <v>0</v>
      </c>
      <c r="U184" s="2" t="inlineStr"/>
    </row>
    <row r="185" ht="15" customHeight="1">
      <c r="A185" t="inlineStr">
        <is>
          <t>A 47123-2025</t>
        </is>
      </c>
      <c r="B185" t="inlineStr">
        <is>
          <t>avverkningsanmälan</t>
        </is>
      </c>
      <c r="C185" t="inlineStr">
        <is>
          <t>Föryngringsavverkning</t>
        </is>
      </c>
      <c r="D185" s="1" t="n">
        <v>45929</v>
      </c>
      <c r="E185" s="1" t="n">
        <v>46219</v>
      </c>
      <c r="F185" t="inlineStr">
        <is>
          <t>VÄSTRA GÖTALANDS LÄN</t>
        </is>
      </c>
      <c r="G185" t="inlineStr">
        <is>
          <t>DALS-ED</t>
        </is>
      </c>
      <c r="I185" t="n">
        <v>4.2</v>
      </c>
      <c r="J185" t="n">
        <v>0</v>
      </c>
      <c r="K185" t="n">
        <v>0</v>
      </c>
      <c r="L185" t="n">
        <v>0</v>
      </c>
      <c r="M185" t="n">
        <v>0</v>
      </c>
      <c r="N185" t="n">
        <v>0</v>
      </c>
      <c r="O185" t="n">
        <v>0</v>
      </c>
      <c r="P185" t="n">
        <v>0</v>
      </c>
      <c r="Q185" t="n">
        <v>0</v>
      </c>
      <c r="R185" t="n">
        <v>0</v>
      </c>
      <c r="S185" t="n">
        <v>0</v>
      </c>
      <c r="T185" t="n">
        <v>0</v>
      </c>
      <c r="U185" s="2" t="inlineStr"/>
    </row>
    <row r="186" ht="15" customHeight="1">
      <c r="A186" t="inlineStr">
        <is>
          <t>A 46979-2025</t>
        </is>
      </c>
      <c r="B186" t="inlineStr">
        <is>
          <t>avverkningsanmälan</t>
        </is>
      </c>
      <c r="C186" t="inlineStr">
        <is>
          <t>Föryngringsavverkning</t>
        </is>
      </c>
      <c r="D186" s="1" t="n">
        <v>45929</v>
      </c>
      <c r="E186" s="1" t="n">
        <v>46219</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47311-2023</t>
        </is>
      </c>
      <c r="B187" t="inlineStr">
        <is>
          <t>avverkningsanmälan</t>
        </is>
      </c>
      <c r="C187" t="inlineStr">
        <is>
          <t>Föryngringsavverkning</t>
        </is>
      </c>
      <c r="D187" s="1" t="n">
        <v>45202</v>
      </c>
      <c r="E187" s="1" t="n">
        <v>46219</v>
      </c>
      <c r="F187" t="inlineStr">
        <is>
          <t>VÄSTRA GÖTALANDS LÄN</t>
        </is>
      </c>
      <c r="G187" t="inlineStr">
        <is>
          <t>DALS-ED</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17643-2024</t>
        </is>
      </c>
      <c r="B188" t="inlineStr">
        <is>
          <t>avverkningsanmälan</t>
        </is>
      </c>
      <c r="C188" t="inlineStr">
        <is>
          <t>Föryngringsavverkning</t>
        </is>
      </c>
      <c r="D188" s="1" t="n">
        <v>45418</v>
      </c>
      <c r="E188" s="1" t="n">
        <v>46219</v>
      </c>
      <c r="F188" t="inlineStr">
        <is>
          <t>VÄSTRA GÖTALANDS LÄN</t>
        </is>
      </c>
      <c r="G188" t="inlineStr">
        <is>
          <t>DALS-ED</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48032-2025</t>
        </is>
      </c>
      <c r="B189" t="inlineStr">
        <is>
          <t>avverkningsanmälan</t>
        </is>
      </c>
      <c r="C189" t="inlineStr">
        <is>
          <t>Föryngringsavverkning</t>
        </is>
      </c>
      <c r="D189" s="1" t="n">
        <v>45932</v>
      </c>
      <c r="E189" s="1" t="n">
        <v>46219</v>
      </c>
      <c r="F189" t="inlineStr">
        <is>
          <t>VÄSTRA GÖTALANDS LÄN</t>
        </is>
      </c>
      <c r="G189" t="inlineStr">
        <is>
          <t>DALS-ED</t>
        </is>
      </c>
      <c r="I189" t="n">
        <v>2.2</v>
      </c>
      <c r="J189" t="n">
        <v>0</v>
      </c>
      <c r="K189" t="n">
        <v>0</v>
      </c>
      <c r="L189" t="n">
        <v>0</v>
      </c>
      <c r="M189" t="n">
        <v>0</v>
      </c>
      <c r="N189" t="n">
        <v>0</v>
      </c>
      <c r="O189" t="n">
        <v>0</v>
      </c>
      <c r="P189" t="n">
        <v>0</v>
      </c>
      <c r="Q189" t="n">
        <v>0</v>
      </c>
      <c r="R189" t="n">
        <v>0</v>
      </c>
      <c r="S189" t="n">
        <v>0</v>
      </c>
      <c r="T189" t="n">
        <v>0</v>
      </c>
      <c r="U189" s="2" t="inlineStr"/>
    </row>
    <row r="190" ht="15" customHeight="1">
      <c r="A190" t="inlineStr">
        <is>
          <t>A 48025-2025</t>
        </is>
      </c>
      <c r="B190" t="inlineStr">
        <is>
          <t>avverkningsanmälan</t>
        </is>
      </c>
      <c r="C190" t="inlineStr">
        <is>
          <t>Föryngringsavverkning</t>
        </is>
      </c>
      <c r="D190" s="1" t="n">
        <v>45932</v>
      </c>
      <c r="E190" s="1" t="n">
        <v>46219</v>
      </c>
      <c r="F190" t="inlineStr">
        <is>
          <t>VÄSTRA GÖTALANDS LÄN</t>
        </is>
      </c>
      <c r="G190" t="inlineStr">
        <is>
          <t>DALS-ED</t>
        </is>
      </c>
      <c r="I190" t="n">
        <v>4.3</v>
      </c>
      <c r="J190" t="n">
        <v>0</v>
      </c>
      <c r="K190" t="n">
        <v>0</v>
      </c>
      <c r="L190" t="n">
        <v>0</v>
      </c>
      <c r="M190" t="n">
        <v>0</v>
      </c>
      <c r="N190" t="n">
        <v>0</v>
      </c>
      <c r="O190" t="n">
        <v>0</v>
      </c>
      <c r="P190" t="n">
        <v>0</v>
      </c>
      <c r="Q190" t="n">
        <v>0</v>
      </c>
      <c r="R190" t="n">
        <v>0</v>
      </c>
      <c r="S190" t="n">
        <v>0</v>
      </c>
      <c r="T190" t="n">
        <v>0</v>
      </c>
      <c r="U190" s="2" t="inlineStr"/>
    </row>
    <row r="191" ht="15" customHeight="1">
      <c r="A191" t="inlineStr">
        <is>
          <t>A 18453-2024</t>
        </is>
      </c>
      <c r="B191" t="inlineStr">
        <is>
          <t>avverkningsanmälan</t>
        </is>
      </c>
      <c r="C191" t="inlineStr">
        <is>
          <t>Föryngringsavverkning</t>
        </is>
      </c>
      <c r="D191" s="1" t="n">
        <v>45425</v>
      </c>
      <c r="E191" s="1" t="n">
        <v>46219</v>
      </c>
      <c r="F191" t="inlineStr">
        <is>
          <t>VÄSTRA GÖTALANDS LÄN</t>
        </is>
      </c>
      <c r="G191" t="inlineStr">
        <is>
          <t>DALS-ED</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19370-2023</t>
        </is>
      </c>
      <c r="B192" t="inlineStr">
        <is>
          <t>avverkningsanmälan</t>
        </is>
      </c>
      <c r="C192" t="inlineStr">
        <is>
          <t>Föryngringsavverkning</t>
        </is>
      </c>
      <c r="D192" s="1" t="n">
        <v>45049</v>
      </c>
      <c r="E192" s="1" t="n">
        <v>46219</v>
      </c>
      <c r="F192" t="inlineStr">
        <is>
          <t>VÄSTRA GÖTALANDS LÄN</t>
        </is>
      </c>
      <c r="G192" t="inlineStr">
        <is>
          <t>DALS-ED</t>
        </is>
      </c>
      <c r="I192" t="n">
        <v>1.9</v>
      </c>
      <c r="J192" t="n">
        <v>0</v>
      </c>
      <c r="K192" t="n">
        <v>0</v>
      </c>
      <c r="L192" t="n">
        <v>0</v>
      </c>
      <c r="M192" t="n">
        <v>0</v>
      </c>
      <c r="N192" t="n">
        <v>0</v>
      </c>
      <c r="O192" t="n">
        <v>0</v>
      </c>
      <c r="P192" t="n">
        <v>0</v>
      </c>
      <c r="Q192" t="n">
        <v>0</v>
      </c>
      <c r="R192" t="n">
        <v>0</v>
      </c>
      <c r="S192" t="n">
        <v>0</v>
      </c>
      <c r="T192" t="n">
        <v>0</v>
      </c>
      <c r="U192" s="2" t="inlineStr"/>
    </row>
    <row r="193" ht="15" customHeight="1">
      <c r="A193" t="inlineStr">
        <is>
          <t>A 19373-2023</t>
        </is>
      </c>
      <c r="B193" t="inlineStr">
        <is>
          <t>avverkningsanmälan</t>
        </is>
      </c>
      <c r="C193" t="inlineStr">
        <is>
          <t>Föryngringsavverkning</t>
        </is>
      </c>
      <c r="D193" s="1" t="n">
        <v>45049</v>
      </c>
      <c r="E193" s="1" t="n">
        <v>46219</v>
      </c>
      <c r="F193" t="inlineStr">
        <is>
          <t>VÄSTRA GÖTALANDS LÄN</t>
        </is>
      </c>
      <c r="G193" t="inlineStr">
        <is>
          <t>DALS-ED</t>
        </is>
      </c>
      <c r="I193" t="n">
        <v>3.5</v>
      </c>
      <c r="J193" t="n">
        <v>0</v>
      </c>
      <c r="K193" t="n">
        <v>0</v>
      </c>
      <c r="L193" t="n">
        <v>0</v>
      </c>
      <c r="M193" t="n">
        <v>0</v>
      </c>
      <c r="N193" t="n">
        <v>0</v>
      </c>
      <c r="O193" t="n">
        <v>0</v>
      </c>
      <c r="P193" t="n">
        <v>0</v>
      </c>
      <c r="Q193" t="n">
        <v>0</v>
      </c>
      <c r="R193" t="n">
        <v>0</v>
      </c>
      <c r="S193" t="n">
        <v>0</v>
      </c>
      <c r="T193" t="n">
        <v>0</v>
      </c>
      <c r="U193" s="2" t="inlineStr"/>
    </row>
    <row r="194" ht="15" customHeight="1">
      <c r="A194" t="inlineStr">
        <is>
          <t>A 51020-2024</t>
        </is>
      </c>
      <c r="B194" t="inlineStr">
        <is>
          <t>avverkningsanmälan</t>
        </is>
      </c>
      <c r="C194" t="inlineStr">
        <is>
          <t>Föryngringsavverkning</t>
        </is>
      </c>
      <c r="D194" s="1" t="n">
        <v>45603</v>
      </c>
      <c r="E194" s="1" t="n">
        <v>46219</v>
      </c>
      <c r="F194" t="inlineStr">
        <is>
          <t>VÄSTRA GÖTALANDS LÄN</t>
        </is>
      </c>
      <c r="G194" t="inlineStr">
        <is>
          <t>DALS-ED</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4114-2023</t>
        </is>
      </c>
      <c r="B195" t="inlineStr">
        <is>
          <t>avverkningsanmälan</t>
        </is>
      </c>
      <c r="C195" t="inlineStr">
        <is>
          <t>Föryngringsavverkning</t>
        </is>
      </c>
      <c r="D195" s="1" t="n">
        <v>44952</v>
      </c>
      <c r="E195" s="1" t="n">
        <v>46219</v>
      </c>
      <c r="F195" t="inlineStr">
        <is>
          <t>VÄSTRA GÖTALANDS LÄN</t>
        </is>
      </c>
      <c r="G195" t="inlineStr">
        <is>
          <t>DALS-ED</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49903-2025</t>
        </is>
      </c>
      <c r="B196" t="inlineStr">
        <is>
          <t>avverkningsanmälan</t>
        </is>
      </c>
      <c r="C196" t="inlineStr">
        <is>
          <t>Föryngringsavverkning</t>
        </is>
      </c>
      <c r="D196" s="1" t="n">
        <v>45940</v>
      </c>
      <c r="E196" s="1" t="n">
        <v>46219</v>
      </c>
      <c r="F196" t="inlineStr">
        <is>
          <t>VÄSTRA GÖTALANDS LÄN</t>
        </is>
      </c>
      <c r="G196" t="inlineStr">
        <is>
          <t>DALS-ED</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6368-2022</t>
        </is>
      </c>
      <c r="B197" t="inlineStr">
        <is>
          <t>avverkningsanmälan</t>
        </is>
      </c>
      <c r="C197" t="inlineStr">
        <is>
          <t>Föryngringsavverkning</t>
        </is>
      </c>
      <c r="D197" s="1" t="n">
        <v>44600</v>
      </c>
      <c r="E197" s="1" t="n">
        <v>46219</v>
      </c>
      <c r="F197" t="inlineStr">
        <is>
          <t>VÄSTRA GÖTALANDS LÄN</t>
        </is>
      </c>
      <c r="G197" t="inlineStr">
        <is>
          <t>DALS-ED</t>
        </is>
      </c>
      <c r="H197" t="inlineStr">
        <is>
          <t>Kyrkan</t>
        </is>
      </c>
      <c r="I197" t="n">
        <v>7</v>
      </c>
      <c r="J197" t="n">
        <v>0</v>
      </c>
      <c r="K197" t="n">
        <v>0</v>
      </c>
      <c r="L197" t="n">
        <v>0</v>
      </c>
      <c r="M197" t="n">
        <v>0</v>
      </c>
      <c r="N197" t="n">
        <v>0</v>
      </c>
      <c r="O197" t="n">
        <v>0</v>
      </c>
      <c r="P197" t="n">
        <v>0</v>
      </c>
      <c r="Q197" t="n">
        <v>0</v>
      </c>
      <c r="R197" t="n">
        <v>0</v>
      </c>
      <c r="S197" t="n">
        <v>0</v>
      </c>
      <c r="T197" t="n">
        <v>0</v>
      </c>
      <c r="U197" s="2" t="inlineStr"/>
    </row>
    <row r="198" ht="15" customHeight="1">
      <c r="A198" t="inlineStr">
        <is>
          <t>A 25924-2024</t>
        </is>
      </c>
      <c r="B198" t="inlineStr">
        <is>
          <t>avverkningsanmälan</t>
        </is>
      </c>
      <c r="C198" t="inlineStr">
        <is>
          <t>Föryngringsavverkning</t>
        </is>
      </c>
      <c r="D198" s="1" t="n">
        <v>45467</v>
      </c>
      <c r="E198" s="1" t="n">
        <v>46219</v>
      </c>
      <c r="F198" t="inlineStr">
        <is>
          <t>VÄSTRA GÖTALANDS LÄN</t>
        </is>
      </c>
      <c r="G198" t="inlineStr">
        <is>
          <t>DALS-ED</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31909-2023</t>
        </is>
      </c>
      <c r="B199" t="inlineStr">
        <is>
          <t>avverkningsanmälan</t>
        </is>
      </c>
      <c r="C199" t="inlineStr">
        <is>
          <t>Föryngringsavverkning</t>
        </is>
      </c>
      <c r="D199" s="1" t="n">
        <v>45118</v>
      </c>
      <c r="E199" s="1" t="n">
        <v>46219</v>
      </c>
      <c r="F199" t="inlineStr">
        <is>
          <t>VÄSTRA GÖTALANDS LÄN</t>
        </is>
      </c>
      <c r="G199" t="inlineStr">
        <is>
          <t>DALS-ED</t>
        </is>
      </c>
      <c r="I199" t="n">
        <v>6.1</v>
      </c>
      <c r="J199" t="n">
        <v>0</v>
      </c>
      <c r="K199" t="n">
        <v>0</v>
      </c>
      <c r="L199" t="n">
        <v>0</v>
      </c>
      <c r="M199" t="n">
        <v>0</v>
      </c>
      <c r="N199" t="n">
        <v>0</v>
      </c>
      <c r="O199" t="n">
        <v>0</v>
      </c>
      <c r="P199" t="n">
        <v>0</v>
      </c>
      <c r="Q199" t="n">
        <v>0</v>
      </c>
      <c r="R199" t="n">
        <v>0</v>
      </c>
      <c r="S199" t="n">
        <v>0</v>
      </c>
      <c r="T199" t="n">
        <v>0</v>
      </c>
      <c r="U199" s="2" t="inlineStr"/>
    </row>
    <row r="200" ht="15" customHeight="1">
      <c r="A200" t="inlineStr">
        <is>
          <t>A 62985-2023</t>
        </is>
      </c>
      <c r="B200" t="inlineStr">
        <is>
          <t>avverkningsanmälan</t>
        </is>
      </c>
      <c r="C200" t="inlineStr">
        <is>
          <t>Föryngringsavverkning</t>
        </is>
      </c>
      <c r="D200" s="1" t="n">
        <v>45272</v>
      </c>
      <c r="E200" s="1" t="n">
        <v>46219</v>
      </c>
      <c r="F200" t="inlineStr">
        <is>
          <t>VÄSTRA GÖTALANDS LÄN</t>
        </is>
      </c>
      <c r="G200" t="inlineStr">
        <is>
          <t>DALS-ED</t>
        </is>
      </c>
      <c r="I200" t="n">
        <v>8.300000000000001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50735-2025</t>
        </is>
      </c>
      <c r="B201" t="inlineStr">
        <is>
          <t>avverkningsanmälan</t>
        </is>
      </c>
      <c r="C201" t="inlineStr">
        <is>
          <t>Föryngringsavverkning</t>
        </is>
      </c>
      <c r="D201" s="1" t="n">
        <v>45946</v>
      </c>
      <c r="E201" s="1" t="n">
        <v>46219</v>
      </c>
      <c r="F201" t="inlineStr">
        <is>
          <t>VÄSTRA GÖTALANDS LÄN</t>
        </is>
      </c>
      <c r="G201" t="inlineStr">
        <is>
          <t>DALS-ED</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46447-2021</t>
        </is>
      </c>
      <c r="B202" t="inlineStr">
        <is>
          <t>avverkningsanmälan</t>
        </is>
      </c>
      <c r="C202" t="inlineStr">
        <is>
          <t>Föryngringsavverkning</t>
        </is>
      </c>
      <c r="D202" s="1" t="n">
        <v>44442</v>
      </c>
      <c r="E202" s="1" t="n">
        <v>46219</v>
      </c>
      <c r="F202" t="inlineStr">
        <is>
          <t>VÄSTRA GÖTALANDS LÄN</t>
        </is>
      </c>
      <c r="G202" t="inlineStr">
        <is>
          <t>DALS-ED</t>
        </is>
      </c>
      <c r="I202" t="n">
        <v>3.6</v>
      </c>
      <c r="J202" t="n">
        <v>0</v>
      </c>
      <c r="K202" t="n">
        <v>0</v>
      </c>
      <c r="L202" t="n">
        <v>0</v>
      </c>
      <c r="M202" t="n">
        <v>0</v>
      </c>
      <c r="N202" t="n">
        <v>0</v>
      </c>
      <c r="O202" t="n">
        <v>0</v>
      </c>
      <c r="P202" t="n">
        <v>0</v>
      </c>
      <c r="Q202" t="n">
        <v>0</v>
      </c>
      <c r="R202" t="n">
        <v>0</v>
      </c>
      <c r="S202" t="n">
        <v>0</v>
      </c>
      <c r="T202" t="n">
        <v>0</v>
      </c>
      <c r="U202" s="2" t="inlineStr"/>
    </row>
    <row r="203" ht="15" customHeight="1">
      <c r="A203" t="inlineStr">
        <is>
          <t>A 9292-2024</t>
        </is>
      </c>
      <c r="B203" t="inlineStr">
        <is>
          <t>avverkningsanmälan</t>
        </is>
      </c>
      <c r="C203" t="inlineStr">
        <is>
          <t>Föryngringsavverkning</t>
        </is>
      </c>
      <c r="D203" s="1" t="n">
        <v>45358</v>
      </c>
      <c r="E203" s="1" t="n">
        <v>46219</v>
      </c>
      <c r="F203" t="inlineStr">
        <is>
          <t>VÄSTRA GÖTALANDS LÄN</t>
        </is>
      </c>
      <c r="G203" t="inlineStr">
        <is>
          <t>DALS-ED</t>
        </is>
      </c>
      <c r="H203" t="inlineStr">
        <is>
          <t>Övriga Aktiebolag</t>
        </is>
      </c>
      <c r="I203" t="n">
        <v>26.4</v>
      </c>
      <c r="J203" t="n">
        <v>0</v>
      </c>
      <c r="K203" t="n">
        <v>0</v>
      </c>
      <c r="L203" t="n">
        <v>0</v>
      </c>
      <c r="M203" t="n">
        <v>0</v>
      </c>
      <c r="N203" t="n">
        <v>0</v>
      </c>
      <c r="O203" t="n">
        <v>0</v>
      </c>
      <c r="P203" t="n">
        <v>0</v>
      </c>
      <c r="Q203" t="n">
        <v>0</v>
      </c>
      <c r="R203" t="n">
        <v>0</v>
      </c>
      <c r="S203" t="n">
        <v>0</v>
      </c>
      <c r="T203" t="n">
        <v>0</v>
      </c>
      <c r="U203" s="2" t="inlineStr"/>
    </row>
    <row r="204" ht="15" customHeight="1">
      <c r="A204" t="inlineStr">
        <is>
          <t>A 19049-2023</t>
        </is>
      </c>
      <c r="B204" t="inlineStr">
        <is>
          <t>avverkningsanmälan</t>
        </is>
      </c>
      <c r="C204" t="inlineStr">
        <is>
          <t>Avverkning för annat ändamål</t>
        </is>
      </c>
      <c r="D204" s="1" t="n">
        <v>45047</v>
      </c>
      <c r="E204" s="1" t="n">
        <v>46219</v>
      </c>
      <c r="F204" t="inlineStr">
        <is>
          <t>VÄSTRA GÖTALANDS LÄN</t>
        </is>
      </c>
      <c r="G204" t="inlineStr">
        <is>
          <t>DALS-ED</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48281-2022</t>
        </is>
      </c>
      <c r="B205" t="inlineStr">
        <is>
          <t>avverkningsanmälan</t>
        </is>
      </c>
      <c r="C205" t="inlineStr">
        <is>
          <t>Föryngringsavverkning</t>
        </is>
      </c>
      <c r="D205" s="1" t="n">
        <v>44858</v>
      </c>
      <c r="E205" s="1" t="n">
        <v>46219</v>
      </c>
      <c r="F205" t="inlineStr">
        <is>
          <t>VÄSTRA GÖTALANDS LÄN</t>
        </is>
      </c>
      <c r="G205" t="inlineStr">
        <is>
          <t>DALS-ED</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37526-2024</t>
        </is>
      </c>
      <c r="B206" t="inlineStr">
        <is>
          <t>avverkningsanmälan</t>
        </is>
      </c>
      <c r="C206" t="inlineStr">
        <is>
          <t>Föryngringsavverkning</t>
        </is>
      </c>
      <c r="D206" s="1" t="n">
        <v>45541</v>
      </c>
      <c r="E206" s="1" t="n">
        <v>46219</v>
      </c>
      <c r="F206" t="inlineStr">
        <is>
          <t>VÄSTRA GÖTALANDS LÄN</t>
        </is>
      </c>
      <c r="G206" t="inlineStr">
        <is>
          <t>DALS-ED</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26534-2023</t>
        </is>
      </c>
      <c r="B207" t="inlineStr">
        <is>
          <t>avverkningsanmälan</t>
        </is>
      </c>
      <c r="C207" t="inlineStr">
        <is>
          <t>Föryngringsavverkning</t>
        </is>
      </c>
      <c r="D207" s="1" t="n">
        <v>45092</v>
      </c>
      <c r="E207" s="1" t="n">
        <v>46219</v>
      </c>
      <c r="F207" t="inlineStr">
        <is>
          <t>VÄSTRA GÖTALANDS LÄN</t>
        </is>
      </c>
      <c r="G207" t="inlineStr">
        <is>
          <t>DALS-ED</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51817-2025</t>
        </is>
      </c>
      <c r="B208" t="inlineStr">
        <is>
          <t>avverkningsanmälan</t>
        </is>
      </c>
      <c r="C208" t="inlineStr">
        <is>
          <t>Föryngringsavverkning</t>
        </is>
      </c>
      <c r="D208" s="1" t="n">
        <v>45951</v>
      </c>
      <c r="E208" s="1" t="n">
        <v>46219</v>
      </c>
      <c r="F208" t="inlineStr">
        <is>
          <t>VÄSTRA GÖTALANDS LÄN</t>
        </is>
      </c>
      <c r="G208" t="inlineStr">
        <is>
          <t>DALS-ED</t>
        </is>
      </c>
      <c r="I208" t="n">
        <v>7.6</v>
      </c>
      <c r="J208" t="n">
        <v>0</v>
      </c>
      <c r="K208" t="n">
        <v>0</v>
      </c>
      <c r="L208" t="n">
        <v>0</v>
      </c>
      <c r="M208" t="n">
        <v>0</v>
      </c>
      <c r="N208" t="n">
        <v>0</v>
      </c>
      <c r="O208" t="n">
        <v>0</v>
      </c>
      <c r="P208" t="n">
        <v>0</v>
      </c>
      <c r="Q208" t="n">
        <v>0</v>
      </c>
      <c r="R208" t="n">
        <v>0</v>
      </c>
      <c r="S208" t="n">
        <v>0</v>
      </c>
      <c r="T208" t="n">
        <v>0</v>
      </c>
      <c r="U208" s="2" t="inlineStr"/>
    </row>
    <row r="209" ht="15" customHeight="1">
      <c r="A209" t="inlineStr">
        <is>
          <t>A 51821-2025</t>
        </is>
      </c>
      <c r="B209" t="inlineStr">
        <is>
          <t>avverkningsanmälan</t>
        </is>
      </c>
      <c r="C209" t="inlineStr">
        <is>
          <t>Föryngringsavverkning</t>
        </is>
      </c>
      <c r="D209" s="1" t="n">
        <v>45951</v>
      </c>
      <c r="E209" s="1" t="n">
        <v>46219</v>
      </c>
      <c r="F209" t="inlineStr">
        <is>
          <t>VÄSTRA GÖTALANDS LÄN</t>
        </is>
      </c>
      <c r="G209" t="inlineStr">
        <is>
          <t>DALS-ED</t>
        </is>
      </c>
      <c r="H209" t="inlineStr">
        <is>
          <t>Kyrkan</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51818-2025</t>
        </is>
      </c>
      <c r="B210" t="inlineStr">
        <is>
          <t>avverkningsanmälan</t>
        </is>
      </c>
      <c r="C210" t="inlineStr">
        <is>
          <t>Föryngringsavverkning</t>
        </is>
      </c>
      <c r="D210" s="1" t="n">
        <v>45951</v>
      </c>
      <c r="E210" s="1" t="n">
        <v>46219</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54018-2021</t>
        </is>
      </c>
      <c r="B211" t="inlineStr">
        <is>
          <t>avverkningsanmälan</t>
        </is>
      </c>
      <c r="C211" t="inlineStr">
        <is>
          <t>Föryngringsavverkning</t>
        </is>
      </c>
      <c r="D211" s="1" t="n">
        <v>44468</v>
      </c>
      <c r="E211" s="1" t="n">
        <v>46219</v>
      </c>
      <c r="F211" t="inlineStr">
        <is>
          <t>VÄSTRA GÖTALANDS LÄN</t>
        </is>
      </c>
      <c r="G211" t="inlineStr">
        <is>
          <t>DALS-ED</t>
        </is>
      </c>
      <c r="I211" t="n">
        <v>6</v>
      </c>
      <c r="J211" t="n">
        <v>0</v>
      </c>
      <c r="K211" t="n">
        <v>0</v>
      </c>
      <c r="L211" t="n">
        <v>0</v>
      </c>
      <c r="M211" t="n">
        <v>0</v>
      </c>
      <c r="N211" t="n">
        <v>0</v>
      </c>
      <c r="O211" t="n">
        <v>0</v>
      </c>
      <c r="P211" t="n">
        <v>0</v>
      </c>
      <c r="Q211" t="n">
        <v>0</v>
      </c>
      <c r="R211" t="n">
        <v>0</v>
      </c>
      <c r="S211" t="n">
        <v>0</v>
      </c>
      <c r="T211" t="n">
        <v>0</v>
      </c>
      <c r="U211" s="2" t="inlineStr"/>
    </row>
    <row r="212" ht="15" customHeight="1">
      <c r="A212" t="inlineStr">
        <is>
          <t>A 51554-2025</t>
        </is>
      </c>
      <c r="B212" t="inlineStr">
        <is>
          <t>avverkningsanmälan</t>
        </is>
      </c>
      <c r="C212" t="inlineStr">
        <is>
          <t>Föryngringsavverkning</t>
        </is>
      </c>
      <c r="D212" s="1" t="n">
        <v>45950</v>
      </c>
      <c r="E212" s="1" t="n">
        <v>46219</v>
      </c>
      <c r="F212" t="inlineStr">
        <is>
          <t>VÄSTRA GÖTALANDS LÄN</t>
        </is>
      </c>
      <c r="G212" t="inlineStr">
        <is>
          <t>DALS-ED</t>
        </is>
      </c>
      <c r="H212" t="inlineStr">
        <is>
          <t>Kyrkan</t>
        </is>
      </c>
      <c r="I212" t="n">
        <v>5.3</v>
      </c>
      <c r="J212" t="n">
        <v>0</v>
      </c>
      <c r="K212" t="n">
        <v>0</v>
      </c>
      <c r="L212" t="n">
        <v>0</v>
      </c>
      <c r="M212" t="n">
        <v>0</v>
      </c>
      <c r="N212" t="n">
        <v>0</v>
      </c>
      <c r="O212" t="n">
        <v>0</v>
      </c>
      <c r="P212" t="n">
        <v>0</v>
      </c>
      <c r="Q212" t="n">
        <v>0</v>
      </c>
      <c r="R212" t="n">
        <v>0</v>
      </c>
      <c r="S212" t="n">
        <v>0</v>
      </c>
      <c r="T212" t="n">
        <v>0</v>
      </c>
      <c r="U212" s="2" t="inlineStr"/>
    </row>
    <row r="213" ht="15" customHeight="1">
      <c r="A213" t="inlineStr">
        <is>
          <t>A 63162-2023</t>
        </is>
      </c>
      <c r="B213" t="inlineStr">
        <is>
          <t>avverkningsanmälan</t>
        </is>
      </c>
      <c r="C213" t="inlineStr">
        <is>
          <t>Föryngringsavverkning</t>
        </is>
      </c>
      <c r="D213" s="1" t="n">
        <v>45273</v>
      </c>
      <c r="E213" s="1" t="n">
        <v>46219</v>
      </c>
      <c r="F213" t="inlineStr">
        <is>
          <t>VÄSTRA GÖTALANDS LÄN</t>
        </is>
      </c>
      <c r="G213" t="inlineStr">
        <is>
          <t>DALS-ED</t>
        </is>
      </c>
      <c r="I213" t="n">
        <v>11.8</v>
      </c>
      <c r="J213" t="n">
        <v>0</v>
      </c>
      <c r="K213" t="n">
        <v>0</v>
      </c>
      <c r="L213" t="n">
        <v>0</v>
      </c>
      <c r="M213" t="n">
        <v>0</v>
      </c>
      <c r="N213" t="n">
        <v>0</v>
      </c>
      <c r="O213" t="n">
        <v>0</v>
      </c>
      <c r="P213" t="n">
        <v>0</v>
      </c>
      <c r="Q213" t="n">
        <v>0</v>
      </c>
      <c r="R213" t="n">
        <v>0</v>
      </c>
      <c r="S213" t="n">
        <v>0</v>
      </c>
      <c r="T213" t="n">
        <v>0</v>
      </c>
      <c r="U213" s="2" t="inlineStr"/>
    </row>
    <row r="214" ht="15" customHeight="1">
      <c r="A214" t="inlineStr">
        <is>
          <t>A 53053-2025</t>
        </is>
      </c>
      <c r="B214" t="inlineStr">
        <is>
          <t>avverkningsanmälan</t>
        </is>
      </c>
      <c r="C214" t="inlineStr">
        <is>
          <t>Föryngringsavverkning</t>
        </is>
      </c>
      <c r="D214" s="1" t="n">
        <v>45958</v>
      </c>
      <c r="E214" s="1" t="n">
        <v>46219</v>
      </c>
      <c r="F214" t="inlineStr">
        <is>
          <t>VÄSTRA GÖTALANDS LÄN</t>
        </is>
      </c>
      <c r="G214" t="inlineStr">
        <is>
          <t>DALS-ED</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29514-2026</t>
        </is>
      </c>
      <c r="B215" t="inlineStr">
        <is>
          <t>avverkningsanmälan</t>
        </is>
      </c>
      <c r="C215" t="inlineStr">
        <is>
          <t>Föryngringsavverkning</t>
        </is>
      </c>
      <c r="D215" s="1" t="n">
        <v>46198</v>
      </c>
      <c r="E215" s="1" t="n">
        <v>46219</v>
      </c>
      <c r="F215" t="inlineStr">
        <is>
          <t>VÄSTRA GÖTALANDS LÄN</t>
        </is>
      </c>
      <c r="G215" t="inlineStr">
        <is>
          <t>DALS-ED</t>
        </is>
      </c>
      <c r="I215" t="n">
        <v>11.1</v>
      </c>
      <c r="J215" t="n">
        <v>0</v>
      </c>
      <c r="K215" t="n">
        <v>0</v>
      </c>
      <c r="L215" t="n">
        <v>0</v>
      </c>
      <c r="M215" t="n">
        <v>0</v>
      </c>
      <c r="N215" t="n">
        <v>0</v>
      </c>
      <c r="O215" t="n">
        <v>0</v>
      </c>
      <c r="P215" t="n">
        <v>0</v>
      </c>
      <c r="Q215" t="n">
        <v>0</v>
      </c>
      <c r="R215" t="n">
        <v>0</v>
      </c>
      <c r="S215" t="n">
        <v>0</v>
      </c>
      <c r="T215" t="n">
        <v>0</v>
      </c>
      <c r="U215" s="2" t="inlineStr"/>
    </row>
    <row r="216" ht="15" customHeight="1">
      <c r="A216" t="inlineStr">
        <is>
          <t>A 60198-2025</t>
        </is>
      </c>
      <c r="B216" t="inlineStr">
        <is>
          <t>avverkningsanmälan</t>
        </is>
      </c>
      <c r="C216" t="inlineStr">
        <is>
          <t>Föryngringsavverkning</t>
        </is>
      </c>
      <c r="D216" s="1" t="n">
        <v>45994</v>
      </c>
      <c r="E216" s="1" t="n">
        <v>46219</v>
      </c>
      <c r="F216" t="inlineStr">
        <is>
          <t>VÄSTRA GÖTALANDS LÄN</t>
        </is>
      </c>
      <c r="G216" t="inlineStr">
        <is>
          <t>DALS-ED</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15009-2023</t>
        </is>
      </c>
      <c r="B217" t="inlineStr">
        <is>
          <t>avverkningsanmälan</t>
        </is>
      </c>
      <c r="C217" t="inlineStr">
        <is>
          <t>Föryngringsavverkning</t>
        </is>
      </c>
      <c r="D217" s="1" t="n">
        <v>45015</v>
      </c>
      <c r="E217" s="1" t="n">
        <v>46219</v>
      </c>
      <c r="F217" t="inlineStr">
        <is>
          <t>VÄSTRA GÖTALANDS LÄN</t>
        </is>
      </c>
      <c r="G217" t="inlineStr">
        <is>
          <t>DALS-ED</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5312-2023</t>
        </is>
      </c>
      <c r="B218" t="inlineStr">
        <is>
          <t>avverkningsanmälan</t>
        </is>
      </c>
      <c r="C218" t="inlineStr">
        <is>
          <t>Föryngringsavverkning</t>
        </is>
      </c>
      <c r="D218" s="1" t="n">
        <v>44959</v>
      </c>
      <c r="E218" s="1" t="n">
        <v>46219</v>
      </c>
      <c r="F218" t="inlineStr">
        <is>
          <t>VÄSTRA GÖTALANDS LÄN</t>
        </is>
      </c>
      <c r="G218" t="inlineStr">
        <is>
          <t>DALS-ED</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60139-2022</t>
        </is>
      </c>
      <c r="B219" t="inlineStr">
        <is>
          <t>avverkningsanmälan</t>
        </is>
      </c>
      <c r="C219" t="inlineStr">
        <is>
          <t>Föryngringsavverkning</t>
        </is>
      </c>
      <c r="D219" s="1" t="n">
        <v>44902</v>
      </c>
      <c r="E219" s="1" t="n">
        <v>46219</v>
      </c>
      <c r="F219" t="inlineStr">
        <is>
          <t>VÄSTRA GÖTALANDS LÄN</t>
        </is>
      </c>
      <c r="G219" t="inlineStr">
        <is>
          <t>DALS-ED</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5388-2023</t>
        </is>
      </c>
      <c r="B220" t="inlineStr">
        <is>
          <t>avverkningsanmälan</t>
        </is>
      </c>
      <c r="C220" t="inlineStr">
        <is>
          <t>Föryngringsavverkning</t>
        </is>
      </c>
      <c r="D220" s="1" t="n">
        <v>44959</v>
      </c>
      <c r="E220" s="1" t="n">
        <v>46219</v>
      </c>
      <c r="F220" t="inlineStr">
        <is>
          <t>VÄSTRA GÖTALANDS LÄN</t>
        </is>
      </c>
      <c r="G220" t="inlineStr">
        <is>
          <t>DALS-ED</t>
        </is>
      </c>
      <c r="I220" t="n">
        <v>1.9</v>
      </c>
      <c r="J220" t="n">
        <v>0</v>
      </c>
      <c r="K220" t="n">
        <v>0</v>
      </c>
      <c r="L220" t="n">
        <v>0</v>
      </c>
      <c r="M220" t="n">
        <v>0</v>
      </c>
      <c r="N220" t="n">
        <v>0</v>
      </c>
      <c r="O220" t="n">
        <v>0</v>
      </c>
      <c r="P220" t="n">
        <v>0</v>
      </c>
      <c r="Q220" t="n">
        <v>0</v>
      </c>
      <c r="R220" t="n">
        <v>0</v>
      </c>
      <c r="S220" t="n">
        <v>0</v>
      </c>
      <c r="T220" t="n">
        <v>0</v>
      </c>
      <c r="U220" s="2" t="inlineStr"/>
    </row>
    <row r="221" ht="15" customHeight="1">
      <c r="A221" t="inlineStr">
        <is>
          <t>A 28449-2023</t>
        </is>
      </c>
      <c r="B221" t="inlineStr">
        <is>
          <t>avverkningsanmälan</t>
        </is>
      </c>
      <c r="C221" t="inlineStr">
        <is>
          <t>Föryngringsavverkning</t>
        </is>
      </c>
      <c r="D221" s="1" t="n">
        <v>45103</v>
      </c>
      <c r="E221" s="1" t="n">
        <v>46219</v>
      </c>
      <c r="F221" t="inlineStr">
        <is>
          <t>VÄSTRA GÖTALANDS LÄN</t>
        </is>
      </c>
      <c r="G221" t="inlineStr">
        <is>
          <t>DALS-ED</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29913-2026</t>
        </is>
      </c>
      <c r="B222" t="inlineStr">
        <is>
          <t>avverkningsanmälan</t>
        </is>
      </c>
      <c r="C222" t="inlineStr">
        <is>
          <t>Föryngringsavverkning</t>
        </is>
      </c>
      <c r="D222" s="1" t="n">
        <v>46205</v>
      </c>
      <c r="E222" s="1" t="n">
        <v>46219</v>
      </c>
      <c r="F222" t="inlineStr">
        <is>
          <t>VÄSTRA GÖTALANDS LÄN</t>
        </is>
      </c>
      <c r="G222" t="inlineStr">
        <is>
          <t>DALS-ED</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32672-2023</t>
        </is>
      </c>
      <c r="B223" t="inlineStr">
        <is>
          <t>avverkningsanmälan</t>
        </is>
      </c>
      <c r="C223" t="inlineStr">
        <is>
          <t>Föryngringsavverkning</t>
        </is>
      </c>
      <c r="D223" s="1" t="n">
        <v>45121</v>
      </c>
      <c r="E223" s="1" t="n">
        <v>46219</v>
      </c>
      <c r="F223" t="inlineStr">
        <is>
          <t>VÄSTRA GÖTALANDS LÄN</t>
        </is>
      </c>
      <c r="G223" t="inlineStr">
        <is>
          <t>DALS-ED</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72456-2021</t>
        </is>
      </c>
      <c r="B224" t="inlineStr">
        <is>
          <t>avverkningsanmälan</t>
        </is>
      </c>
      <c r="C224" t="inlineStr">
        <is>
          <t>Föryngringsavverkning</t>
        </is>
      </c>
      <c r="D224" s="1" t="n">
        <v>44545</v>
      </c>
      <c r="E224" s="1" t="n">
        <v>46219</v>
      </c>
      <c r="F224" t="inlineStr">
        <is>
          <t>VÄSTRA GÖTALANDS LÄN</t>
        </is>
      </c>
      <c r="G224" t="inlineStr">
        <is>
          <t>DALS-ED</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23859-2023</t>
        </is>
      </c>
      <c r="B225" t="inlineStr">
        <is>
          <t>avverkningsanmälan</t>
        </is>
      </c>
      <c r="C225" t="inlineStr">
        <is>
          <t>Avverkning för annat ändamål</t>
        </is>
      </c>
      <c r="D225" s="1" t="n">
        <v>45075</v>
      </c>
      <c r="E225" s="1" t="n">
        <v>46219</v>
      </c>
      <c r="F225" t="inlineStr">
        <is>
          <t>VÄSTRA GÖTALANDS LÄN</t>
        </is>
      </c>
      <c r="G225" t="inlineStr">
        <is>
          <t>DALS-ED</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14012-2023</t>
        </is>
      </c>
      <c r="B226" t="inlineStr">
        <is>
          <t>avverkningsanmälan</t>
        </is>
      </c>
      <c r="C226" t="inlineStr">
        <is>
          <t>Föryngringsavverkning</t>
        </is>
      </c>
      <c r="D226" s="1" t="n">
        <v>45008</v>
      </c>
      <c r="E226" s="1" t="n">
        <v>46219</v>
      </c>
      <c r="F226" t="inlineStr">
        <is>
          <t>VÄSTRA GÖTALANDS LÄN</t>
        </is>
      </c>
      <c r="G226" t="inlineStr">
        <is>
          <t>DALS-ED</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8621-2024</t>
        </is>
      </c>
      <c r="B227" t="inlineStr">
        <is>
          <t>avverkningsanmälan</t>
        </is>
      </c>
      <c r="C227" t="inlineStr">
        <is>
          <t>Föryngringsavverkning</t>
        </is>
      </c>
      <c r="D227" s="1" t="n">
        <v>45355</v>
      </c>
      <c r="E227" s="1" t="n">
        <v>46219</v>
      </c>
      <c r="F227" t="inlineStr">
        <is>
          <t>VÄSTRA GÖTALANDS LÄN</t>
        </is>
      </c>
      <c r="G227" t="inlineStr">
        <is>
          <t>DALS-ED</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3398-2023</t>
        </is>
      </c>
      <c r="B228" t="inlineStr">
        <is>
          <t>avverkningsanmälan</t>
        </is>
      </c>
      <c r="C228" t="inlineStr">
        <is>
          <t>Föryngringsavverkning</t>
        </is>
      </c>
      <c r="D228" s="1" t="n">
        <v>44949</v>
      </c>
      <c r="E228" s="1" t="n">
        <v>46219</v>
      </c>
      <c r="F228" t="inlineStr">
        <is>
          <t>VÄSTRA GÖTALANDS LÄN</t>
        </is>
      </c>
      <c r="G228" t="inlineStr">
        <is>
          <t>DALS-ED</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23890-2026</t>
        </is>
      </c>
      <c r="B229" t="inlineStr">
        <is>
          <t>avverkningsanmälan</t>
        </is>
      </c>
      <c r="C229" t="inlineStr">
        <is>
          <t>Föryngringsavverkning</t>
        </is>
      </c>
      <c r="D229" s="1" t="n">
        <v>46167</v>
      </c>
      <c r="E229" s="1" t="n">
        <v>46219</v>
      </c>
      <c r="F229" t="inlineStr">
        <is>
          <t>VÄSTRA GÖTALANDS LÄN</t>
        </is>
      </c>
      <c r="G229" t="inlineStr">
        <is>
          <t>DALS-ED</t>
        </is>
      </c>
      <c r="H229" t="inlineStr">
        <is>
          <t>Kommuner</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59514-2023</t>
        </is>
      </c>
      <c r="B230" t="inlineStr">
        <is>
          <t>avverkningsanmälan</t>
        </is>
      </c>
      <c r="C230" t="inlineStr">
        <is>
          <t>Föryngringsavverkning</t>
        </is>
      </c>
      <c r="D230" s="1" t="n">
        <v>45254</v>
      </c>
      <c r="E230" s="1" t="n">
        <v>46219</v>
      </c>
      <c r="F230" t="inlineStr">
        <is>
          <t>VÄSTRA GÖTALANDS LÄN</t>
        </is>
      </c>
      <c r="G230" t="inlineStr">
        <is>
          <t>DALS-ED</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60185-2025</t>
        </is>
      </c>
      <c r="B231" t="inlineStr">
        <is>
          <t>avverkningsanmälan</t>
        </is>
      </c>
      <c r="C231" t="inlineStr">
        <is>
          <t>Föryngringsavverkning</t>
        </is>
      </c>
      <c r="D231" s="1" t="n">
        <v>45994</v>
      </c>
      <c r="E231" s="1" t="n">
        <v>46219</v>
      </c>
      <c r="F231" t="inlineStr">
        <is>
          <t>VÄSTRA GÖTALANDS LÄN</t>
        </is>
      </c>
      <c r="G231" t="inlineStr">
        <is>
          <t>DALS-ED</t>
        </is>
      </c>
      <c r="I231" t="n">
        <v>5.3</v>
      </c>
      <c r="J231" t="n">
        <v>0</v>
      </c>
      <c r="K231" t="n">
        <v>0</v>
      </c>
      <c r="L231" t="n">
        <v>0</v>
      </c>
      <c r="M231" t="n">
        <v>0</v>
      </c>
      <c r="N231" t="n">
        <v>0</v>
      </c>
      <c r="O231" t="n">
        <v>0</v>
      </c>
      <c r="P231" t="n">
        <v>0</v>
      </c>
      <c r="Q231" t="n">
        <v>0</v>
      </c>
      <c r="R231" t="n">
        <v>0</v>
      </c>
      <c r="S231" t="n">
        <v>0</v>
      </c>
      <c r="T231" t="n">
        <v>0</v>
      </c>
      <c r="U231" s="2" t="inlineStr"/>
    </row>
    <row r="232" ht="15" customHeight="1">
      <c r="A232" t="inlineStr">
        <is>
          <t>A 62212-2025</t>
        </is>
      </c>
      <c r="B232" t="inlineStr">
        <is>
          <t>avverkningsanmälan</t>
        </is>
      </c>
      <c r="C232" t="inlineStr">
        <is>
          <t>Föryngringsavverkning</t>
        </is>
      </c>
      <c r="D232" s="1" t="n">
        <v>46006</v>
      </c>
      <c r="E232" s="1" t="n">
        <v>46219</v>
      </c>
      <c r="F232" t="inlineStr">
        <is>
          <t>VÄSTRA GÖTALANDS LÄN</t>
        </is>
      </c>
      <c r="G232" t="inlineStr">
        <is>
          <t>DALS-ED</t>
        </is>
      </c>
      <c r="I232" t="n">
        <v>2.8</v>
      </c>
      <c r="J232" t="n">
        <v>0</v>
      </c>
      <c r="K232" t="n">
        <v>0</v>
      </c>
      <c r="L232" t="n">
        <v>0</v>
      </c>
      <c r="M232" t="n">
        <v>0</v>
      </c>
      <c r="N232" t="n">
        <v>0</v>
      </c>
      <c r="O232" t="n">
        <v>0</v>
      </c>
      <c r="P232" t="n">
        <v>0</v>
      </c>
      <c r="Q232" t="n">
        <v>0</v>
      </c>
      <c r="R232" t="n">
        <v>0</v>
      </c>
      <c r="S232" t="n">
        <v>0</v>
      </c>
      <c r="T232" t="n">
        <v>0</v>
      </c>
      <c r="U232" s="2" t="inlineStr"/>
    </row>
    <row r="233" ht="15" customHeight="1">
      <c r="A233" t="inlineStr">
        <is>
          <t>A 56239-2025</t>
        </is>
      </c>
      <c r="B233" t="inlineStr">
        <is>
          <t>avverkningsanmälan</t>
        </is>
      </c>
      <c r="C233" t="inlineStr">
        <is>
          <t>Föryngringsavverkning</t>
        </is>
      </c>
      <c r="D233" s="1" t="n">
        <v>45974</v>
      </c>
      <c r="E233" s="1" t="n">
        <v>46219</v>
      </c>
      <c r="F233" t="inlineStr">
        <is>
          <t>VÄSTRA GÖTALANDS LÄN</t>
        </is>
      </c>
      <c r="G233" t="inlineStr">
        <is>
          <t>DALS-ED</t>
        </is>
      </c>
      <c r="H233" t="inlineStr">
        <is>
          <t>Övriga Aktiebolag</t>
        </is>
      </c>
      <c r="I233" t="n">
        <v>5.9</v>
      </c>
      <c r="J233" t="n">
        <v>0</v>
      </c>
      <c r="K233" t="n">
        <v>0</v>
      </c>
      <c r="L233" t="n">
        <v>0</v>
      </c>
      <c r="M233" t="n">
        <v>0</v>
      </c>
      <c r="N233" t="n">
        <v>0</v>
      </c>
      <c r="O233" t="n">
        <v>0</v>
      </c>
      <c r="P233" t="n">
        <v>0</v>
      </c>
      <c r="Q233" t="n">
        <v>0</v>
      </c>
      <c r="R233" t="n">
        <v>0</v>
      </c>
      <c r="S233" t="n">
        <v>0</v>
      </c>
      <c r="T233" t="n">
        <v>0</v>
      </c>
      <c r="U233" s="2" t="inlineStr"/>
    </row>
    <row r="234" ht="15" customHeight="1">
      <c r="A234" t="inlineStr">
        <is>
          <t>A 10095-2022</t>
        </is>
      </c>
      <c r="B234" t="inlineStr">
        <is>
          <t>avverkningsanmälan</t>
        </is>
      </c>
      <c r="C234" t="inlineStr">
        <is>
          <t>Föryngringsavverkning</t>
        </is>
      </c>
      <c r="D234" s="1" t="n">
        <v>44621</v>
      </c>
      <c r="E234" s="1" t="n">
        <v>46219</v>
      </c>
      <c r="F234" t="inlineStr">
        <is>
          <t>VÄSTRA GÖTALANDS LÄN</t>
        </is>
      </c>
      <c r="G234" t="inlineStr">
        <is>
          <t>DALS-ED</t>
        </is>
      </c>
      <c r="H234" t="inlineStr">
        <is>
          <t>Övriga Aktiebolag</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56084-2025</t>
        </is>
      </c>
      <c r="B235" t="inlineStr">
        <is>
          <t>avverkningsanmälan</t>
        </is>
      </c>
      <c r="C235" t="inlineStr">
        <is>
          <t>Föryngringsavverkning</t>
        </is>
      </c>
      <c r="D235" s="1" t="n">
        <v>45973</v>
      </c>
      <c r="E235" s="1" t="n">
        <v>46219</v>
      </c>
      <c r="F235" t="inlineStr">
        <is>
          <t>VÄSTRA GÖTALANDS LÄN</t>
        </is>
      </c>
      <c r="G235" t="inlineStr">
        <is>
          <t>DALS-ED</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32195-2022</t>
        </is>
      </c>
      <c r="B236" t="inlineStr">
        <is>
          <t>avverkningsanmälan</t>
        </is>
      </c>
      <c r="C236" t="inlineStr">
        <is>
          <t>Föryngringsavverkning</t>
        </is>
      </c>
      <c r="D236" s="1" t="n">
        <v>44781</v>
      </c>
      <c r="E236" s="1" t="n">
        <v>46219</v>
      </c>
      <c r="F236" t="inlineStr">
        <is>
          <t>VÄSTRA GÖTALANDS LÄN</t>
        </is>
      </c>
      <c r="G236" t="inlineStr">
        <is>
          <t>DALS-ED</t>
        </is>
      </c>
      <c r="I236" t="n">
        <v>2.7</v>
      </c>
      <c r="J236" t="n">
        <v>0</v>
      </c>
      <c r="K236" t="n">
        <v>0</v>
      </c>
      <c r="L236" t="n">
        <v>0</v>
      </c>
      <c r="M236" t="n">
        <v>0</v>
      </c>
      <c r="N236" t="n">
        <v>0</v>
      </c>
      <c r="O236" t="n">
        <v>0</v>
      </c>
      <c r="P236" t="n">
        <v>0</v>
      </c>
      <c r="Q236" t="n">
        <v>0</v>
      </c>
      <c r="R236" t="n">
        <v>0</v>
      </c>
      <c r="S236" t="n">
        <v>0</v>
      </c>
      <c r="T236" t="n">
        <v>0</v>
      </c>
      <c r="U236" s="2" t="inlineStr"/>
    </row>
    <row r="237" ht="15" customHeight="1">
      <c r="A237" t="inlineStr">
        <is>
          <t>A 56169-2025</t>
        </is>
      </c>
      <c r="B237" t="inlineStr">
        <is>
          <t>avverkningsanmälan</t>
        </is>
      </c>
      <c r="C237" t="inlineStr">
        <is>
          <t>Föryngringsavverkning</t>
        </is>
      </c>
      <c r="D237" s="1" t="n">
        <v>45974</v>
      </c>
      <c r="E237" s="1" t="n">
        <v>46219</v>
      </c>
      <c r="F237" t="inlineStr">
        <is>
          <t>VÄSTRA GÖTALANDS LÄN</t>
        </is>
      </c>
      <c r="G237" t="inlineStr">
        <is>
          <t>DALS-ED</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56171-2025</t>
        </is>
      </c>
      <c r="B238" t="inlineStr">
        <is>
          <t>avverkningsanmälan</t>
        </is>
      </c>
      <c r="C238" t="inlineStr">
        <is>
          <t>Föryngringsavverkning</t>
        </is>
      </c>
      <c r="D238" s="1" t="n">
        <v>45974</v>
      </c>
      <c r="E238" s="1" t="n">
        <v>46219</v>
      </c>
      <c r="F238" t="inlineStr">
        <is>
          <t>VÄSTRA GÖTALANDS LÄN</t>
        </is>
      </c>
      <c r="G238" t="inlineStr">
        <is>
          <t>DALS-ED</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56050-2025</t>
        </is>
      </c>
      <c r="B239" t="inlineStr">
        <is>
          <t>avverkningsanmälan</t>
        </is>
      </c>
      <c r="C239" t="inlineStr">
        <is>
          <t>Föryngringsavverkning</t>
        </is>
      </c>
      <c r="D239" s="1" t="n">
        <v>45973</v>
      </c>
      <c r="E239" s="1" t="n">
        <v>46219</v>
      </c>
      <c r="F239" t="inlineStr">
        <is>
          <t>VÄSTRA GÖTALANDS LÄN</t>
        </is>
      </c>
      <c r="G239" t="inlineStr">
        <is>
          <t>DALS-ED</t>
        </is>
      </c>
      <c r="I239" t="n">
        <v>2.5</v>
      </c>
      <c r="J239" t="n">
        <v>0</v>
      </c>
      <c r="K239" t="n">
        <v>0</v>
      </c>
      <c r="L239" t="n">
        <v>0</v>
      </c>
      <c r="M239" t="n">
        <v>0</v>
      </c>
      <c r="N239" t="n">
        <v>0</v>
      </c>
      <c r="O239" t="n">
        <v>0</v>
      </c>
      <c r="P239" t="n">
        <v>0</v>
      </c>
      <c r="Q239" t="n">
        <v>0</v>
      </c>
      <c r="R239" t="n">
        <v>0</v>
      </c>
      <c r="S239" t="n">
        <v>0</v>
      </c>
      <c r="T239" t="n">
        <v>0</v>
      </c>
      <c r="U239" s="2" t="inlineStr"/>
    </row>
    <row r="240" ht="15" customHeight="1">
      <c r="A240" t="inlineStr">
        <is>
          <t>A 56282-2025</t>
        </is>
      </c>
      <c r="B240" t="inlineStr">
        <is>
          <t>avverkningsanmälan</t>
        </is>
      </c>
      <c r="C240" t="inlineStr">
        <is>
          <t>Föryngringsavverkning</t>
        </is>
      </c>
      <c r="D240" s="1" t="n">
        <v>45974</v>
      </c>
      <c r="E240" s="1" t="n">
        <v>46219</v>
      </c>
      <c r="F240" t="inlineStr">
        <is>
          <t>VÄSTRA GÖTALANDS LÄN</t>
        </is>
      </c>
      <c r="G240" t="inlineStr">
        <is>
          <t>DALS-ED</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56951-2025</t>
        </is>
      </c>
      <c r="B241" t="inlineStr">
        <is>
          <t>avverkningsanmälan</t>
        </is>
      </c>
      <c r="C241" t="inlineStr">
        <is>
          <t>Föryngringsavverkning</t>
        </is>
      </c>
      <c r="D241" s="1" t="n">
        <v>45978</v>
      </c>
      <c r="E241" s="1" t="n">
        <v>46219</v>
      </c>
      <c r="F241" t="inlineStr">
        <is>
          <t>VÄSTRA GÖTALANDS LÄN</t>
        </is>
      </c>
      <c r="G241" t="inlineStr">
        <is>
          <t>DALS-ED</t>
        </is>
      </c>
      <c r="I241" t="n">
        <v>5.1</v>
      </c>
      <c r="J241" t="n">
        <v>0</v>
      </c>
      <c r="K241" t="n">
        <v>0</v>
      </c>
      <c r="L241" t="n">
        <v>0</v>
      </c>
      <c r="M241" t="n">
        <v>0</v>
      </c>
      <c r="N241" t="n">
        <v>0</v>
      </c>
      <c r="O241" t="n">
        <v>0</v>
      </c>
      <c r="P241" t="n">
        <v>0</v>
      </c>
      <c r="Q241" t="n">
        <v>0</v>
      </c>
      <c r="R241" t="n">
        <v>0</v>
      </c>
      <c r="S241" t="n">
        <v>0</v>
      </c>
      <c r="T241" t="n">
        <v>0</v>
      </c>
      <c r="U241" s="2" t="inlineStr"/>
    </row>
    <row r="242" ht="15" customHeight="1">
      <c r="A242" t="inlineStr">
        <is>
          <t>A 56880-2025</t>
        </is>
      </c>
      <c r="B242" t="inlineStr">
        <is>
          <t>avverkningsanmälan</t>
        </is>
      </c>
      <c r="C242" t="inlineStr">
        <is>
          <t>Föryngringsavverkning</t>
        </is>
      </c>
      <c r="D242" s="1" t="n">
        <v>45978</v>
      </c>
      <c r="E242" s="1" t="n">
        <v>46219</v>
      </c>
      <c r="F242" t="inlineStr">
        <is>
          <t>VÄSTRA GÖTALANDS LÄN</t>
        </is>
      </c>
      <c r="G242" t="inlineStr">
        <is>
          <t>DALS-ED</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7527-2024</t>
        </is>
      </c>
      <c r="B243" t="inlineStr">
        <is>
          <t>avverkningsanmälan</t>
        </is>
      </c>
      <c r="C243" t="inlineStr">
        <is>
          <t>Föryngringsavverkning</t>
        </is>
      </c>
      <c r="D243" s="1" t="n">
        <v>45348</v>
      </c>
      <c r="E243" s="1" t="n">
        <v>46219</v>
      </c>
      <c r="F243" t="inlineStr">
        <is>
          <t>VÄSTRA GÖTALANDS LÄN</t>
        </is>
      </c>
      <c r="G243" t="inlineStr">
        <is>
          <t>DALS-ED</t>
        </is>
      </c>
      <c r="I243" t="n">
        <v>8.1</v>
      </c>
      <c r="J243" t="n">
        <v>0</v>
      </c>
      <c r="K243" t="n">
        <v>0</v>
      </c>
      <c r="L243" t="n">
        <v>0</v>
      </c>
      <c r="M243" t="n">
        <v>0</v>
      </c>
      <c r="N243" t="n">
        <v>0</v>
      </c>
      <c r="O243" t="n">
        <v>0</v>
      </c>
      <c r="P243" t="n">
        <v>0</v>
      </c>
      <c r="Q243" t="n">
        <v>0</v>
      </c>
      <c r="R243" t="n">
        <v>0</v>
      </c>
      <c r="S243" t="n">
        <v>0</v>
      </c>
      <c r="T243" t="n">
        <v>0</v>
      </c>
      <c r="U243" s="2" t="inlineStr"/>
    </row>
    <row r="244" ht="15" customHeight="1">
      <c r="A244" t="inlineStr">
        <is>
          <t>A 42823-2023</t>
        </is>
      </c>
      <c r="B244" t="inlineStr">
        <is>
          <t>avverkningsanmälan</t>
        </is>
      </c>
      <c r="C244" t="inlineStr">
        <is>
          <t>Föryngringsavverkning</t>
        </is>
      </c>
      <c r="D244" s="1" t="n">
        <v>45182</v>
      </c>
      <c r="E244" s="1" t="n">
        <v>46219</v>
      </c>
      <c r="F244" t="inlineStr">
        <is>
          <t>VÄSTRA GÖTALANDS LÄN</t>
        </is>
      </c>
      <c r="G244" t="inlineStr">
        <is>
          <t>DALS-ED</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32797-2023</t>
        </is>
      </c>
      <c r="B245" t="inlineStr">
        <is>
          <t>avverkningsanmälan</t>
        </is>
      </c>
      <c r="C245" t="inlineStr">
        <is>
          <t>Föryngringsavverkning</t>
        </is>
      </c>
      <c r="D245" s="1" t="n">
        <v>45124</v>
      </c>
      <c r="E245" s="1" t="n">
        <v>46219</v>
      </c>
      <c r="F245" t="inlineStr">
        <is>
          <t>VÄSTRA GÖTALANDS LÄN</t>
        </is>
      </c>
      <c r="G245" t="inlineStr">
        <is>
          <t>DALS-ED</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30836-2026</t>
        </is>
      </c>
      <c r="B246" t="inlineStr">
        <is>
          <t>avverkningsanmälan</t>
        </is>
      </c>
      <c r="C246" t="inlineStr">
        <is>
          <t>Föryngringsavverkning</t>
        </is>
      </c>
      <c r="D246" s="1" t="n">
        <v>46212</v>
      </c>
      <c r="E246" s="1" t="n">
        <v>46219</v>
      </c>
      <c r="F246" t="inlineStr">
        <is>
          <t>VÄSTRA GÖTALANDS LÄN</t>
        </is>
      </c>
      <c r="G246" t="inlineStr">
        <is>
          <t>DALS-ED</t>
        </is>
      </c>
      <c r="I246" t="n">
        <v>4.8</v>
      </c>
      <c r="J246" t="n">
        <v>0</v>
      </c>
      <c r="K246" t="n">
        <v>0</v>
      </c>
      <c r="L246" t="n">
        <v>0</v>
      </c>
      <c r="M246" t="n">
        <v>0</v>
      </c>
      <c r="N246" t="n">
        <v>0</v>
      </c>
      <c r="O246" t="n">
        <v>0</v>
      </c>
      <c r="P246" t="n">
        <v>0</v>
      </c>
      <c r="Q246" t="n">
        <v>0</v>
      </c>
      <c r="R246" t="n">
        <v>0</v>
      </c>
      <c r="S246" t="n">
        <v>0</v>
      </c>
      <c r="T246" t="n">
        <v>0</v>
      </c>
      <c r="U246" s="2" t="inlineStr"/>
    </row>
    <row r="247" ht="15" customHeight="1">
      <c r="A247" t="inlineStr">
        <is>
          <t>A 57768-2025</t>
        </is>
      </c>
      <c r="B247" t="inlineStr">
        <is>
          <t>avverkningsanmälan</t>
        </is>
      </c>
      <c r="C247" t="inlineStr">
        <is>
          <t>Föryngringsavverkning</t>
        </is>
      </c>
      <c r="D247" s="1" t="n">
        <v>45981</v>
      </c>
      <c r="E247" s="1" t="n">
        <v>46219</v>
      </c>
      <c r="F247" t="inlineStr">
        <is>
          <t>VÄSTRA GÖTALANDS LÄN</t>
        </is>
      </c>
      <c r="G247" t="inlineStr">
        <is>
          <t>DALS-ED</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12844-2024</t>
        </is>
      </c>
      <c r="B248" t="inlineStr">
        <is>
          <t>avverkningsanmälan</t>
        </is>
      </c>
      <c r="C248" t="inlineStr">
        <is>
          <t>Föryngringsavverkning</t>
        </is>
      </c>
      <c r="D248" s="1" t="n">
        <v>45384</v>
      </c>
      <c r="E248" s="1" t="n">
        <v>46219</v>
      </c>
      <c r="F248" t="inlineStr">
        <is>
          <t>VÄSTRA GÖTALANDS LÄN</t>
        </is>
      </c>
      <c r="G248" t="inlineStr">
        <is>
          <t>DALS-ED</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28702-2023</t>
        </is>
      </c>
      <c r="B249" t="inlineStr">
        <is>
          <t>avverkningsanmälan</t>
        </is>
      </c>
      <c r="C249" t="inlineStr">
        <is>
          <t>Föryngringsavverkning</t>
        </is>
      </c>
      <c r="D249" s="1" t="n">
        <v>45103</v>
      </c>
      <c r="E249" s="1" t="n">
        <v>46219</v>
      </c>
      <c r="F249" t="inlineStr">
        <is>
          <t>VÄSTRA GÖTALANDS LÄN</t>
        </is>
      </c>
      <c r="G249" t="inlineStr">
        <is>
          <t>DALS-ED</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15841-2024</t>
        </is>
      </c>
      <c r="B250" t="inlineStr">
        <is>
          <t>avverkningsanmälan</t>
        </is>
      </c>
      <c r="C250" t="inlineStr">
        <is>
          <t>Föryngringsavverkning</t>
        </is>
      </c>
      <c r="D250" s="1" t="n">
        <v>45404</v>
      </c>
      <c r="E250" s="1" t="n">
        <v>46219</v>
      </c>
      <c r="F250" t="inlineStr">
        <is>
          <t>VÄSTRA GÖTALANDS LÄN</t>
        </is>
      </c>
      <c r="G250" t="inlineStr">
        <is>
          <t>DALS-ED</t>
        </is>
      </c>
      <c r="I250" t="n">
        <v>4.4</v>
      </c>
      <c r="J250" t="n">
        <v>0</v>
      </c>
      <c r="K250" t="n">
        <v>0</v>
      </c>
      <c r="L250" t="n">
        <v>0</v>
      </c>
      <c r="M250" t="n">
        <v>0</v>
      </c>
      <c r="N250" t="n">
        <v>0</v>
      </c>
      <c r="O250" t="n">
        <v>0</v>
      </c>
      <c r="P250" t="n">
        <v>0</v>
      </c>
      <c r="Q250" t="n">
        <v>0</v>
      </c>
      <c r="R250" t="n">
        <v>0</v>
      </c>
      <c r="S250" t="n">
        <v>0</v>
      </c>
      <c r="T250" t="n">
        <v>0</v>
      </c>
      <c r="U250" s="2" t="inlineStr"/>
    </row>
    <row r="251" ht="15" customHeight="1">
      <c r="A251" t="inlineStr">
        <is>
          <t>A 58590-2025</t>
        </is>
      </c>
      <c r="B251" t="inlineStr">
        <is>
          <t>avverkningsanmälan</t>
        </is>
      </c>
      <c r="C251" t="inlineStr">
        <is>
          <t>Föryngringsavverkning</t>
        </is>
      </c>
      <c r="D251" s="1" t="n">
        <v>45986</v>
      </c>
      <c r="E251" s="1" t="n">
        <v>46219</v>
      </c>
      <c r="F251" t="inlineStr">
        <is>
          <t>VÄSTRA GÖTALANDS LÄN</t>
        </is>
      </c>
      <c r="G251" t="inlineStr">
        <is>
          <t>DALS-ED</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58182-2025</t>
        </is>
      </c>
      <c r="B252" t="inlineStr">
        <is>
          <t>avverkningsanmälan</t>
        </is>
      </c>
      <c r="C252" t="inlineStr">
        <is>
          <t>Föryngringsavverkning</t>
        </is>
      </c>
      <c r="D252" s="1" t="n">
        <v>45982</v>
      </c>
      <c r="E252" s="1" t="n">
        <v>46219</v>
      </c>
      <c r="F252" t="inlineStr">
        <is>
          <t>VÄSTRA GÖTALANDS LÄN</t>
        </is>
      </c>
      <c r="G252" t="inlineStr">
        <is>
          <t>DALS-ED</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37874-2024</t>
        </is>
      </c>
      <c r="B253" t="inlineStr">
        <is>
          <t>avverkningsanmälan</t>
        </is>
      </c>
      <c r="C253" t="inlineStr">
        <is>
          <t>Föryngringsavverkning</t>
        </is>
      </c>
      <c r="D253" s="1" t="n">
        <v>45544</v>
      </c>
      <c r="E253" s="1" t="n">
        <v>46219</v>
      </c>
      <c r="F253" t="inlineStr">
        <is>
          <t>VÄSTRA GÖTALANDS LÄN</t>
        </is>
      </c>
      <c r="G253" t="inlineStr">
        <is>
          <t>DALS-ED</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29047-2023</t>
        </is>
      </c>
      <c r="B254" t="inlineStr">
        <is>
          <t>avverkningsanmälan</t>
        </is>
      </c>
      <c r="C254" t="inlineStr">
        <is>
          <t>Föryngringsavverkning</t>
        </is>
      </c>
      <c r="D254" s="1" t="n">
        <v>45104</v>
      </c>
      <c r="E254" s="1" t="n">
        <v>46219</v>
      </c>
      <c r="F254" t="inlineStr">
        <is>
          <t>VÄSTRA GÖTALANDS LÄN</t>
        </is>
      </c>
      <c r="G254" t="inlineStr">
        <is>
          <t>DALS-ED</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42777-2024</t>
        </is>
      </c>
      <c r="B255" t="inlineStr">
        <is>
          <t>avverkningsanmälan</t>
        </is>
      </c>
      <c r="C255" t="inlineStr">
        <is>
          <t>Föryngringsavverkning</t>
        </is>
      </c>
      <c r="D255" s="1" t="n">
        <v>45566</v>
      </c>
      <c r="E255" s="1" t="n">
        <v>46219</v>
      </c>
      <c r="F255" t="inlineStr">
        <is>
          <t>VÄSTRA GÖTALANDS LÄN</t>
        </is>
      </c>
      <c r="G255" t="inlineStr">
        <is>
          <t>DALS-ED</t>
        </is>
      </c>
      <c r="I255" t="n">
        <v>9.4</v>
      </c>
      <c r="J255" t="n">
        <v>0</v>
      </c>
      <c r="K255" t="n">
        <v>0</v>
      </c>
      <c r="L255" t="n">
        <v>0</v>
      </c>
      <c r="M255" t="n">
        <v>0</v>
      </c>
      <c r="N255" t="n">
        <v>0</v>
      </c>
      <c r="O255" t="n">
        <v>0</v>
      </c>
      <c r="P255" t="n">
        <v>0</v>
      </c>
      <c r="Q255" t="n">
        <v>0</v>
      </c>
      <c r="R255" t="n">
        <v>0</v>
      </c>
      <c r="S255" t="n">
        <v>0</v>
      </c>
      <c r="T255" t="n">
        <v>0</v>
      </c>
      <c r="U255" s="2" t="inlineStr"/>
    </row>
    <row r="256" ht="15" customHeight="1">
      <c r="A256" t="inlineStr">
        <is>
          <t>A 10092-2022</t>
        </is>
      </c>
      <c r="B256" t="inlineStr">
        <is>
          <t>avverkningsanmälan</t>
        </is>
      </c>
      <c r="C256" t="inlineStr">
        <is>
          <t>Föryngringsavverkning</t>
        </is>
      </c>
      <c r="D256" s="1" t="n">
        <v>44621</v>
      </c>
      <c r="E256" s="1" t="n">
        <v>46219</v>
      </c>
      <c r="F256" t="inlineStr">
        <is>
          <t>VÄSTRA GÖTALANDS LÄN</t>
        </is>
      </c>
      <c r="G256" t="inlineStr">
        <is>
          <t>DALS-ED</t>
        </is>
      </c>
      <c r="H256" t="inlineStr">
        <is>
          <t>Övriga Aktiebolag</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38383-2023</t>
        </is>
      </c>
      <c r="B257" t="inlineStr">
        <is>
          <t>avverkningsanmälan</t>
        </is>
      </c>
      <c r="C257" t="inlineStr">
        <is>
          <t>Föryngringsavverkning</t>
        </is>
      </c>
      <c r="D257" s="1" t="n">
        <v>45162</v>
      </c>
      <c r="E257" s="1" t="n">
        <v>46219</v>
      </c>
      <c r="F257" t="inlineStr">
        <is>
          <t>VÄSTRA GÖTALANDS LÄN</t>
        </is>
      </c>
      <c r="G257" t="inlineStr">
        <is>
          <t>DALS-ED</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60177-2025</t>
        </is>
      </c>
      <c r="B258" t="inlineStr">
        <is>
          <t>avverkningsanmälan</t>
        </is>
      </c>
      <c r="C258" t="inlineStr">
        <is>
          <t>Föryngringsavverkning</t>
        </is>
      </c>
      <c r="D258" s="1" t="n">
        <v>45994</v>
      </c>
      <c r="E258" s="1" t="n">
        <v>46219</v>
      </c>
      <c r="F258" t="inlineStr">
        <is>
          <t>VÄSTRA GÖTALANDS LÄN</t>
        </is>
      </c>
      <c r="G258" t="inlineStr">
        <is>
          <t>DALS-ED</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54183-2024</t>
        </is>
      </c>
      <c r="B259" t="inlineStr">
        <is>
          <t>avverkningsanmälan</t>
        </is>
      </c>
      <c r="C259" t="inlineStr">
        <is>
          <t>Föryngringsavverkning</t>
        </is>
      </c>
      <c r="D259" s="1" t="n">
        <v>45616</v>
      </c>
      <c r="E259" s="1" t="n">
        <v>46219</v>
      </c>
      <c r="F259" t="inlineStr">
        <is>
          <t>VÄSTRA GÖTALANDS LÄN</t>
        </is>
      </c>
      <c r="G259" t="inlineStr">
        <is>
          <t>DALS-ED</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55088-2024</t>
        </is>
      </c>
      <c r="B260" t="inlineStr">
        <is>
          <t>avverkningsanmälan</t>
        </is>
      </c>
      <c r="C260" t="inlineStr">
        <is>
          <t>Föryngringsavverkning</t>
        </is>
      </c>
      <c r="D260" s="1" t="n">
        <v>45621</v>
      </c>
      <c r="E260" s="1" t="n">
        <v>46219</v>
      </c>
      <c r="F260" t="inlineStr">
        <is>
          <t>VÄSTRA GÖTALANDS LÄN</t>
        </is>
      </c>
      <c r="G260" t="inlineStr">
        <is>
          <t>DALS-ED</t>
        </is>
      </c>
      <c r="I260" t="n">
        <v>0.3</v>
      </c>
      <c r="J260" t="n">
        <v>0</v>
      </c>
      <c r="K260" t="n">
        <v>0</v>
      </c>
      <c r="L260" t="n">
        <v>0</v>
      </c>
      <c r="M260" t="n">
        <v>0</v>
      </c>
      <c r="N260" t="n">
        <v>0</v>
      </c>
      <c r="O260" t="n">
        <v>0</v>
      </c>
      <c r="P260" t="n">
        <v>0</v>
      </c>
      <c r="Q260" t="n">
        <v>0</v>
      </c>
      <c r="R260" t="n">
        <v>0</v>
      </c>
      <c r="S260" t="n">
        <v>0</v>
      </c>
      <c r="T260" t="n">
        <v>0</v>
      </c>
      <c r="U260" s="2" t="inlineStr"/>
    </row>
    <row r="261" ht="15" customHeight="1">
      <c r="A261" t="inlineStr">
        <is>
          <t>A 60543-2025</t>
        </is>
      </c>
      <c r="B261" t="inlineStr">
        <is>
          <t>avverkningsanmälan</t>
        </is>
      </c>
      <c r="C261" t="inlineStr">
        <is>
          <t>Föryngringsavverkning</t>
        </is>
      </c>
      <c r="D261" s="1" t="n">
        <v>45995</v>
      </c>
      <c r="E261" s="1" t="n">
        <v>46219</v>
      </c>
      <c r="F261" t="inlineStr">
        <is>
          <t>VÄSTRA GÖTALANDS LÄN</t>
        </is>
      </c>
      <c r="G261" t="inlineStr">
        <is>
          <t>DALS-ED</t>
        </is>
      </c>
      <c r="I261" t="n">
        <v>3.2</v>
      </c>
      <c r="J261" t="n">
        <v>0</v>
      </c>
      <c r="K261" t="n">
        <v>0</v>
      </c>
      <c r="L261" t="n">
        <v>0</v>
      </c>
      <c r="M261" t="n">
        <v>0</v>
      </c>
      <c r="N261" t="n">
        <v>0</v>
      </c>
      <c r="O261" t="n">
        <v>0</v>
      </c>
      <c r="P261" t="n">
        <v>0</v>
      </c>
      <c r="Q261" t="n">
        <v>0</v>
      </c>
      <c r="R261" t="n">
        <v>0</v>
      </c>
      <c r="S261" t="n">
        <v>0</v>
      </c>
      <c r="T261" t="n">
        <v>0</v>
      </c>
      <c r="U261" s="2" t="inlineStr"/>
    </row>
    <row r="262" ht="15" customHeight="1">
      <c r="A262" t="inlineStr">
        <is>
          <t>A 60538-2025</t>
        </is>
      </c>
      <c r="B262" t="inlineStr">
        <is>
          <t>avverkningsanmälan</t>
        </is>
      </c>
      <c r="C262" t="inlineStr">
        <is>
          <t>Föryngringsavverkning</t>
        </is>
      </c>
      <c r="D262" s="1" t="n">
        <v>45995</v>
      </c>
      <c r="E262" s="1" t="n">
        <v>46219</v>
      </c>
      <c r="F262" t="inlineStr">
        <is>
          <t>VÄSTRA GÖTALANDS LÄN</t>
        </is>
      </c>
      <c r="G262" t="inlineStr">
        <is>
          <t>DALS-ED</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60542-2025</t>
        </is>
      </c>
      <c r="B263" t="inlineStr">
        <is>
          <t>avverkningsanmälan</t>
        </is>
      </c>
      <c r="C263" t="inlineStr">
        <is>
          <t>Föryngringsavverkning</t>
        </is>
      </c>
      <c r="D263" s="1" t="n">
        <v>45995</v>
      </c>
      <c r="E263" s="1" t="n">
        <v>46219</v>
      </c>
      <c r="F263" t="inlineStr">
        <is>
          <t>VÄSTRA GÖTALANDS LÄN</t>
        </is>
      </c>
      <c r="G263" t="inlineStr">
        <is>
          <t>DALS-ED</t>
        </is>
      </c>
      <c r="I263" t="n">
        <v>6.1</v>
      </c>
      <c r="J263" t="n">
        <v>0</v>
      </c>
      <c r="K263" t="n">
        <v>0</v>
      </c>
      <c r="L263" t="n">
        <v>0</v>
      </c>
      <c r="M263" t="n">
        <v>0</v>
      </c>
      <c r="N263" t="n">
        <v>0</v>
      </c>
      <c r="O263" t="n">
        <v>0</v>
      </c>
      <c r="P263" t="n">
        <v>0</v>
      </c>
      <c r="Q263" t="n">
        <v>0</v>
      </c>
      <c r="R263" t="n">
        <v>0</v>
      </c>
      <c r="S263" t="n">
        <v>0</v>
      </c>
      <c r="T263" t="n">
        <v>0</v>
      </c>
      <c r="U263" s="2" t="inlineStr"/>
    </row>
    <row r="264" ht="15" customHeight="1">
      <c r="A264" t="inlineStr">
        <is>
          <t>A 59530-2022</t>
        </is>
      </c>
      <c r="B264" t="inlineStr">
        <is>
          <t>avverkningsanmälan</t>
        </is>
      </c>
      <c r="C264" t="inlineStr">
        <is>
          <t>Föryngringsavverkning</t>
        </is>
      </c>
      <c r="D264" s="1" t="n">
        <v>44907</v>
      </c>
      <c r="E264" s="1" t="n">
        <v>46219</v>
      </c>
      <c r="F264" t="inlineStr">
        <is>
          <t>VÄSTRA GÖTALANDS LÄN</t>
        </is>
      </c>
      <c r="G264" t="inlineStr">
        <is>
          <t>DALS-ED</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12693-2024</t>
        </is>
      </c>
      <c r="B265" t="inlineStr">
        <is>
          <t>avverkningsanmälan</t>
        </is>
      </c>
      <c r="C265" t="inlineStr">
        <is>
          <t>Föryngringsavverkning</t>
        </is>
      </c>
      <c r="D265" s="1" t="n">
        <v>45384</v>
      </c>
      <c r="E265" s="1" t="n">
        <v>46219</v>
      </c>
      <c r="F265" t="inlineStr">
        <is>
          <t>VÄSTRA GÖTALANDS LÄN</t>
        </is>
      </c>
      <c r="G265" t="inlineStr">
        <is>
          <t>DALS-ED</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47444-2024</t>
        </is>
      </c>
      <c r="B266" t="inlineStr">
        <is>
          <t>avverkningsanmälan</t>
        </is>
      </c>
      <c r="C266" t="inlineStr">
        <is>
          <t>Föryngringsavverkning</t>
        </is>
      </c>
      <c r="D266" s="1" t="n">
        <v>45587</v>
      </c>
      <c r="E266" s="1" t="n">
        <v>46219</v>
      </c>
      <c r="F266" t="inlineStr">
        <is>
          <t>VÄSTRA GÖTALANDS LÄN</t>
        </is>
      </c>
      <c r="G266" t="inlineStr">
        <is>
          <t>DALS-ED</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61281-2025</t>
        </is>
      </c>
      <c r="B267" t="inlineStr">
        <is>
          <t>avverkningsanmälan</t>
        </is>
      </c>
      <c r="C267" t="inlineStr">
        <is>
          <t>Föryngringsavverkning</t>
        </is>
      </c>
      <c r="D267" s="1" t="n">
        <v>46000</v>
      </c>
      <c r="E267" s="1" t="n">
        <v>46219</v>
      </c>
      <c r="F267" t="inlineStr">
        <is>
          <t>VÄSTRA GÖTALANDS LÄN</t>
        </is>
      </c>
      <c r="G267" t="inlineStr">
        <is>
          <t>DALS-ED</t>
        </is>
      </c>
      <c r="I267" t="n">
        <v>9.1</v>
      </c>
      <c r="J267" t="n">
        <v>0</v>
      </c>
      <c r="K267" t="n">
        <v>0</v>
      </c>
      <c r="L267" t="n">
        <v>0</v>
      </c>
      <c r="M267" t="n">
        <v>0</v>
      </c>
      <c r="N267" t="n">
        <v>0</v>
      </c>
      <c r="O267" t="n">
        <v>0</v>
      </c>
      <c r="P267" t="n">
        <v>0</v>
      </c>
      <c r="Q267" t="n">
        <v>0</v>
      </c>
      <c r="R267" t="n">
        <v>0</v>
      </c>
      <c r="S267" t="n">
        <v>0</v>
      </c>
      <c r="T267" t="n">
        <v>0</v>
      </c>
      <c r="U267" s="2" t="inlineStr"/>
    </row>
    <row r="268" ht="15" customHeight="1">
      <c r="A268" t="inlineStr">
        <is>
          <t>A 61840-2025</t>
        </is>
      </c>
      <c r="B268" t="inlineStr">
        <is>
          <t>avverkningsanmälan</t>
        </is>
      </c>
      <c r="C268" t="inlineStr">
        <is>
          <t>Föryngringsavverkning</t>
        </is>
      </c>
      <c r="D268" s="1" t="n">
        <v>46003</v>
      </c>
      <c r="E268" s="1" t="n">
        <v>46219</v>
      </c>
      <c r="F268" t="inlineStr">
        <is>
          <t>VÄSTRA GÖTALANDS LÄN</t>
        </is>
      </c>
      <c r="G268" t="inlineStr">
        <is>
          <t>DALS-ED</t>
        </is>
      </c>
      <c r="I268" t="n">
        <v>3.5</v>
      </c>
      <c r="J268" t="n">
        <v>0</v>
      </c>
      <c r="K268" t="n">
        <v>0</v>
      </c>
      <c r="L268" t="n">
        <v>0</v>
      </c>
      <c r="M268" t="n">
        <v>0</v>
      </c>
      <c r="N268" t="n">
        <v>0</v>
      </c>
      <c r="O268" t="n">
        <v>0</v>
      </c>
      <c r="P268" t="n">
        <v>0</v>
      </c>
      <c r="Q268" t="n">
        <v>0</v>
      </c>
      <c r="R268" t="n">
        <v>0</v>
      </c>
      <c r="S268" t="n">
        <v>0</v>
      </c>
      <c r="T268" t="n">
        <v>0</v>
      </c>
      <c r="U268" s="2" t="inlineStr"/>
    </row>
    <row r="269" ht="15" customHeight="1">
      <c r="A269" t="inlineStr">
        <is>
          <t>A 61948-2025</t>
        </is>
      </c>
      <c r="B269" t="inlineStr">
        <is>
          <t>avverkningsanmälan</t>
        </is>
      </c>
      <c r="C269" t="inlineStr">
        <is>
          <t>Föryngringsavverkning</t>
        </is>
      </c>
      <c r="D269" s="1" t="n">
        <v>46003</v>
      </c>
      <c r="E269" s="1" t="n">
        <v>46219</v>
      </c>
      <c r="F269" t="inlineStr">
        <is>
          <t>VÄSTRA GÖTALANDS LÄN</t>
        </is>
      </c>
      <c r="G269" t="inlineStr">
        <is>
          <t>DALS-ED</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54206-2024</t>
        </is>
      </c>
      <c r="B270" t="inlineStr">
        <is>
          <t>avverkningsanmälan</t>
        </is>
      </c>
      <c r="C270" t="inlineStr">
        <is>
          <t>Föryngringsavverkning</t>
        </is>
      </c>
      <c r="D270" s="1" t="n">
        <v>45616</v>
      </c>
      <c r="E270" s="1" t="n">
        <v>46219</v>
      </c>
      <c r="F270" t="inlineStr">
        <is>
          <t>VÄSTRA GÖTALANDS LÄN</t>
        </is>
      </c>
      <c r="G270" t="inlineStr">
        <is>
          <t>DALS-ED</t>
        </is>
      </c>
      <c r="I270" t="n">
        <v>5</v>
      </c>
      <c r="J270" t="n">
        <v>0</v>
      </c>
      <c r="K270" t="n">
        <v>0</v>
      </c>
      <c r="L270" t="n">
        <v>0</v>
      </c>
      <c r="M270" t="n">
        <v>0</v>
      </c>
      <c r="N270" t="n">
        <v>0</v>
      </c>
      <c r="O270" t="n">
        <v>0</v>
      </c>
      <c r="P270" t="n">
        <v>0</v>
      </c>
      <c r="Q270" t="n">
        <v>0</v>
      </c>
      <c r="R270" t="n">
        <v>0</v>
      </c>
      <c r="S270" t="n">
        <v>0</v>
      </c>
      <c r="T270" t="n">
        <v>0</v>
      </c>
      <c r="U270" s="2" t="inlineStr"/>
    </row>
    <row r="271" ht="15" customHeight="1">
      <c r="A271" t="inlineStr">
        <is>
          <t>A 58855-2024</t>
        </is>
      </c>
      <c r="B271" t="inlineStr">
        <is>
          <t>avverkningsanmälan</t>
        </is>
      </c>
      <c r="C271" t="inlineStr">
        <is>
          <t>Föryngringsavverkning</t>
        </is>
      </c>
      <c r="D271" s="1" t="n">
        <v>45636</v>
      </c>
      <c r="E271" s="1" t="n">
        <v>46219</v>
      </c>
      <c r="F271" t="inlineStr">
        <is>
          <t>VÄSTRA GÖTALANDS LÄN</t>
        </is>
      </c>
      <c r="G271" t="inlineStr">
        <is>
          <t>DALS-ED</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7482-2024</t>
        </is>
      </c>
      <c r="B272" t="inlineStr">
        <is>
          <t>avverkningsanmälan</t>
        </is>
      </c>
      <c r="C272" t="inlineStr">
        <is>
          <t>Föryngringsavverkning</t>
        </is>
      </c>
      <c r="D272" s="1" t="n">
        <v>45346</v>
      </c>
      <c r="E272" s="1" t="n">
        <v>46219</v>
      </c>
      <c r="F272" t="inlineStr">
        <is>
          <t>VÄSTRA GÖTALANDS LÄN</t>
        </is>
      </c>
      <c r="G272" t="inlineStr">
        <is>
          <t>DALS-ED</t>
        </is>
      </c>
      <c r="I272" t="n">
        <v>2.6</v>
      </c>
      <c r="J272" t="n">
        <v>0</v>
      </c>
      <c r="K272" t="n">
        <v>0</v>
      </c>
      <c r="L272" t="n">
        <v>0</v>
      </c>
      <c r="M272" t="n">
        <v>0</v>
      </c>
      <c r="N272" t="n">
        <v>0</v>
      </c>
      <c r="O272" t="n">
        <v>0</v>
      </c>
      <c r="P272" t="n">
        <v>0</v>
      </c>
      <c r="Q272" t="n">
        <v>0</v>
      </c>
      <c r="R272" t="n">
        <v>0</v>
      </c>
      <c r="S272" t="n">
        <v>0</v>
      </c>
      <c r="T272" t="n">
        <v>0</v>
      </c>
      <c r="U272" s="2" t="inlineStr"/>
    </row>
    <row r="273" ht="15" customHeight="1">
      <c r="A273" t="inlineStr">
        <is>
          <t>A 59854-2024</t>
        </is>
      </c>
      <c r="B273" t="inlineStr">
        <is>
          <t>avverkningsanmälan</t>
        </is>
      </c>
      <c r="C273" t="inlineStr">
        <is>
          <t>Föryngringsavverkning</t>
        </is>
      </c>
      <c r="D273" s="1" t="n">
        <v>45639</v>
      </c>
      <c r="E273" s="1" t="n">
        <v>46219</v>
      </c>
      <c r="F273" t="inlineStr">
        <is>
          <t>VÄSTRA GÖTALANDS LÄN</t>
        </is>
      </c>
      <c r="G273" t="inlineStr">
        <is>
          <t>DALS-ED</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59855-2024</t>
        </is>
      </c>
      <c r="B274" t="inlineStr">
        <is>
          <t>avverkningsanmälan</t>
        </is>
      </c>
      <c r="C274" t="inlineStr">
        <is>
          <t>Föryngringsavverkning</t>
        </is>
      </c>
      <c r="D274" s="1" t="n">
        <v>45639</v>
      </c>
      <c r="E274" s="1" t="n">
        <v>46219</v>
      </c>
      <c r="F274" t="inlineStr">
        <is>
          <t>VÄSTRA GÖTALANDS LÄN</t>
        </is>
      </c>
      <c r="G274" t="inlineStr">
        <is>
          <t>DALS-ED</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38407-2023</t>
        </is>
      </c>
      <c r="B275" t="inlineStr">
        <is>
          <t>avverkningsanmälan</t>
        </is>
      </c>
      <c r="C275" t="inlineStr">
        <is>
          <t>Föryngringsavverkning</t>
        </is>
      </c>
      <c r="D275" s="1" t="n">
        <v>45162</v>
      </c>
      <c r="E275" s="1" t="n">
        <v>46219</v>
      </c>
      <c r="F275" t="inlineStr">
        <is>
          <t>VÄSTRA GÖTALANDS LÄN</t>
        </is>
      </c>
      <c r="G275" t="inlineStr">
        <is>
          <t>DALS-ED</t>
        </is>
      </c>
      <c r="I275" t="n">
        <v>10.8</v>
      </c>
      <c r="J275" t="n">
        <v>0</v>
      </c>
      <c r="K275" t="n">
        <v>0</v>
      </c>
      <c r="L275" t="n">
        <v>0</v>
      </c>
      <c r="M275" t="n">
        <v>0</v>
      </c>
      <c r="N275" t="n">
        <v>0</v>
      </c>
      <c r="O275" t="n">
        <v>0</v>
      </c>
      <c r="P275" t="n">
        <v>0</v>
      </c>
      <c r="Q275" t="n">
        <v>0</v>
      </c>
      <c r="R275" t="n">
        <v>0</v>
      </c>
      <c r="S275" t="n">
        <v>0</v>
      </c>
      <c r="T275" t="n">
        <v>0</v>
      </c>
      <c r="U275" s="2" t="inlineStr"/>
    </row>
    <row r="276" ht="15" customHeight="1">
      <c r="A276" t="inlineStr">
        <is>
          <t>A 24021-2023</t>
        </is>
      </c>
      <c r="B276" t="inlineStr">
        <is>
          <t>avverkningsanmälan</t>
        </is>
      </c>
      <c r="C276" t="inlineStr">
        <is>
          <t>Föryngringsavverkning</t>
        </is>
      </c>
      <c r="D276" s="1" t="n">
        <v>45078</v>
      </c>
      <c r="E276" s="1" t="n">
        <v>46219</v>
      </c>
      <c r="F276" t="inlineStr">
        <is>
          <t>VÄSTRA GÖTALANDS LÄN</t>
        </is>
      </c>
      <c r="G276" t="inlineStr">
        <is>
          <t>DALS-ED</t>
        </is>
      </c>
      <c r="I276" t="n">
        <v>6</v>
      </c>
      <c r="J276" t="n">
        <v>0</v>
      </c>
      <c r="K276" t="n">
        <v>0</v>
      </c>
      <c r="L276" t="n">
        <v>0</v>
      </c>
      <c r="M276" t="n">
        <v>0</v>
      </c>
      <c r="N276" t="n">
        <v>0</v>
      </c>
      <c r="O276" t="n">
        <v>0</v>
      </c>
      <c r="P276" t="n">
        <v>0</v>
      </c>
      <c r="Q276" t="n">
        <v>0</v>
      </c>
      <c r="R276" t="n">
        <v>0</v>
      </c>
      <c r="S276" t="n">
        <v>0</v>
      </c>
      <c r="T276" t="n">
        <v>0</v>
      </c>
      <c r="U276" s="2" t="inlineStr"/>
    </row>
    <row r="277" ht="15" customHeight="1">
      <c r="A277" t="inlineStr">
        <is>
          <t>A 27796-2022</t>
        </is>
      </c>
      <c r="B277" t="inlineStr">
        <is>
          <t>avverkningsanmälan</t>
        </is>
      </c>
      <c r="C277" t="inlineStr">
        <is>
          <t>Föryngringsavverkning</t>
        </is>
      </c>
      <c r="D277" s="1" t="n">
        <v>44743</v>
      </c>
      <c r="E277" s="1" t="n">
        <v>46219</v>
      </c>
      <c r="F277" t="inlineStr">
        <is>
          <t>VÄSTRA GÖTALANDS LÄN</t>
        </is>
      </c>
      <c r="G277" t="inlineStr">
        <is>
          <t>DALS-ED</t>
        </is>
      </c>
      <c r="I277" t="n">
        <v>5.1</v>
      </c>
      <c r="J277" t="n">
        <v>0</v>
      </c>
      <c r="K277" t="n">
        <v>0</v>
      </c>
      <c r="L277" t="n">
        <v>0</v>
      </c>
      <c r="M277" t="n">
        <v>0</v>
      </c>
      <c r="N277" t="n">
        <v>0</v>
      </c>
      <c r="O277" t="n">
        <v>0</v>
      </c>
      <c r="P277" t="n">
        <v>0</v>
      </c>
      <c r="Q277" t="n">
        <v>0</v>
      </c>
      <c r="R277" t="n">
        <v>0</v>
      </c>
      <c r="S277" t="n">
        <v>0</v>
      </c>
      <c r="T277" t="n">
        <v>0</v>
      </c>
      <c r="U277" s="2" t="inlineStr"/>
    </row>
    <row r="278" ht="15" customHeight="1">
      <c r="A278" t="inlineStr">
        <is>
          <t>A 42821-2023</t>
        </is>
      </c>
      <c r="B278" t="inlineStr">
        <is>
          <t>avverkningsanmälan</t>
        </is>
      </c>
      <c r="C278" t="inlineStr">
        <is>
          <t>Föryngringsavverkning</t>
        </is>
      </c>
      <c r="D278" s="1" t="n">
        <v>45182</v>
      </c>
      <c r="E278" s="1" t="n">
        <v>46219</v>
      </c>
      <c r="F278" t="inlineStr">
        <is>
          <t>VÄSTRA GÖTALANDS LÄN</t>
        </is>
      </c>
      <c r="G278" t="inlineStr">
        <is>
          <t>DALS-ED</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61736-2023</t>
        </is>
      </c>
      <c r="B279" t="inlineStr">
        <is>
          <t>avverkningsanmälan</t>
        </is>
      </c>
      <c r="C279" t="inlineStr">
        <is>
          <t>Föryngringsavverkning</t>
        </is>
      </c>
      <c r="D279" s="1" t="n">
        <v>45265</v>
      </c>
      <c r="E279" s="1" t="n">
        <v>46219</v>
      </c>
      <c r="F279" t="inlineStr">
        <is>
          <t>VÄSTRA GÖTALANDS LÄN</t>
        </is>
      </c>
      <c r="G279" t="inlineStr">
        <is>
          <t>DALS-ED</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47617-2023</t>
        </is>
      </c>
      <c r="B280" t="inlineStr">
        <is>
          <t>avverkningsanmälan</t>
        </is>
      </c>
      <c r="C280" t="inlineStr">
        <is>
          <t>Föryngringsavverkning</t>
        </is>
      </c>
      <c r="D280" s="1" t="n">
        <v>45198</v>
      </c>
      <c r="E280" s="1" t="n">
        <v>46219</v>
      </c>
      <c r="F280" t="inlineStr">
        <is>
          <t>VÄSTRA GÖTALANDS LÄN</t>
        </is>
      </c>
      <c r="G280" t="inlineStr">
        <is>
          <t>DALS-ED</t>
        </is>
      </c>
      <c r="I280" t="n">
        <v>6</v>
      </c>
      <c r="J280" t="n">
        <v>0</v>
      </c>
      <c r="K280" t="n">
        <v>0</v>
      </c>
      <c r="L280" t="n">
        <v>0</v>
      </c>
      <c r="M280" t="n">
        <v>0</v>
      </c>
      <c r="N280" t="n">
        <v>0</v>
      </c>
      <c r="O280" t="n">
        <v>0</v>
      </c>
      <c r="P280" t="n">
        <v>0</v>
      </c>
      <c r="Q280" t="n">
        <v>0</v>
      </c>
      <c r="R280" t="n">
        <v>0</v>
      </c>
      <c r="S280" t="n">
        <v>0</v>
      </c>
      <c r="T280" t="n">
        <v>0</v>
      </c>
      <c r="U280" s="2" t="inlineStr"/>
    </row>
    <row r="281" ht="15" customHeight="1">
      <c r="A281" t="inlineStr">
        <is>
          <t>A 38392-2022</t>
        </is>
      </c>
      <c r="B281" t="inlineStr">
        <is>
          <t>avverkningsanmälan</t>
        </is>
      </c>
      <c r="C281" t="inlineStr">
        <is>
          <t>Föryngringsavverkning</t>
        </is>
      </c>
      <c r="D281" s="1" t="n">
        <v>44812</v>
      </c>
      <c r="E281" s="1" t="n">
        <v>46219</v>
      </c>
      <c r="F281" t="inlineStr">
        <is>
          <t>VÄSTRA GÖTALANDS LÄN</t>
        </is>
      </c>
      <c r="G281" t="inlineStr">
        <is>
          <t>DALS-ED</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36464-2023</t>
        </is>
      </c>
      <c r="B282" t="inlineStr">
        <is>
          <t>avverkningsanmälan</t>
        </is>
      </c>
      <c r="C282" t="inlineStr">
        <is>
          <t>Föryngringsavverkning</t>
        </is>
      </c>
      <c r="D282" s="1" t="n">
        <v>45151</v>
      </c>
      <c r="E282" s="1" t="n">
        <v>46219</v>
      </c>
      <c r="F282" t="inlineStr">
        <is>
          <t>VÄSTRA GÖTALANDS LÄN</t>
        </is>
      </c>
      <c r="G282" t="inlineStr">
        <is>
          <t>DALS-ED</t>
        </is>
      </c>
      <c r="I282" t="n">
        <v>6.2</v>
      </c>
      <c r="J282" t="n">
        <v>0</v>
      </c>
      <c r="K282" t="n">
        <v>0</v>
      </c>
      <c r="L282" t="n">
        <v>0</v>
      </c>
      <c r="M282" t="n">
        <v>0</v>
      </c>
      <c r="N282" t="n">
        <v>0</v>
      </c>
      <c r="O282" t="n">
        <v>0</v>
      </c>
      <c r="P282" t="n">
        <v>0</v>
      </c>
      <c r="Q282" t="n">
        <v>0</v>
      </c>
      <c r="R282" t="n">
        <v>0</v>
      </c>
      <c r="S282" t="n">
        <v>0</v>
      </c>
      <c r="T282" t="n">
        <v>0</v>
      </c>
      <c r="U282" s="2" t="inlineStr"/>
    </row>
    <row r="283" ht="15" customHeight="1">
      <c r="A283" t="inlineStr">
        <is>
          <t>A 899-2026</t>
        </is>
      </c>
      <c r="B283" t="inlineStr">
        <is>
          <t>avverkningsanmälan</t>
        </is>
      </c>
      <c r="C283" t="inlineStr">
        <is>
          <t>Föryngringsavverkning</t>
        </is>
      </c>
      <c r="D283" s="1" t="n">
        <v>46028</v>
      </c>
      <c r="E283" s="1" t="n">
        <v>46219</v>
      </c>
      <c r="F283" t="inlineStr">
        <is>
          <t>VÄSTRA GÖTALANDS LÄN</t>
        </is>
      </c>
      <c r="G283" t="inlineStr">
        <is>
          <t>DALS-ED</t>
        </is>
      </c>
      <c r="I283" t="n">
        <v>3.4</v>
      </c>
      <c r="J283" t="n">
        <v>0</v>
      </c>
      <c r="K283" t="n">
        <v>0</v>
      </c>
      <c r="L283" t="n">
        <v>0</v>
      </c>
      <c r="M283" t="n">
        <v>0</v>
      </c>
      <c r="N283" t="n">
        <v>0</v>
      </c>
      <c r="O283" t="n">
        <v>0</v>
      </c>
      <c r="P283" t="n">
        <v>0</v>
      </c>
      <c r="Q283" t="n">
        <v>0</v>
      </c>
      <c r="R283" t="n">
        <v>0</v>
      </c>
      <c r="S283" t="n">
        <v>0</v>
      </c>
      <c r="T283" t="n">
        <v>0</v>
      </c>
      <c r="U283" s="2" t="inlineStr"/>
    </row>
    <row r="284" ht="15" customHeight="1">
      <c r="A284" t="inlineStr">
        <is>
          <t>A 2452-2025</t>
        </is>
      </c>
      <c r="B284" t="inlineStr">
        <is>
          <t>avverkningsanmälan</t>
        </is>
      </c>
      <c r="C284" t="inlineStr">
        <is>
          <t>Föryngringsavverkning</t>
        </is>
      </c>
      <c r="D284" s="1" t="n">
        <v>45674</v>
      </c>
      <c r="E284" s="1" t="n">
        <v>46219</v>
      </c>
      <c r="F284" t="inlineStr">
        <is>
          <t>VÄSTRA GÖTALANDS LÄN</t>
        </is>
      </c>
      <c r="G284" t="inlineStr">
        <is>
          <t>DALS-ED</t>
        </is>
      </c>
      <c r="I284" t="n">
        <v>3.7</v>
      </c>
      <c r="J284" t="n">
        <v>0</v>
      </c>
      <c r="K284" t="n">
        <v>0</v>
      </c>
      <c r="L284" t="n">
        <v>0</v>
      </c>
      <c r="M284" t="n">
        <v>0</v>
      </c>
      <c r="N284" t="n">
        <v>0</v>
      </c>
      <c r="O284" t="n">
        <v>0</v>
      </c>
      <c r="P284" t="n">
        <v>0</v>
      </c>
      <c r="Q284" t="n">
        <v>0</v>
      </c>
      <c r="R284" t="n">
        <v>0</v>
      </c>
      <c r="S284" t="n">
        <v>0</v>
      </c>
      <c r="T284" t="n">
        <v>0</v>
      </c>
      <c r="U284" s="2" t="inlineStr"/>
    </row>
    <row r="285" ht="15" customHeight="1">
      <c r="A285" t="inlineStr">
        <is>
          <t>A 6464-2022</t>
        </is>
      </c>
      <c r="B285" t="inlineStr">
        <is>
          <t>avverkningsanmälan</t>
        </is>
      </c>
      <c r="C285" t="inlineStr">
        <is>
          <t>Föryngringsavverkning</t>
        </is>
      </c>
      <c r="D285" s="1" t="n">
        <v>44601</v>
      </c>
      <c r="E285" s="1" t="n">
        <v>46219</v>
      </c>
      <c r="F285" t="inlineStr">
        <is>
          <t>VÄSTRA GÖTALANDS LÄN</t>
        </is>
      </c>
      <c r="G285" t="inlineStr">
        <is>
          <t>DALS-ED</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1305-2026</t>
        </is>
      </c>
      <c r="B286" t="inlineStr">
        <is>
          <t>avverkningsanmälan</t>
        </is>
      </c>
      <c r="C286" t="inlineStr">
        <is>
          <t>Föryngringsavverkning</t>
        </is>
      </c>
      <c r="D286" s="1" t="n">
        <v>46031</v>
      </c>
      <c r="E286" s="1" t="n">
        <v>46219</v>
      </c>
      <c r="F286" t="inlineStr">
        <is>
          <t>VÄSTRA GÖTALANDS LÄN</t>
        </is>
      </c>
      <c r="G286" t="inlineStr">
        <is>
          <t>DALS-ED</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1309-2026</t>
        </is>
      </c>
      <c r="B287" t="inlineStr">
        <is>
          <t>avverkningsanmälan</t>
        </is>
      </c>
      <c r="C287" t="inlineStr">
        <is>
          <t>Föryngringsavverkning</t>
        </is>
      </c>
      <c r="D287" s="1" t="n">
        <v>46031</v>
      </c>
      <c r="E287" s="1" t="n">
        <v>46219</v>
      </c>
      <c r="F287" t="inlineStr">
        <is>
          <t>VÄSTRA GÖTALANDS LÄN</t>
        </is>
      </c>
      <c r="G287" t="inlineStr">
        <is>
          <t>DALS-ED</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12561-2025</t>
        </is>
      </c>
      <c r="B288" t="inlineStr">
        <is>
          <t>avverkningsanmälan</t>
        </is>
      </c>
      <c r="C288" t="inlineStr">
        <is>
          <t>Föryngringsavverkning</t>
        </is>
      </c>
      <c r="D288" s="1" t="n">
        <v>45731</v>
      </c>
      <c r="E288" s="1" t="n">
        <v>46219</v>
      </c>
      <c r="F288" t="inlineStr">
        <is>
          <t>VÄSTRA GÖTALANDS LÄN</t>
        </is>
      </c>
      <c r="G288" t="inlineStr">
        <is>
          <t>DALS-ED</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1870-2026</t>
        </is>
      </c>
      <c r="B289" t="inlineStr">
        <is>
          <t>avverkningsanmälan</t>
        </is>
      </c>
      <c r="C289" t="inlineStr">
        <is>
          <t>Föryngringsavverkning</t>
        </is>
      </c>
      <c r="D289" s="1" t="n">
        <v>46035</v>
      </c>
      <c r="E289" s="1" t="n">
        <v>46219</v>
      </c>
      <c r="F289" t="inlineStr">
        <is>
          <t>VÄSTRA GÖTALANDS LÄN</t>
        </is>
      </c>
      <c r="G289" t="inlineStr">
        <is>
          <t>DALS-ED</t>
        </is>
      </c>
      <c r="I289" t="n">
        <v>2.9</v>
      </c>
      <c r="J289" t="n">
        <v>0</v>
      </c>
      <c r="K289" t="n">
        <v>0</v>
      </c>
      <c r="L289" t="n">
        <v>0</v>
      </c>
      <c r="M289" t="n">
        <v>0</v>
      </c>
      <c r="N289" t="n">
        <v>0</v>
      </c>
      <c r="O289" t="n">
        <v>0</v>
      </c>
      <c r="P289" t="n">
        <v>0</v>
      </c>
      <c r="Q289" t="n">
        <v>0</v>
      </c>
      <c r="R289" t="n">
        <v>0</v>
      </c>
      <c r="S289" t="n">
        <v>0</v>
      </c>
      <c r="T289" t="n">
        <v>0</v>
      </c>
      <c r="U289" s="2" t="inlineStr"/>
    </row>
    <row r="290" ht="15" customHeight="1">
      <c r="A290" t="inlineStr">
        <is>
          <t>A 42676-2024</t>
        </is>
      </c>
      <c r="B290" t="inlineStr">
        <is>
          <t>avverkningsanmälan</t>
        </is>
      </c>
      <c r="C290" t="inlineStr">
        <is>
          <t>Föryngringsavverkning</t>
        </is>
      </c>
      <c r="D290" s="1" t="n">
        <v>45566</v>
      </c>
      <c r="E290" s="1" t="n">
        <v>46219</v>
      </c>
      <c r="F290" t="inlineStr">
        <is>
          <t>VÄSTRA GÖTALANDS LÄN</t>
        </is>
      </c>
      <c r="G290" t="inlineStr">
        <is>
          <t>DALS-ED</t>
        </is>
      </c>
      <c r="I290" t="n">
        <v>3.5</v>
      </c>
      <c r="J290" t="n">
        <v>0</v>
      </c>
      <c r="K290" t="n">
        <v>0</v>
      </c>
      <c r="L290" t="n">
        <v>0</v>
      </c>
      <c r="M290" t="n">
        <v>0</v>
      </c>
      <c r="N290" t="n">
        <v>0</v>
      </c>
      <c r="O290" t="n">
        <v>0</v>
      </c>
      <c r="P290" t="n">
        <v>0</v>
      </c>
      <c r="Q290" t="n">
        <v>0</v>
      </c>
      <c r="R290" t="n">
        <v>0</v>
      </c>
      <c r="S290" t="n">
        <v>0</v>
      </c>
      <c r="T290" t="n">
        <v>0</v>
      </c>
      <c r="U290" s="2" t="inlineStr"/>
    </row>
    <row r="291" ht="15" customHeight="1">
      <c r="A291" t="inlineStr">
        <is>
          <t>A 1871-2026</t>
        </is>
      </c>
      <c r="B291" t="inlineStr">
        <is>
          <t>avverkningsanmälan</t>
        </is>
      </c>
      <c r="C291" t="inlineStr">
        <is>
          <t>Föryngringsavverkning</t>
        </is>
      </c>
      <c r="D291" s="1" t="n">
        <v>46035</v>
      </c>
      <c r="E291" s="1" t="n">
        <v>46219</v>
      </c>
      <c r="F291" t="inlineStr">
        <is>
          <t>VÄSTRA GÖTALANDS LÄN</t>
        </is>
      </c>
      <c r="G291" t="inlineStr">
        <is>
          <t>DALS-ED</t>
        </is>
      </c>
      <c r="I291" t="n">
        <v>12.3</v>
      </c>
      <c r="J291" t="n">
        <v>0</v>
      </c>
      <c r="K291" t="n">
        <v>0</v>
      </c>
      <c r="L291" t="n">
        <v>0</v>
      </c>
      <c r="M291" t="n">
        <v>0</v>
      </c>
      <c r="N291" t="n">
        <v>0</v>
      </c>
      <c r="O291" t="n">
        <v>0</v>
      </c>
      <c r="P291" t="n">
        <v>0</v>
      </c>
      <c r="Q291" t="n">
        <v>0</v>
      </c>
      <c r="R291" t="n">
        <v>0</v>
      </c>
      <c r="S291" t="n">
        <v>0</v>
      </c>
      <c r="T291" t="n">
        <v>0</v>
      </c>
      <c r="U291" s="2" t="inlineStr"/>
    </row>
    <row r="292" ht="15" customHeight="1">
      <c r="A292" t="inlineStr">
        <is>
          <t>A 18536-2025</t>
        </is>
      </c>
      <c r="B292" t="inlineStr">
        <is>
          <t>avverkningsanmälan</t>
        </is>
      </c>
      <c r="C292" t="inlineStr">
        <is>
          <t>Föryngringsavverkning</t>
        </is>
      </c>
      <c r="D292" s="1" t="n">
        <v>45763</v>
      </c>
      <c r="E292" s="1" t="n">
        <v>46219</v>
      </c>
      <c r="F292" t="inlineStr">
        <is>
          <t>VÄSTRA GÖTALANDS LÄN</t>
        </is>
      </c>
      <c r="G292" t="inlineStr">
        <is>
          <t>DALS-ED</t>
        </is>
      </c>
      <c r="I292" t="n">
        <v>4.3</v>
      </c>
      <c r="J292" t="n">
        <v>0</v>
      </c>
      <c r="K292" t="n">
        <v>0</v>
      </c>
      <c r="L292" t="n">
        <v>0</v>
      </c>
      <c r="M292" t="n">
        <v>0</v>
      </c>
      <c r="N292" t="n">
        <v>0</v>
      </c>
      <c r="O292" t="n">
        <v>0</v>
      </c>
      <c r="P292" t="n">
        <v>0</v>
      </c>
      <c r="Q292" t="n">
        <v>0</v>
      </c>
      <c r="R292" t="n">
        <v>0</v>
      </c>
      <c r="S292" t="n">
        <v>0</v>
      </c>
      <c r="T292" t="n">
        <v>0</v>
      </c>
      <c r="U292" s="2" t="inlineStr"/>
    </row>
    <row r="293" ht="15" customHeight="1">
      <c r="A293" t="inlineStr">
        <is>
          <t>A 20948-2025</t>
        </is>
      </c>
      <c r="B293" t="inlineStr">
        <is>
          <t>avverkningsanmälan</t>
        </is>
      </c>
      <c r="C293" t="inlineStr">
        <is>
          <t>Föryngringsavverkning</t>
        </is>
      </c>
      <c r="D293" s="1" t="n">
        <v>45777</v>
      </c>
      <c r="E293" s="1" t="n">
        <v>46219</v>
      </c>
      <c r="F293" t="inlineStr">
        <is>
          <t>VÄSTRA GÖTALANDS LÄN</t>
        </is>
      </c>
      <c r="G293" t="inlineStr">
        <is>
          <t>DALS-ED</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12988-2022</t>
        </is>
      </c>
      <c r="B294" t="inlineStr">
        <is>
          <t>avverkningsanmälan</t>
        </is>
      </c>
      <c r="C294" t="inlineStr">
        <is>
          <t>Föryngringsavverkning</t>
        </is>
      </c>
      <c r="D294" s="1" t="n">
        <v>44643</v>
      </c>
      <c r="E294" s="1" t="n">
        <v>46219</v>
      </c>
      <c r="F294" t="inlineStr">
        <is>
          <t>VÄSTRA GÖTALANDS LÄN</t>
        </is>
      </c>
      <c r="G294" t="inlineStr">
        <is>
          <t>DALS-ED</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46050-2023</t>
        </is>
      </c>
      <c r="B295" t="inlineStr">
        <is>
          <t>avverkningsanmälan</t>
        </is>
      </c>
      <c r="C295" t="inlineStr">
        <is>
          <t>Föryngringsavverkning</t>
        </is>
      </c>
      <c r="D295" s="1" t="n">
        <v>45196</v>
      </c>
      <c r="E295" s="1" t="n">
        <v>46219</v>
      </c>
      <c r="F295" t="inlineStr">
        <is>
          <t>VÄSTRA GÖTALANDS LÄN</t>
        </is>
      </c>
      <c r="G295" t="inlineStr">
        <is>
          <t>DALS-ED</t>
        </is>
      </c>
      <c r="H295" t="inlineStr">
        <is>
          <t>Kommuner</t>
        </is>
      </c>
      <c r="I295" t="n">
        <v>6.5</v>
      </c>
      <c r="J295" t="n">
        <v>0</v>
      </c>
      <c r="K295" t="n">
        <v>0</v>
      </c>
      <c r="L295" t="n">
        <v>0</v>
      </c>
      <c r="M295" t="n">
        <v>0</v>
      </c>
      <c r="N295" t="n">
        <v>0</v>
      </c>
      <c r="O295" t="n">
        <v>0</v>
      </c>
      <c r="P295" t="n">
        <v>0</v>
      </c>
      <c r="Q295" t="n">
        <v>0</v>
      </c>
      <c r="R295" t="n">
        <v>0</v>
      </c>
      <c r="S295" t="n">
        <v>0</v>
      </c>
      <c r="T295" t="n">
        <v>0</v>
      </c>
      <c r="U295" s="2" t="inlineStr"/>
    </row>
    <row r="296" ht="15" customHeight="1">
      <c r="A296" t="inlineStr">
        <is>
          <t>A 3465-2026</t>
        </is>
      </c>
      <c r="B296" t="inlineStr">
        <is>
          <t>avverkningsanmälan</t>
        </is>
      </c>
      <c r="C296" t="inlineStr">
        <is>
          <t>Föryngringsavverkning</t>
        </is>
      </c>
      <c r="D296" s="1" t="n">
        <v>46042</v>
      </c>
      <c r="E296" s="1" t="n">
        <v>46219</v>
      </c>
      <c r="F296" t="inlineStr">
        <is>
          <t>VÄSTRA GÖTALANDS LÄN</t>
        </is>
      </c>
      <c r="G296" t="inlineStr">
        <is>
          <t>DALS-ED</t>
        </is>
      </c>
      <c r="H296" t="inlineStr">
        <is>
          <t>Övriga Aktiebolag</t>
        </is>
      </c>
      <c r="I296" t="n">
        <v>10.9</v>
      </c>
      <c r="J296" t="n">
        <v>0</v>
      </c>
      <c r="K296" t="n">
        <v>0</v>
      </c>
      <c r="L296" t="n">
        <v>0</v>
      </c>
      <c r="M296" t="n">
        <v>0</v>
      </c>
      <c r="N296" t="n">
        <v>0</v>
      </c>
      <c r="O296" t="n">
        <v>0</v>
      </c>
      <c r="P296" t="n">
        <v>0</v>
      </c>
      <c r="Q296" t="n">
        <v>0</v>
      </c>
      <c r="R296" t="n">
        <v>0</v>
      </c>
      <c r="S296" t="n">
        <v>0</v>
      </c>
      <c r="T296" t="n">
        <v>0</v>
      </c>
      <c r="U296" s="2" t="inlineStr"/>
    </row>
    <row r="297" ht="15" customHeight="1">
      <c r="A297" t="inlineStr">
        <is>
          <t>A 61487-2022</t>
        </is>
      </c>
      <c r="B297" t="inlineStr">
        <is>
          <t>avverkningsanmälan</t>
        </is>
      </c>
      <c r="C297" t="inlineStr">
        <is>
          <t>Föryngringsavverkning</t>
        </is>
      </c>
      <c r="D297" s="1" t="n">
        <v>44910</v>
      </c>
      <c r="E297" s="1" t="n">
        <v>46219</v>
      </c>
      <c r="F297" t="inlineStr">
        <is>
          <t>VÄSTRA GÖTALANDS LÄN</t>
        </is>
      </c>
      <c r="G297" t="inlineStr">
        <is>
          <t>DALS-ED</t>
        </is>
      </c>
      <c r="H297" t="inlineStr">
        <is>
          <t>Kyrkan</t>
        </is>
      </c>
      <c r="I297" t="n">
        <v>9.4</v>
      </c>
      <c r="J297" t="n">
        <v>0</v>
      </c>
      <c r="K297" t="n">
        <v>0</v>
      </c>
      <c r="L297" t="n">
        <v>0</v>
      </c>
      <c r="M297" t="n">
        <v>0</v>
      </c>
      <c r="N297" t="n">
        <v>0</v>
      </c>
      <c r="O297" t="n">
        <v>0</v>
      </c>
      <c r="P297" t="n">
        <v>0</v>
      </c>
      <c r="Q297" t="n">
        <v>0</v>
      </c>
      <c r="R297" t="n">
        <v>0</v>
      </c>
      <c r="S297" t="n">
        <v>0</v>
      </c>
      <c r="T297" t="n">
        <v>0</v>
      </c>
      <c r="U297" s="2" t="inlineStr"/>
    </row>
    <row r="298" ht="15" customHeight="1">
      <c r="A298" t="inlineStr">
        <is>
          <t>A 52350-2024</t>
        </is>
      </c>
      <c r="B298" t="inlineStr">
        <is>
          <t>avverkningsanmälan</t>
        </is>
      </c>
      <c r="C298" t="inlineStr">
        <is>
          <t>Föryngringsavverkning</t>
        </is>
      </c>
      <c r="D298" s="1" t="n">
        <v>45609</v>
      </c>
      <c r="E298" s="1" t="n">
        <v>46219</v>
      </c>
      <c r="F298" t="inlineStr">
        <is>
          <t>VÄSTRA GÖTALANDS LÄN</t>
        </is>
      </c>
      <c r="G298" t="inlineStr">
        <is>
          <t>DALS-ED</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21571-2025</t>
        </is>
      </c>
      <c r="B299" t="inlineStr">
        <is>
          <t>avverkningsanmälan</t>
        </is>
      </c>
      <c r="C299" t="inlineStr">
        <is>
          <t>Föryngringsavverkning</t>
        </is>
      </c>
      <c r="D299" s="1" t="n">
        <v>45782</v>
      </c>
      <c r="E299" s="1" t="n">
        <v>46219</v>
      </c>
      <c r="F299" t="inlineStr">
        <is>
          <t>VÄSTRA GÖTALANDS LÄN</t>
        </is>
      </c>
      <c r="G299" t="inlineStr">
        <is>
          <t>DALS-ED</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22293-2025</t>
        </is>
      </c>
      <c r="B300" t="inlineStr">
        <is>
          <t>avverkningsanmälan</t>
        </is>
      </c>
      <c r="C300" t="inlineStr">
        <is>
          <t>Föryngringsavverkning</t>
        </is>
      </c>
      <c r="D300" s="1" t="n">
        <v>45786</v>
      </c>
      <c r="E300" s="1" t="n">
        <v>46219</v>
      </c>
      <c r="F300" t="inlineStr">
        <is>
          <t>VÄSTRA GÖTALANDS LÄN</t>
        </is>
      </c>
      <c r="G300" t="inlineStr">
        <is>
          <t>DALS-ED</t>
        </is>
      </c>
      <c r="I300" t="n">
        <v>8</v>
      </c>
      <c r="J300" t="n">
        <v>0</v>
      </c>
      <c r="K300" t="n">
        <v>0</v>
      </c>
      <c r="L300" t="n">
        <v>0</v>
      </c>
      <c r="M300" t="n">
        <v>0</v>
      </c>
      <c r="N300" t="n">
        <v>0</v>
      </c>
      <c r="O300" t="n">
        <v>0</v>
      </c>
      <c r="P300" t="n">
        <v>0</v>
      </c>
      <c r="Q300" t="n">
        <v>0</v>
      </c>
      <c r="R300" t="n">
        <v>0</v>
      </c>
      <c r="S300" t="n">
        <v>0</v>
      </c>
      <c r="T300" t="n">
        <v>0</v>
      </c>
      <c r="U300" s="2" t="inlineStr"/>
    </row>
    <row r="301" ht="15" customHeight="1">
      <c r="A301" t="inlineStr">
        <is>
          <t>A 12548-2023</t>
        </is>
      </c>
      <c r="B301" t="inlineStr">
        <is>
          <t>avverkningsanmälan</t>
        </is>
      </c>
      <c r="C301" t="inlineStr">
        <is>
          <t>Föryngringsavverkning</t>
        </is>
      </c>
      <c r="D301" s="1" t="n">
        <v>45000</v>
      </c>
      <c r="E301" s="1" t="n">
        <v>46219</v>
      </c>
      <c r="F301" t="inlineStr">
        <is>
          <t>VÄSTRA GÖTALANDS LÄN</t>
        </is>
      </c>
      <c r="G301" t="inlineStr">
        <is>
          <t>DALS-ED</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48295-2022</t>
        </is>
      </c>
      <c r="B302" t="inlineStr">
        <is>
          <t>avverkningsanmälan</t>
        </is>
      </c>
      <c r="C302" t="inlineStr">
        <is>
          <t>Föryngringsavverkning</t>
        </is>
      </c>
      <c r="D302" s="1" t="n">
        <v>44858</v>
      </c>
      <c r="E302" s="1" t="n">
        <v>46219</v>
      </c>
      <c r="F302" t="inlineStr">
        <is>
          <t>VÄSTRA GÖTALANDS LÄN</t>
        </is>
      </c>
      <c r="G302" t="inlineStr">
        <is>
          <t>DALS-ED</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20889-2022</t>
        </is>
      </c>
      <c r="B303" t="inlineStr">
        <is>
          <t>avverkningsanmälan</t>
        </is>
      </c>
      <c r="C303" t="inlineStr">
        <is>
          <t>Föryngringsavverkning</t>
        </is>
      </c>
      <c r="D303" s="1" t="n">
        <v>44701</v>
      </c>
      <c r="E303" s="1" t="n">
        <v>46219</v>
      </c>
      <c r="F303" t="inlineStr">
        <is>
          <t>VÄSTRA GÖTALANDS LÄN</t>
        </is>
      </c>
      <c r="G303" t="inlineStr">
        <is>
          <t>DALS-ED</t>
        </is>
      </c>
      <c r="I303" t="n">
        <v>8.300000000000001</v>
      </c>
      <c r="J303" t="n">
        <v>0</v>
      </c>
      <c r="K303" t="n">
        <v>0</v>
      </c>
      <c r="L303" t="n">
        <v>0</v>
      </c>
      <c r="M303" t="n">
        <v>0</v>
      </c>
      <c r="N303" t="n">
        <v>0</v>
      </c>
      <c r="O303" t="n">
        <v>0</v>
      </c>
      <c r="P303" t="n">
        <v>0</v>
      </c>
      <c r="Q303" t="n">
        <v>0</v>
      </c>
      <c r="R303" t="n">
        <v>0</v>
      </c>
      <c r="S303" t="n">
        <v>0</v>
      </c>
      <c r="T303" t="n">
        <v>0</v>
      </c>
      <c r="U303" s="2" t="inlineStr"/>
    </row>
    <row r="304" ht="15" customHeight="1">
      <c r="A304" t="inlineStr">
        <is>
          <t>A 4574-2026</t>
        </is>
      </c>
      <c r="B304" t="inlineStr">
        <is>
          <t>avverkningsanmälan</t>
        </is>
      </c>
      <c r="C304" t="inlineStr">
        <is>
          <t>Föryngringsavverkning</t>
        </is>
      </c>
      <c r="D304" s="1" t="n">
        <v>46048</v>
      </c>
      <c r="E304" s="1" t="n">
        <v>46219</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4666-2026</t>
        </is>
      </c>
      <c r="B305" t="inlineStr">
        <is>
          <t>avverkningsanmälan</t>
        </is>
      </c>
      <c r="C305" t="inlineStr">
        <is>
          <t>Avverkning för annat ändamål</t>
        </is>
      </c>
      <c r="D305" s="1" t="n">
        <v>46048</v>
      </c>
      <c r="E305" s="1" t="n">
        <v>46219</v>
      </c>
      <c r="F305" t="inlineStr">
        <is>
          <t>VÄSTRA GÖTALANDS LÄN</t>
        </is>
      </c>
      <c r="G305" t="inlineStr">
        <is>
          <t>DALS-ED</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38578-2023</t>
        </is>
      </c>
      <c r="B306" t="inlineStr">
        <is>
          <t>avverkningsanmälan</t>
        </is>
      </c>
      <c r="C306" t="inlineStr">
        <is>
          <t>Föryngringsavverkning</t>
        </is>
      </c>
      <c r="D306" s="1" t="n">
        <v>45162</v>
      </c>
      <c r="E306" s="1" t="n">
        <v>46219</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22077-2025</t>
        </is>
      </c>
      <c r="B307" t="inlineStr">
        <is>
          <t>avverkningsanmälan</t>
        </is>
      </c>
      <c r="C307" t="inlineStr">
        <is>
          <t>Föryngringsavverkning</t>
        </is>
      </c>
      <c r="D307" s="1" t="n">
        <v>45785</v>
      </c>
      <c r="E307" s="1" t="n">
        <v>46219</v>
      </c>
      <c r="F307" t="inlineStr">
        <is>
          <t>VÄSTRA GÖTALANDS LÄN</t>
        </is>
      </c>
      <c r="G307" t="inlineStr">
        <is>
          <t>DALS-ED</t>
        </is>
      </c>
      <c r="I307" t="n">
        <v>10.9</v>
      </c>
      <c r="J307" t="n">
        <v>0</v>
      </c>
      <c r="K307" t="n">
        <v>0</v>
      </c>
      <c r="L307" t="n">
        <v>0</v>
      </c>
      <c r="M307" t="n">
        <v>0</v>
      </c>
      <c r="N307" t="n">
        <v>0</v>
      </c>
      <c r="O307" t="n">
        <v>0</v>
      </c>
      <c r="P307" t="n">
        <v>0</v>
      </c>
      <c r="Q307" t="n">
        <v>0</v>
      </c>
      <c r="R307" t="n">
        <v>0</v>
      </c>
      <c r="S307" t="n">
        <v>0</v>
      </c>
      <c r="T307" t="n">
        <v>0</v>
      </c>
      <c r="U307" s="2" t="inlineStr"/>
    </row>
    <row r="308" ht="15" customHeight="1">
      <c r="A308" t="inlineStr">
        <is>
          <t>A 22069-2025</t>
        </is>
      </c>
      <c r="B308" t="inlineStr">
        <is>
          <t>avverkningsanmälan</t>
        </is>
      </c>
      <c r="C308" t="inlineStr">
        <is>
          <t>Föryngringsavverkning</t>
        </is>
      </c>
      <c r="D308" s="1" t="n">
        <v>45785</v>
      </c>
      <c r="E308" s="1" t="n">
        <v>46219</v>
      </c>
      <c r="F308" t="inlineStr">
        <is>
          <t>VÄSTRA GÖTALANDS LÄN</t>
        </is>
      </c>
      <c r="G308" t="inlineStr">
        <is>
          <t>DALS-ED</t>
        </is>
      </c>
      <c r="H308" t="inlineStr">
        <is>
          <t>Övriga Aktiebolag</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22075-2025</t>
        </is>
      </c>
      <c r="B309" t="inlineStr">
        <is>
          <t>avverkningsanmälan</t>
        </is>
      </c>
      <c r="C309" t="inlineStr">
        <is>
          <t>Föryngringsavverkning</t>
        </is>
      </c>
      <c r="D309" s="1" t="n">
        <v>45785</v>
      </c>
      <c r="E309" s="1" t="n">
        <v>46219</v>
      </c>
      <c r="F309" t="inlineStr">
        <is>
          <t>VÄSTRA GÖTALANDS LÄN</t>
        </is>
      </c>
      <c r="G309" t="inlineStr">
        <is>
          <t>DALS-ED</t>
        </is>
      </c>
      <c r="H309" t="inlineStr">
        <is>
          <t>Övriga Aktiebolag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22059-2025</t>
        </is>
      </c>
      <c r="B310" t="inlineStr">
        <is>
          <t>avverkningsanmälan</t>
        </is>
      </c>
      <c r="C310" t="inlineStr">
        <is>
          <t>Föryngringsavverkning</t>
        </is>
      </c>
      <c r="D310" s="1" t="n">
        <v>45785</v>
      </c>
      <c r="E310" s="1" t="n">
        <v>46219</v>
      </c>
      <c r="F310" t="inlineStr">
        <is>
          <t>VÄSTRA GÖTALANDS LÄN</t>
        </is>
      </c>
      <c r="G310" t="inlineStr">
        <is>
          <t>DALS-ED</t>
        </is>
      </c>
      <c r="H310" t="inlineStr">
        <is>
          <t>Övriga Aktiebolag</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6551-2026</t>
        </is>
      </c>
      <c r="B311" t="inlineStr">
        <is>
          <t>avverkningsanmälan</t>
        </is>
      </c>
      <c r="C311" t="inlineStr">
        <is>
          <t>Föryngringsavverkning</t>
        </is>
      </c>
      <c r="D311" s="1" t="n">
        <v>46056</v>
      </c>
      <c r="E311" s="1" t="n">
        <v>46219</v>
      </c>
      <c r="F311" t="inlineStr">
        <is>
          <t>VÄSTRA GÖTALANDS LÄN</t>
        </is>
      </c>
      <c r="G311" t="inlineStr">
        <is>
          <t>DALS-ED</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16952-2025</t>
        </is>
      </c>
      <c r="B312" t="inlineStr">
        <is>
          <t>avverkningsanmälan</t>
        </is>
      </c>
      <c r="C312" t="inlineStr">
        <is>
          <t>Föryngringsavverkning</t>
        </is>
      </c>
      <c r="D312" s="1" t="n">
        <v>45755</v>
      </c>
      <c r="E312" s="1" t="n">
        <v>46219</v>
      </c>
      <c r="F312" t="inlineStr">
        <is>
          <t>VÄSTRA GÖTALANDS LÄN</t>
        </is>
      </c>
      <c r="G312" t="inlineStr">
        <is>
          <t>DALS-ED</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4489-2025</t>
        </is>
      </c>
      <c r="B313" t="inlineStr">
        <is>
          <t>avverkningsanmälan</t>
        </is>
      </c>
      <c r="C313" t="inlineStr">
        <is>
          <t>Föryngringsavverkning</t>
        </is>
      </c>
      <c r="D313" s="1" t="n">
        <v>45686</v>
      </c>
      <c r="E313" s="1" t="n">
        <v>46219</v>
      </c>
      <c r="F313" t="inlineStr">
        <is>
          <t>VÄSTRA GÖTALANDS LÄN</t>
        </is>
      </c>
      <c r="G313" t="inlineStr">
        <is>
          <t>DALS-ED</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27807-2022</t>
        </is>
      </c>
      <c r="B314" t="inlineStr">
        <is>
          <t>avverkningsanmälan</t>
        </is>
      </c>
      <c r="C314" t="inlineStr">
        <is>
          <t>Föryngringsavverkning</t>
        </is>
      </c>
      <c r="D314" s="1" t="n">
        <v>44743</v>
      </c>
      <c r="E314" s="1" t="n">
        <v>46219</v>
      </c>
      <c r="F314" t="inlineStr">
        <is>
          <t>VÄSTRA GÖTALANDS LÄN</t>
        </is>
      </c>
      <c r="G314" t="inlineStr">
        <is>
          <t>DALS-ED</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20268-2025</t>
        </is>
      </c>
      <c r="B315" t="inlineStr">
        <is>
          <t>avverkningsanmälan</t>
        </is>
      </c>
      <c r="C315" t="inlineStr">
        <is>
          <t>Föryngringsavverkning</t>
        </is>
      </c>
      <c r="D315" s="1" t="n">
        <v>45773</v>
      </c>
      <c r="E315" s="1" t="n">
        <v>46219</v>
      </c>
      <c r="F315" t="inlineStr">
        <is>
          <t>VÄSTRA GÖTALANDS LÄN</t>
        </is>
      </c>
      <c r="G315" t="inlineStr">
        <is>
          <t>DALS-ED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6413-2026</t>
        </is>
      </c>
      <c r="B316" t="inlineStr">
        <is>
          <t>avverkningsanmälan</t>
        </is>
      </c>
      <c r="C316" t="inlineStr">
        <is>
          <t>Föryngringsavverkning</t>
        </is>
      </c>
      <c r="D316" s="1" t="n">
        <v>46055</v>
      </c>
      <c r="E316" s="1" t="n">
        <v>46219</v>
      </c>
      <c r="F316" t="inlineStr">
        <is>
          <t>VÄSTRA GÖTALANDS LÄN</t>
        </is>
      </c>
      <c r="G316" t="inlineStr">
        <is>
          <t>DALS-ED</t>
        </is>
      </c>
      <c r="I316" t="n">
        <v>4.2</v>
      </c>
      <c r="J316" t="n">
        <v>0</v>
      </c>
      <c r="K316" t="n">
        <v>0</v>
      </c>
      <c r="L316" t="n">
        <v>0</v>
      </c>
      <c r="M316" t="n">
        <v>0</v>
      </c>
      <c r="N316" t="n">
        <v>0</v>
      </c>
      <c r="O316" t="n">
        <v>0</v>
      </c>
      <c r="P316" t="n">
        <v>0</v>
      </c>
      <c r="Q316" t="n">
        <v>0</v>
      </c>
      <c r="R316" t="n">
        <v>0</v>
      </c>
      <c r="S316" t="n">
        <v>0</v>
      </c>
      <c r="T316" t="n">
        <v>0</v>
      </c>
      <c r="U316" s="2" t="inlineStr"/>
    </row>
    <row r="317" ht="15" customHeight="1">
      <c r="A317" t="inlineStr">
        <is>
          <t>A 6558-2026</t>
        </is>
      </c>
      <c r="B317" t="inlineStr">
        <is>
          <t>avverkningsanmälan</t>
        </is>
      </c>
      <c r="C317" t="inlineStr">
        <is>
          <t>Föryngringsavverkning</t>
        </is>
      </c>
      <c r="D317" s="1" t="n">
        <v>46056</v>
      </c>
      <c r="E317" s="1" t="n">
        <v>46219</v>
      </c>
      <c r="F317" t="inlineStr">
        <is>
          <t>VÄSTRA GÖTALANDS LÄN</t>
        </is>
      </c>
      <c r="G317" t="inlineStr">
        <is>
          <t>DALS-ED</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8892-2022</t>
        </is>
      </c>
      <c r="B318" t="inlineStr">
        <is>
          <t>avverkningsanmälan</t>
        </is>
      </c>
      <c r="C318" t="inlineStr">
        <is>
          <t>Avverkning för annat ändamål</t>
        </is>
      </c>
      <c r="D318" s="1" t="n">
        <v>44614</v>
      </c>
      <c r="E318" s="1" t="n">
        <v>46219</v>
      </c>
      <c r="F318" t="inlineStr">
        <is>
          <t>VÄSTRA GÖTALANDS LÄN</t>
        </is>
      </c>
      <c r="G318" t="inlineStr">
        <is>
          <t>DALS-ED</t>
        </is>
      </c>
      <c r="I318" t="n">
        <v>0.2</v>
      </c>
      <c r="J318" t="n">
        <v>0</v>
      </c>
      <c r="K318" t="n">
        <v>0</v>
      </c>
      <c r="L318" t="n">
        <v>0</v>
      </c>
      <c r="M318" t="n">
        <v>0</v>
      </c>
      <c r="N318" t="n">
        <v>0</v>
      </c>
      <c r="O318" t="n">
        <v>0</v>
      </c>
      <c r="P318" t="n">
        <v>0</v>
      </c>
      <c r="Q318" t="n">
        <v>0</v>
      </c>
      <c r="R318" t="n">
        <v>0</v>
      </c>
      <c r="S318" t="n">
        <v>0</v>
      </c>
      <c r="T318" t="n">
        <v>0</v>
      </c>
      <c r="U318" s="2" t="inlineStr"/>
    </row>
    <row r="319" ht="15" customHeight="1">
      <c r="A319" t="inlineStr">
        <is>
          <t>A 22847-2025</t>
        </is>
      </c>
      <c r="B319" t="inlineStr">
        <is>
          <t>avverkningsanmälan</t>
        </is>
      </c>
      <c r="C319" t="inlineStr">
        <is>
          <t>Föryngringsavverkning</t>
        </is>
      </c>
      <c r="D319" s="1" t="n">
        <v>45790</v>
      </c>
      <c r="E319" s="1" t="n">
        <v>46219</v>
      </c>
      <c r="F319" t="inlineStr">
        <is>
          <t>VÄSTRA GÖTALANDS LÄN</t>
        </is>
      </c>
      <c r="G319" t="inlineStr">
        <is>
          <t>DALS-ED</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24482-2024</t>
        </is>
      </c>
      <c r="B320" t="inlineStr">
        <is>
          <t>avverkningsanmälan</t>
        </is>
      </c>
      <c r="C320" t="inlineStr">
        <is>
          <t>Föryngringsavverkning</t>
        </is>
      </c>
      <c r="D320" s="1" t="n">
        <v>45459</v>
      </c>
      <c r="E320" s="1" t="n">
        <v>46219</v>
      </c>
      <c r="F320" t="inlineStr">
        <is>
          <t>VÄSTRA GÖTALANDS LÄN</t>
        </is>
      </c>
      <c r="G320" t="inlineStr">
        <is>
          <t>DALS-ED</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7561-2026</t>
        </is>
      </c>
      <c r="B321" t="inlineStr">
        <is>
          <t>avverkningsanmälan</t>
        </is>
      </c>
      <c r="C321" t="inlineStr">
        <is>
          <t>Föryngringsavverkning</t>
        </is>
      </c>
      <c r="D321" s="1" t="n">
        <v>46060</v>
      </c>
      <c r="E321" s="1" t="n">
        <v>46219</v>
      </c>
      <c r="F321" t="inlineStr">
        <is>
          <t>VÄSTRA GÖTALANDS LÄN</t>
        </is>
      </c>
      <c r="G321" t="inlineStr">
        <is>
          <t>DALS-ED</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15364-2022</t>
        </is>
      </c>
      <c r="B322" t="inlineStr">
        <is>
          <t>avverkningsanmälan</t>
        </is>
      </c>
      <c r="C322" t="inlineStr">
        <is>
          <t>Föryngringsavverkning</t>
        </is>
      </c>
      <c r="D322" s="1" t="n">
        <v>44659</v>
      </c>
      <c r="E322" s="1" t="n">
        <v>46219</v>
      </c>
      <c r="F322" t="inlineStr">
        <is>
          <t>VÄSTRA GÖTALANDS LÄN</t>
        </is>
      </c>
      <c r="G322" t="inlineStr">
        <is>
          <t>DALS-ED</t>
        </is>
      </c>
      <c r="I322" t="n">
        <v>6.5</v>
      </c>
      <c r="J322" t="n">
        <v>0</v>
      </c>
      <c r="K322" t="n">
        <v>0</v>
      </c>
      <c r="L322" t="n">
        <v>0</v>
      </c>
      <c r="M322" t="n">
        <v>0</v>
      </c>
      <c r="N322" t="n">
        <v>0</v>
      </c>
      <c r="O322" t="n">
        <v>0</v>
      </c>
      <c r="P322" t="n">
        <v>0</v>
      </c>
      <c r="Q322" t="n">
        <v>0</v>
      </c>
      <c r="R322" t="n">
        <v>0</v>
      </c>
      <c r="S322" t="n">
        <v>0</v>
      </c>
      <c r="T322" t="n">
        <v>0</v>
      </c>
      <c r="U322" s="2" t="inlineStr"/>
    </row>
    <row r="323" ht="15" customHeight="1">
      <c r="A323" t="inlineStr">
        <is>
          <t>A 40390-2022</t>
        </is>
      </c>
      <c r="B323" t="inlineStr">
        <is>
          <t>avverkningsanmälan</t>
        </is>
      </c>
      <c r="C323" t="inlineStr">
        <is>
          <t>Föryngringsavverkning</t>
        </is>
      </c>
      <c r="D323" s="1" t="n">
        <v>44823</v>
      </c>
      <c r="E323" s="1" t="n">
        <v>46219</v>
      </c>
      <c r="F323" t="inlineStr">
        <is>
          <t>VÄSTRA GÖTALANDS LÄN</t>
        </is>
      </c>
      <c r="G323" t="inlineStr">
        <is>
          <t>DALS-ED</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22901-2025</t>
        </is>
      </c>
      <c r="B324" t="inlineStr">
        <is>
          <t>avverkningsanmälan</t>
        </is>
      </c>
      <c r="C324" t="inlineStr">
        <is>
          <t>Föryngringsavverkning</t>
        </is>
      </c>
      <c r="D324" s="1" t="n">
        <v>45790</v>
      </c>
      <c r="E324" s="1" t="n">
        <v>46219</v>
      </c>
      <c r="F324" t="inlineStr">
        <is>
          <t>VÄSTRA GÖTALANDS LÄN</t>
        </is>
      </c>
      <c r="G324" t="inlineStr">
        <is>
          <t>DALS-ED</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7394-2025</t>
        </is>
      </c>
      <c r="B325" t="inlineStr">
        <is>
          <t>avverkningsanmälan</t>
        </is>
      </c>
      <c r="C325" t="inlineStr">
        <is>
          <t>Föryngringsavverkning</t>
        </is>
      </c>
      <c r="D325" s="1" t="n">
        <v>45705</v>
      </c>
      <c r="E325" s="1" t="n">
        <v>46219</v>
      </c>
      <c r="F325" t="inlineStr">
        <is>
          <t>VÄSTRA GÖTALANDS LÄN</t>
        </is>
      </c>
      <c r="G325" t="inlineStr">
        <is>
          <t>DALS-ED</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8888-2025</t>
        </is>
      </c>
      <c r="B326" t="inlineStr">
        <is>
          <t>avverkningsanmälan</t>
        </is>
      </c>
      <c r="C326" t="inlineStr">
        <is>
          <t>Föryngringsavverkning</t>
        </is>
      </c>
      <c r="D326" s="1" t="n">
        <v>45713</v>
      </c>
      <c r="E326" s="1" t="n">
        <v>46219</v>
      </c>
      <c r="F326" t="inlineStr">
        <is>
          <t>VÄSTRA GÖTALANDS LÄN</t>
        </is>
      </c>
      <c r="G326" t="inlineStr">
        <is>
          <t>DALS-ED</t>
        </is>
      </c>
      <c r="I326" t="n">
        <v>6.8</v>
      </c>
      <c r="J326" t="n">
        <v>0</v>
      </c>
      <c r="K326" t="n">
        <v>0</v>
      </c>
      <c r="L326" t="n">
        <v>0</v>
      </c>
      <c r="M326" t="n">
        <v>0</v>
      </c>
      <c r="N326" t="n">
        <v>0</v>
      </c>
      <c r="O326" t="n">
        <v>0</v>
      </c>
      <c r="P326" t="n">
        <v>0</v>
      </c>
      <c r="Q326" t="n">
        <v>0</v>
      </c>
      <c r="R326" t="n">
        <v>0</v>
      </c>
      <c r="S326" t="n">
        <v>0</v>
      </c>
      <c r="T326" t="n">
        <v>0</v>
      </c>
      <c r="U326" s="2" t="inlineStr"/>
    </row>
    <row r="327" ht="15" customHeight="1">
      <c r="A327" t="inlineStr">
        <is>
          <t>A 14924-2025</t>
        </is>
      </c>
      <c r="B327" t="inlineStr">
        <is>
          <t>avverkningsanmälan</t>
        </is>
      </c>
      <c r="C327" t="inlineStr">
        <is>
          <t>Föryngringsavverkning</t>
        </is>
      </c>
      <c r="D327" s="1" t="n">
        <v>45743</v>
      </c>
      <c r="E327" s="1" t="n">
        <v>46219</v>
      </c>
      <c r="F327" t="inlineStr">
        <is>
          <t>VÄSTRA GÖTALANDS LÄN</t>
        </is>
      </c>
      <c r="G327" t="inlineStr">
        <is>
          <t>DALS-ED</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9423-2026</t>
        </is>
      </c>
      <c r="B328" t="inlineStr">
        <is>
          <t>avverkningsanmälan</t>
        </is>
      </c>
      <c r="C328" t="inlineStr">
        <is>
          <t>Föryngringsavverkning</t>
        </is>
      </c>
      <c r="D328" s="1" t="n">
        <v>46071</v>
      </c>
      <c r="E328" s="1" t="n">
        <v>46219</v>
      </c>
      <c r="F328" t="inlineStr">
        <is>
          <t>VÄSTRA GÖTALANDS LÄN</t>
        </is>
      </c>
      <c r="G328" t="inlineStr">
        <is>
          <t>DALS-ED</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47092-2023</t>
        </is>
      </c>
      <c r="B329" t="inlineStr">
        <is>
          <t>avverkningsanmälan</t>
        </is>
      </c>
      <c r="C329" t="inlineStr">
        <is>
          <t>Föryngringsavverkning</t>
        </is>
      </c>
      <c r="D329" s="1" t="n">
        <v>45201</v>
      </c>
      <c r="E329" s="1" t="n">
        <v>46219</v>
      </c>
      <c r="F329" t="inlineStr">
        <is>
          <t>VÄSTRA GÖTALANDS LÄN</t>
        </is>
      </c>
      <c r="G329" t="inlineStr">
        <is>
          <t>DALS-ED</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10976-2025</t>
        </is>
      </c>
      <c r="B330" t="inlineStr">
        <is>
          <t>avverkningsanmälan</t>
        </is>
      </c>
      <c r="C330" t="inlineStr">
        <is>
          <t>Föryngringsavverkning</t>
        </is>
      </c>
      <c r="D330" s="1" t="n">
        <v>45723</v>
      </c>
      <c r="E330" s="1" t="n">
        <v>46219</v>
      </c>
      <c r="F330" t="inlineStr">
        <is>
          <t>VÄSTRA GÖTALANDS LÄN</t>
        </is>
      </c>
      <c r="G330" t="inlineStr">
        <is>
          <t>DALS-ED</t>
        </is>
      </c>
      <c r="I330" t="n">
        <v>4.1</v>
      </c>
      <c r="J330" t="n">
        <v>0</v>
      </c>
      <c r="K330" t="n">
        <v>0</v>
      </c>
      <c r="L330" t="n">
        <v>0</v>
      </c>
      <c r="M330" t="n">
        <v>0</v>
      </c>
      <c r="N330" t="n">
        <v>0</v>
      </c>
      <c r="O330" t="n">
        <v>0</v>
      </c>
      <c r="P330" t="n">
        <v>0</v>
      </c>
      <c r="Q330" t="n">
        <v>0</v>
      </c>
      <c r="R330" t="n">
        <v>0</v>
      </c>
      <c r="S330" t="n">
        <v>0</v>
      </c>
      <c r="T330" t="n">
        <v>0</v>
      </c>
      <c r="U330" s="2" t="inlineStr"/>
    </row>
    <row r="331" ht="15" customHeight="1">
      <c r="A331" t="inlineStr">
        <is>
          <t>A 23636-2025</t>
        </is>
      </c>
      <c r="B331" t="inlineStr">
        <is>
          <t>avverkningsanmälan</t>
        </is>
      </c>
      <c r="C331" t="inlineStr">
        <is>
          <t>Föryngringsavverkning</t>
        </is>
      </c>
      <c r="D331" s="1" t="n">
        <v>45792</v>
      </c>
      <c r="E331" s="1" t="n">
        <v>46219</v>
      </c>
      <c r="F331" t="inlineStr">
        <is>
          <t>VÄSTRA GÖTALANDS LÄN</t>
        </is>
      </c>
      <c r="G331" t="inlineStr">
        <is>
          <t>DALS-ED</t>
        </is>
      </c>
      <c r="I331" t="n">
        <v>4.3</v>
      </c>
      <c r="J331" t="n">
        <v>0</v>
      </c>
      <c r="K331" t="n">
        <v>0</v>
      </c>
      <c r="L331" t="n">
        <v>0</v>
      </c>
      <c r="M331" t="n">
        <v>0</v>
      </c>
      <c r="N331" t="n">
        <v>0</v>
      </c>
      <c r="O331" t="n">
        <v>0</v>
      </c>
      <c r="P331" t="n">
        <v>0</v>
      </c>
      <c r="Q331" t="n">
        <v>0</v>
      </c>
      <c r="R331" t="n">
        <v>0</v>
      </c>
      <c r="S331" t="n">
        <v>0</v>
      </c>
      <c r="T331" t="n">
        <v>0</v>
      </c>
      <c r="U331" s="2" t="inlineStr"/>
    </row>
    <row r="332" ht="15" customHeight="1">
      <c r="A332" t="inlineStr">
        <is>
          <t>A 9975-2025</t>
        </is>
      </c>
      <c r="B332" t="inlineStr">
        <is>
          <t>avverkningsanmälan</t>
        </is>
      </c>
      <c r="C332" t="inlineStr">
        <is>
          <t>Föryngringsavverkning</t>
        </is>
      </c>
      <c r="D332" s="1" t="n">
        <v>45719</v>
      </c>
      <c r="E332" s="1" t="n">
        <v>46219</v>
      </c>
      <c r="F332" t="inlineStr">
        <is>
          <t>VÄSTRA GÖTALANDS LÄN</t>
        </is>
      </c>
      <c r="G332" t="inlineStr">
        <is>
          <t>DALS-ED</t>
        </is>
      </c>
      <c r="I332" t="n">
        <v>3.1</v>
      </c>
      <c r="J332" t="n">
        <v>0</v>
      </c>
      <c r="K332" t="n">
        <v>0</v>
      </c>
      <c r="L332" t="n">
        <v>0</v>
      </c>
      <c r="M332" t="n">
        <v>0</v>
      </c>
      <c r="N332" t="n">
        <v>0</v>
      </c>
      <c r="O332" t="n">
        <v>0</v>
      </c>
      <c r="P332" t="n">
        <v>0</v>
      </c>
      <c r="Q332" t="n">
        <v>0</v>
      </c>
      <c r="R332" t="n">
        <v>0</v>
      </c>
      <c r="S332" t="n">
        <v>0</v>
      </c>
      <c r="T332" t="n">
        <v>0</v>
      </c>
      <c r="U332" s="2" t="inlineStr"/>
    </row>
    <row r="333" ht="15" customHeight="1">
      <c r="A333" t="inlineStr">
        <is>
          <t>A 8875-2025</t>
        </is>
      </c>
      <c r="B333" t="inlineStr">
        <is>
          <t>avverkningsanmälan</t>
        </is>
      </c>
      <c r="C333" t="inlineStr">
        <is>
          <t>Föryngringsavverkning</t>
        </is>
      </c>
      <c r="D333" s="1" t="n">
        <v>45713</v>
      </c>
      <c r="E333" s="1" t="n">
        <v>46219</v>
      </c>
      <c r="F333" t="inlineStr">
        <is>
          <t>VÄSTRA GÖTALANDS LÄN</t>
        </is>
      </c>
      <c r="G333" t="inlineStr">
        <is>
          <t>DALS-ED</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9886-2026</t>
        </is>
      </c>
      <c r="B334" t="inlineStr">
        <is>
          <t>avverkningsanmälan</t>
        </is>
      </c>
      <c r="C334" t="inlineStr">
        <is>
          <t>Föryngringsavverkning</t>
        </is>
      </c>
      <c r="D334" s="1" t="n">
        <v>46073</v>
      </c>
      <c r="E334" s="1" t="n">
        <v>46219</v>
      </c>
      <c r="F334" t="inlineStr">
        <is>
          <t>VÄSTRA GÖTALANDS LÄN</t>
        </is>
      </c>
      <c r="G334" t="inlineStr">
        <is>
          <t>DALS-ED</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14934-2025</t>
        </is>
      </c>
      <c r="B335" t="inlineStr">
        <is>
          <t>avverkningsanmälan</t>
        </is>
      </c>
      <c r="C335" t="inlineStr">
        <is>
          <t>Föryngringsavverkning</t>
        </is>
      </c>
      <c r="D335" s="1" t="n">
        <v>45743</v>
      </c>
      <c r="E335" s="1" t="n">
        <v>46219</v>
      </c>
      <c r="F335" t="inlineStr">
        <is>
          <t>VÄSTRA GÖTALANDS LÄN</t>
        </is>
      </c>
      <c r="G335" t="inlineStr">
        <is>
          <t>DALS-ED</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9884-2026</t>
        </is>
      </c>
      <c r="B336" t="inlineStr">
        <is>
          <t>avverkningsanmälan</t>
        </is>
      </c>
      <c r="C336" t="inlineStr">
        <is>
          <t>Föryngringsavverkning</t>
        </is>
      </c>
      <c r="D336" s="1" t="n">
        <v>46073</v>
      </c>
      <c r="E336" s="1" t="n">
        <v>46219</v>
      </c>
      <c r="F336" t="inlineStr">
        <is>
          <t>VÄSTRA GÖTALANDS LÄN</t>
        </is>
      </c>
      <c r="G336" t="inlineStr">
        <is>
          <t>DALS-ED</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9888-2026</t>
        </is>
      </c>
      <c r="B337" t="inlineStr">
        <is>
          <t>avverkningsanmälan</t>
        </is>
      </c>
      <c r="C337" t="inlineStr">
        <is>
          <t>Föryngringsavverkning</t>
        </is>
      </c>
      <c r="D337" s="1" t="n">
        <v>46073</v>
      </c>
      <c r="E337" s="1" t="n">
        <v>46219</v>
      </c>
      <c r="F337" t="inlineStr">
        <is>
          <t>VÄSTRA GÖTALANDS LÄN</t>
        </is>
      </c>
      <c r="G337" t="inlineStr">
        <is>
          <t>DALS-ED</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9885-2026</t>
        </is>
      </c>
      <c r="B338" t="inlineStr">
        <is>
          <t>avverkningsanmälan</t>
        </is>
      </c>
      <c r="C338" t="inlineStr">
        <is>
          <t>Föryngringsavverkning</t>
        </is>
      </c>
      <c r="D338" s="1" t="n">
        <v>46073</v>
      </c>
      <c r="E338" s="1" t="n">
        <v>46219</v>
      </c>
      <c r="F338" t="inlineStr">
        <is>
          <t>VÄSTRA GÖTALANDS LÄN</t>
        </is>
      </c>
      <c r="G338" t="inlineStr">
        <is>
          <t>DALS-ED</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23956-2025</t>
        </is>
      </c>
      <c r="B339" t="inlineStr">
        <is>
          <t>avverkningsanmälan</t>
        </is>
      </c>
      <c r="C339" t="inlineStr">
        <is>
          <t>Föryngringsavverkning</t>
        </is>
      </c>
      <c r="D339" s="1" t="n">
        <v>45796</v>
      </c>
      <c r="E339" s="1" t="n">
        <v>46219</v>
      </c>
      <c r="F339" t="inlineStr">
        <is>
          <t>VÄSTRA GÖTALANDS LÄN</t>
        </is>
      </c>
      <c r="G339" t="inlineStr">
        <is>
          <t>DALS-ED</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40372-2022</t>
        </is>
      </c>
      <c r="B340" t="inlineStr">
        <is>
          <t>avverkningsanmälan</t>
        </is>
      </c>
      <c r="C340" t="inlineStr">
        <is>
          <t>Föryngringsavverkning</t>
        </is>
      </c>
      <c r="D340" s="1" t="n">
        <v>44823</v>
      </c>
      <c r="E340" s="1" t="n">
        <v>46219</v>
      </c>
      <c r="F340" t="inlineStr">
        <is>
          <t>VÄSTRA GÖTALANDS LÄN</t>
        </is>
      </c>
      <c r="G340" t="inlineStr">
        <is>
          <t>DALS-ED</t>
        </is>
      </c>
      <c r="I340" t="n">
        <v>4.1</v>
      </c>
      <c r="J340" t="n">
        <v>0</v>
      </c>
      <c r="K340" t="n">
        <v>0</v>
      </c>
      <c r="L340" t="n">
        <v>0</v>
      </c>
      <c r="M340" t="n">
        <v>0</v>
      </c>
      <c r="N340" t="n">
        <v>0</v>
      </c>
      <c r="O340" t="n">
        <v>0</v>
      </c>
      <c r="P340" t="n">
        <v>0</v>
      </c>
      <c r="Q340" t="n">
        <v>0</v>
      </c>
      <c r="R340" t="n">
        <v>0</v>
      </c>
      <c r="S340" t="n">
        <v>0</v>
      </c>
      <c r="T340" t="n">
        <v>0</v>
      </c>
      <c r="U340" s="2" t="inlineStr"/>
    </row>
    <row r="341" ht="15" customHeight="1">
      <c r="A341" t="inlineStr">
        <is>
          <t>A 11268-2026</t>
        </is>
      </c>
      <c r="B341" t="inlineStr">
        <is>
          <t>avverkningsanmälan</t>
        </is>
      </c>
      <c r="C341" t="inlineStr">
        <is>
          <t>Föryngringsavverkning</t>
        </is>
      </c>
      <c r="D341" s="1" t="n">
        <v>46080</v>
      </c>
      <c r="E341" s="1" t="n">
        <v>46219</v>
      </c>
      <c r="F341" t="inlineStr">
        <is>
          <t>VÄSTRA GÖTALANDS LÄN</t>
        </is>
      </c>
      <c r="G341" t="inlineStr">
        <is>
          <t>DALS-ED</t>
        </is>
      </c>
      <c r="H341" t="inlineStr">
        <is>
          <t>Övriga Aktiebolag</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23962-2025</t>
        </is>
      </c>
      <c r="B342" t="inlineStr">
        <is>
          <t>avverkningsanmälan</t>
        </is>
      </c>
      <c r="C342" t="inlineStr">
        <is>
          <t>Föryngringsavverkning</t>
        </is>
      </c>
      <c r="D342" s="1" t="n">
        <v>45796</v>
      </c>
      <c r="E342" s="1" t="n">
        <v>46219</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s="2" t="inlineStr"/>
    </row>
    <row r="343" ht="15" customHeight="1">
      <c r="A343" t="inlineStr">
        <is>
          <t>A 11508-2026</t>
        </is>
      </c>
      <c r="B343" t="inlineStr">
        <is>
          <t>avverkningsanmälan</t>
        </is>
      </c>
      <c r="C343" t="inlineStr">
        <is>
          <t>Föryngringsavverkning</t>
        </is>
      </c>
      <c r="D343" s="1" t="n">
        <v>46083</v>
      </c>
      <c r="E343" s="1" t="n">
        <v>46219</v>
      </c>
      <c r="F343" t="inlineStr">
        <is>
          <t>VÄSTRA GÖTALANDS LÄN</t>
        </is>
      </c>
      <c r="G343" t="inlineStr">
        <is>
          <t>DALS-ED</t>
        </is>
      </c>
      <c r="I343" t="n">
        <v>8.1</v>
      </c>
      <c r="J343" t="n">
        <v>0</v>
      </c>
      <c r="K343" t="n">
        <v>0</v>
      </c>
      <c r="L343" t="n">
        <v>0</v>
      </c>
      <c r="M343" t="n">
        <v>0</v>
      </c>
      <c r="N343" t="n">
        <v>0</v>
      </c>
      <c r="O343" t="n">
        <v>0</v>
      </c>
      <c r="P343" t="n">
        <v>0</v>
      </c>
      <c r="Q343" t="n">
        <v>0</v>
      </c>
      <c r="R343" t="n">
        <v>0</v>
      </c>
      <c r="S343" t="n">
        <v>0</v>
      </c>
      <c r="T343" t="n">
        <v>0</v>
      </c>
      <c r="U343" s="2" t="inlineStr"/>
    </row>
    <row r="344" ht="15" customHeight="1">
      <c r="A344" t="inlineStr">
        <is>
          <t>A 62996-2023</t>
        </is>
      </c>
      <c r="B344" t="inlineStr">
        <is>
          <t>avverkningsanmälan</t>
        </is>
      </c>
      <c r="C344" t="inlineStr">
        <is>
          <t>Föryngringsavverkning</t>
        </is>
      </c>
      <c r="D344" s="1" t="n">
        <v>45272</v>
      </c>
      <c r="E344" s="1" t="n">
        <v>46219</v>
      </c>
      <c r="F344" t="inlineStr">
        <is>
          <t>VÄSTRA GÖTALANDS LÄN</t>
        </is>
      </c>
      <c r="G344" t="inlineStr">
        <is>
          <t>DALS-ED</t>
        </is>
      </c>
      <c r="I344" t="n">
        <v>3.6</v>
      </c>
      <c r="J344" t="n">
        <v>0</v>
      </c>
      <c r="K344" t="n">
        <v>0</v>
      </c>
      <c r="L344" t="n">
        <v>0</v>
      </c>
      <c r="M344" t="n">
        <v>0</v>
      </c>
      <c r="N344" t="n">
        <v>0</v>
      </c>
      <c r="O344" t="n">
        <v>0</v>
      </c>
      <c r="P344" t="n">
        <v>0</v>
      </c>
      <c r="Q344" t="n">
        <v>0</v>
      </c>
      <c r="R344" t="n">
        <v>0</v>
      </c>
      <c r="S344" t="n">
        <v>0</v>
      </c>
      <c r="T344" t="n">
        <v>0</v>
      </c>
      <c r="U344" s="2" t="inlineStr"/>
    </row>
    <row r="345" ht="15" customHeight="1">
      <c r="A345" t="inlineStr">
        <is>
          <t>A 12319-2026</t>
        </is>
      </c>
      <c r="B345" t="inlineStr">
        <is>
          <t>avverkningsanmälan</t>
        </is>
      </c>
      <c r="C345" t="inlineStr">
        <is>
          <t>Föryngringsavverkning</t>
        </is>
      </c>
      <c r="D345" s="1" t="n">
        <v>46087</v>
      </c>
      <c r="E345" s="1" t="n">
        <v>46219</v>
      </c>
      <c r="F345" t="inlineStr">
        <is>
          <t>VÄSTRA GÖTALANDS LÄN</t>
        </is>
      </c>
      <c r="G345" t="inlineStr">
        <is>
          <t>DALS-ED</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27308-2022</t>
        </is>
      </c>
      <c r="B346" t="inlineStr">
        <is>
          <t>avverkningsanmälan</t>
        </is>
      </c>
      <c r="C346" t="inlineStr">
        <is>
          <t>Föryngringsavverkning</t>
        </is>
      </c>
      <c r="D346" s="1" t="n">
        <v>44742</v>
      </c>
      <c r="E346" s="1" t="n">
        <v>46219</v>
      </c>
      <c r="F346" t="inlineStr">
        <is>
          <t>VÄSTRA GÖTALANDS LÄN</t>
        </is>
      </c>
      <c r="G346" t="inlineStr">
        <is>
          <t>DALS-ED</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24466-2025</t>
        </is>
      </c>
      <c r="B347" t="inlineStr">
        <is>
          <t>avverkningsanmälan</t>
        </is>
      </c>
      <c r="C347" t="inlineStr">
        <is>
          <t>Föryngringsavverkning</t>
        </is>
      </c>
      <c r="D347" s="1" t="n">
        <v>45798</v>
      </c>
      <c r="E347" s="1" t="n">
        <v>46219</v>
      </c>
      <c r="F347" t="inlineStr">
        <is>
          <t>VÄSTRA GÖTALANDS LÄN</t>
        </is>
      </c>
      <c r="G347" t="inlineStr">
        <is>
          <t>DALS-ED</t>
        </is>
      </c>
      <c r="I347" t="n">
        <v>0.4</v>
      </c>
      <c r="J347" t="n">
        <v>0</v>
      </c>
      <c r="K347" t="n">
        <v>0</v>
      </c>
      <c r="L347" t="n">
        <v>0</v>
      </c>
      <c r="M347" t="n">
        <v>0</v>
      </c>
      <c r="N347" t="n">
        <v>0</v>
      </c>
      <c r="O347" t="n">
        <v>0</v>
      </c>
      <c r="P347" t="n">
        <v>0</v>
      </c>
      <c r="Q347" t="n">
        <v>0</v>
      </c>
      <c r="R347" t="n">
        <v>0</v>
      </c>
      <c r="S347" t="n">
        <v>0</v>
      </c>
      <c r="T347" t="n">
        <v>0</v>
      </c>
      <c r="U347" s="2" t="inlineStr"/>
    </row>
    <row r="348" ht="15" customHeight="1">
      <c r="A348" t="inlineStr">
        <is>
          <t>A 13165-2026</t>
        </is>
      </c>
      <c r="B348" t="inlineStr">
        <is>
          <t>avverkningsanmälan</t>
        </is>
      </c>
      <c r="C348" t="inlineStr">
        <is>
          <t>Föryngringsavverkning</t>
        </is>
      </c>
      <c r="D348" s="1" t="n">
        <v>46093</v>
      </c>
      <c r="E348" s="1" t="n">
        <v>46219</v>
      </c>
      <c r="F348" t="inlineStr">
        <is>
          <t>VÄSTRA GÖTALANDS LÄN</t>
        </is>
      </c>
      <c r="G348" t="inlineStr">
        <is>
          <t>DALS-ED</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981-2025</t>
        </is>
      </c>
      <c r="B349" t="inlineStr">
        <is>
          <t>avverkningsanmälan</t>
        </is>
      </c>
      <c r="C349" t="inlineStr">
        <is>
          <t>Föryngringsavverkning</t>
        </is>
      </c>
      <c r="D349" s="1" t="n">
        <v>45666</v>
      </c>
      <c r="E349" s="1" t="n">
        <v>46219</v>
      </c>
      <c r="F349" t="inlineStr">
        <is>
          <t>VÄSTRA GÖTALANDS LÄN</t>
        </is>
      </c>
      <c r="G349" t="inlineStr">
        <is>
          <t>DALS-ED</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24459-2025</t>
        </is>
      </c>
      <c r="B350" t="inlineStr">
        <is>
          <t>avverkningsanmälan</t>
        </is>
      </c>
      <c r="C350" t="inlineStr">
        <is>
          <t>Föryngringsavverkning</t>
        </is>
      </c>
      <c r="D350" s="1" t="n">
        <v>45798</v>
      </c>
      <c r="E350" s="1" t="n">
        <v>46219</v>
      </c>
      <c r="F350" t="inlineStr">
        <is>
          <t>VÄSTRA GÖTALANDS LÄN</t>
        </is>
      </c>
      <c r="G350" t="inlineStr">
        <is>
          <t>DALS-ED</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4661-2024</t>
        </is>
      </c>
      <c r="B351" t="inlineStr">
        <is>
          <t>avverkningsanmälan</t>
        </is>
      </c>
      <c r="C351" t="inlineStr">
        <is>
          <t>Föryngringsavverkning</t>
        </is>
      </c>
      <c r="D351" s="1" t="n">
        <v>45328</v>
      </c>
      <c r="E351" s="1" t="n">
        <v>46219</v>
      </c>
      <c r="F351" t="inlineStr">
        <is>
          <t>VÄSTRA GÖTALANDS LÄN</t>
        </is>
      </c>
      <c r="G351" t="inlineStr">
        <is>
          <t>DALS-ED</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1738-2025</t>
        </is>
      </c>
      <c r="B352" t="inlineStr">
        <is>
          <t>avverkningsanmälan</t>
        </is>
      </c>
      <c r="C352" t="inlineStr">
        <is>
          <t>Föryngringsavverkning</t>
        </is>
      </c>
      <c r="D352" s="1" t="n">
        <v>45671</v>
      </c>
      <c r="E352" s="1" t="n">
        <v>46219</v>
      </c>
      <c r="F352" t="inlineStr">
        <is>
          <t>VÄSTRA GÖTALANDS LÄN</t>
        </is>
      </c>
      <c r="G352" t="inlineStr">
        <is>
          <t>DALS-ED</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50665-2021</t>
        </is>
      </c>
      <c r="B353" t="inlineStr">
        <is>
          <t>avverkningsanmälan</t>
        </is>
      </c>
      <c r="C353" t="inlineStr">
        <is>
          <t>Föryngringsavverkning</t>
        </is>
      </c>
      <c r="D353" s="1" t="n">
        <v>44460</v>
      </c>
      <c r="E353" s="1" t="n">
        <v>46219</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46306-2021</t>
        </is>
      </c>
      <c r="B354" t="inlineStr">
        <is>
          <t>avverkningsanmälan</t>
        </is>
      </c>
      <c r="C354" t="inlineStr">
        <is>
          <t>Föryngringsavverkning</t>
        </is>
      </c>
      <c r="D354" s="1" t="n">
        <v>44442</v>
      </c>
      <c r="E354" s="1" t="n">
        <v>46219</v>
      </c>
      <c r="F354" t="inlineStr">
        <is>
          <t>VÄSTRA GÖTALANDS LÄN</t>
        </is>
      </c>
      <c r="G354" t="inlineStr">
        <is>
          <t>DALS-ED</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18520-2025</t>
        </is>
      </c>
      <c r="B355" t="inlineStr">
        <is>
          <t>avverkningsanmälan</t>
        </is>
      </c>
      <c r="C355" t="inlineStr">
        <is>
          <t>Föryngringsavverkning</t>
        </is>
      </c>
      <c r="D355" s="1" t="n">
        <v>45763</v>
      </c>
      <c r="E355" s="1" t="n">
        <v>46219</v>
      </c>
      <c r="F355" t="inlineStr">
        <is>
          <t>VÄSTRA GÖTALANDS LÄN</t>
        </is>
      </c>
      <c r="G355" t="inlineStr">
        <is>
          <t>DALS-ED</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18523-2025</t>
        </is>
      </c>
      <c r="B356" t="inlineStr">
        <is>
          <t>avverkningsanmälan</t>
        </is>
      </c>
      <c r="C356" t="inlineStr">
        <is>
          <t>Föryngringsavverkning</t>
        </is>
      </c>
      <c r="D356" s="1" t="n">
        <v>45763</v>
      </c>
      <c r="E356" s="1" t="n">
        <v>46219</v>
      </c>
      <c r="F356" t="inlineStr">
        <is>
          <t>VÄSTRA GÖTALANDS LÄN</t>
        </is>
      </c>
      <c r="G356" t="inlineStr">
        <is>
          <t>DALS-ED</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4107-2023</t>
        </is>
      </c>
      <c r="B357" t="inlineStr">
        <is>
          <t>avverkningsanmälan</t>
        </is>
      </c>
      <c r="C357" t="inlineStr">
        <is>
          <t>Föryngringsavverkning</t>
        </is>
      </c>
      <c r="D357" s="1" t="n">
        <v>44952</v>
      </c>
      <c r="E357" s="1" t="n">
        <v>46219</v>
      </c>
      <c r="F357" t="inlineStr">
        <is>
          <t>VÄSTRA GÖTALANDS LÄN</t>
        </is>
      </c>
      <c r="G357" t="inlineStr">
        <is>
          <t>DALS-ED</t>
        </is>
      </c>
      <c r="I357" t="n">
        <v>9.199999999999999</v>
      </c>
      <c r="J357" t="n">
        <v>0</v>
      </c>
      <c r="K357" t="n">
        <v>0</v>
      </c>
      <c r="L357" t="n">
        <v>0</v>
      </c>
      <c r="M357" t="n">
        <v>0</v>
      </c>
      <c r="N357" t="n">
        <v>0</v>
      </c>
      <c r="O357" t="n">
        <v>0</v>
      </c>
      <c r="P357" t="n">
        <v>0</v>
      </c>
      <c r="Q357" t="n">
        <v>0</v>
      </c>
      <c r="R357" t="n">
        <v>0</v>
      </c>
      <c r="S357" t="n">
        <v>0</v>
      </c>
      <c r="T357" t="n">
        <v>0</v>
      </c>
      <c r="U357" s="2" t="inlineStr"/>
    </row>
    <row r="358" ht="15" customHeight="1">
      <c r="A358" t="inlineStr">
        <is>
          <t>A 4110-2023</t>
        </is>
      </c>
      <c r="B358" t="inlineStr">
        <is>
          <t>avverkningsanmälan</t>
        </is>
      </c>
      <c r="C358" t="inlineStr">
        <is>
          <t>Föryngringsavverkning</t>
        </is>
      </c>
      <c r="D358" s="1" t="n">
        <v>44952</v>
      </c>
      <c r="E358" s="1" t="n">
        <v>46219</v>
      </c>
      <c r="F358" t="inlineStr">
        <is>
          <t>VÄSTRA GÖTALANDS LÄN</t>
        </is>
      </c>
      <c r="G358" t="inlineStr">
        <is>
          <t>DALS-ED</t>
        </is>
      </c>
      <c r="I358" t="n">
        <v>27.4</v>
      </c>
      <c r="J358" t="n">
        <v>0</v>
      </c>
      <c r="K358" t="n">
        <v>0</v>
      </c>
      <c r="L358" t="n">
        <v>0</v>
      </c>
      <c r="M358" t="n">
        <v>0</v>
      </c>
      <c r="N358" t="n">
        <v>0</v>
      </c>
      <c r="O358" t="n">
        <v>0</v>
      </c>
      <c r="P358" t="n">
        <v>0</v>
      </c>
      <c r="Q358" t="n">
        <v>0</v>
      </c>
      <c r="R358" t="n">
        <v>0</v>
      </c>
      <c r="S358" t="n">
        <v>0</v>
      </c>
      <c r="T358" t="n">
        <v>0</v>
      </c>
      <c r="U358" s="2" t="inlineStr"/>
    </row>
    <row r="359" ht="15" customHeight="1">
      <c r="A359" t="inlineStr">
        <is>
          <t>A 4112-2023</t>
        </is>
      </c>
      <c r="B359" t="inlineStr">
        <is>
          <t>avverkningsanmälan</t>
        </is>
      </c>
      <c r="C359" t="inlineStr">
        <is>
          <t>Föryngringsavverkning</t>
        </is>
      </c>
      <c r="D359" s="1" t="n">
        <v>44952</v>
      </c>
      <c r="E359" s="1" t="n">
        <v>46219</v>
      </c>
      <c r="F359" t="inlineStr">
        <is>
          <t>VÄSTRA GÖTALANDS LÄN</t>
        </is>
      </c>
      <c r="G359" t="inlineStr">
        <is>
          <t>DALS-ED</t>
        </is>
      </c>
      <c r="I359" t="n">
        <v>7.4</v>
      </c>
      <c r="J359" t="n">
        <v>0</v>
      </c>
      <c r="K359" t="n">
        <v>0</v>
      </c>
      <c r="L359" t="n">
        <v>0</v>
      </c>
      <c r="M359" t="n">
        <v>0</v>
      </c>
      <c r="N359" t="n">
        <v>0</v>
      </c>
      <c r="O359" t="n">
        <v>0</v>
      </c>
      <c r="P359" t="n">
        <v>0</v>
      </c>
      <c r="Q359" t="n">
        <v>0</v>
      </c>
      <c r="R359" t="n">
        <v>0</v>
      </c>
      <c r="S359" t="n">
        <v>0</v>
      </c>
      <c r="T359" t="n">
        <v>0</v>
      </c>
      <c r="U359" s="2" t="inlineStr"/>
    </row>
    <row r="360" ht="15" customHeight="1">
      <c r="A360" t="inlineStr">
        <is>
          <t>A 14732-2026</t>
        </is>
      </c>
      <c r="B360" t="inlineStr">
        <is>
          <t>avverkningsanmälan</t>
        </is>
      </c>
      <c r="C360" t="inlineStr">
        <is>
          <t>Föryngringsavverkning</t>
        </is>
      </c>
      <c r="D360" s="1" t="n">
        <v>46101</v>
      </c>
      <c r="E360" s="1" t="n">
        <v>46219</v>
      </c>
      <c r="F360" t="inlineStr">
        <is>
          <t>VÄSTRA GÖTALANDS LÄN</t>
        </is>
      </c>
      <c r="G360" t="inlineStr">
        <is>
          <t>DALS-ED</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4368-2024</t>
        </is>
      </c>
      <c r="B361" t="inlineStr">
        <is>
          <t>avverkningsanmälan</t>
        </is>
      </c>
      <c r="C361" t="inlineStr">
        <is>
          <t>Föryngringsavverkning</t>
        </is>
      </c>
      <c r="D361" s="1" t="n">
        <v>45326</v>
      </c>
      <c r="E361" s="1" t="n">
        <v>46219</v>
      </c>
      <c r="F361" t="inlineStr">
        <is>
          <t>VÄSTRA GÖTALANDS LÄN</t>
        </is>
      </c>
      <c r="G361" t="inlineStr">
        <is>
          <t>DALS-ED</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14461-2026</t>
        </is>
      </c>
      <c r="B362" t="inlineStr">
        <is>
          <t>avverkningsanmälan</t>
        </is>
      </c>
      <c r="C362" t="inlineStr">
        <is>
          <t>Föryngringsavverkning</t>
        </is>
      </c>
      <c r="D362" s="1" t="n">
        <v>46100</v>
      </c>
      <c r="E362" s="1" t="n">
        <v>46219</v>
      </c>
      <c r="F362" t="inlineStr">
        <is>
          <t>VÄSTRA GÖTALANDS LÄN</t>
        </is>
      </c>
      <c r="G362" t="inlineStr">
        <is>
          <t>DALS-ED</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52373-2024</t>
        </is>
      </c>
      <c r="B363" t="inlineStr">
        <is>
          <t>avverkningsanmälan</t>
        </is>
      </c>
      <c r="C363" t="inlineStr">
        <is>
          <t>Föryngringsavverkning</t>
        </is>
      </c>
      <c r="D363" s="1" t="n">
        <v>45609</v>
      </c>
      <c r="E363" s="1" t="n">
        <v>46219</v>
      </c>
      <c r="F363" t="inlineStr">
        <is>
          <t>VÄSTRA GÖTALANDS LÄN</t>
        </is>
      </c>
      <c r="G363" t="inlineStr">
        <is>
          <t>DALS-ED</t>
        </is>
      </c>
      <c r="I363" t="n">
        <v>4.5</v>
      </c>
      <c r="J363" t="n">
        <v>0</v>
      </c>
      <c r="K363" t="n">
        <v>0</v>
      </c>
      <c r="L363" t="n">
        <v>0</v>
      </c>
      <c r="M363" t="n">
        <v>0</v>
      </c>
      <c r="N363" t="n">
        <v>0</v>
      </c>
      <c r="O363" t="n">
        <v>0</v>
      </c>
      <c r="P363" t="n">
        <v>0</v>
      </c>
      <c r="Q363" t="n">
        <v>0</v>
      </c>
      <c r="R363" t="n">
        <v>0</v>
      </c>
      <c r="S363" t="n">
        <v>0</v>
      </c>
      <c r="T363" t="n">
        <v>0</v>
      </c>
      <c r="U363" s="2" t="inlineStr"/>
    </row>
    <row r="364" ht="15" customHeight="1">
      <c r="A364" t="inlineStr">
        <is>
          <t>A 25633-2025</t>
        </is>
      </c>
      <c r="B364" t="inlineStr">
        <is>
          <t>avverkningsanmälan</t>
        </is>
      </c>
      <c r="C364" t="inlineStr">
        <is>
          <t>Föryngringsavverkning</t>
        </is>
      </c>
      <c r="D364" s="1" t="n">
        <v>45803</v>
      </c>
      <c r="E364" s="1" t="n">
        <v>46219</v>
      </c>
      <c r="F364" t="inlineStr">
        <is>
          <t>VÄSTRA GÖTALANDS LÄN</t>
        </is>
      </c>
      <c r="G364" t="inlineStr">
        <is>
          <t>DALS-ED</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25795-2025</t>
        </is>
      </c>
      <c r="B365" t="inlineStr">
        <is>
          <t>avverkningsanmälan</t>
        </is>
      </c>
      <c r="C365" t="inlineStr">
        <is>
          <t>Föryngringsavverkning</t>
        </is>
      </c>
      <c r="D365" s="1" t="n">
        <v>45804</v>
      </c>
      <c r="E365" s="1" t="n">
        <v>46219</v>
      </c>
      <c r="F365" t="inlineStr">
        <is>
          <t>VÄSTRA GÖTALANDS LÄN</t>
        </is>
      </c>
      <c r="G365" t="inlineStr">
        <is>
          <t>DALS-ED</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62849-2021</t>
        </is>
      </c>
      <c r="B366" t="inlineStr">
        <is>
          <t>avverkningsanmälan</t>
        </is>
      </c>
      <c r="C366" t="inlineStr">
        <is>
          <t>Föryngringsavverkning</t>
        </is>
      </c>
      <c r="D366" s="1" t="n">
        <v>44504</v>
      </c>
      <c r="E366" s="1" t="n">
        <v>46219</v>
      </c>
      <c r="F366" t="inlineStr">
        <is>
          <t>VÄSTRA GÖTALANDS LÄN</t>
        </is>
      </c>
      <c r="G366" t="inlineStr">
        <is>
          <t>DALS-ED</t>
        </is>
      </c>
      <c r="I366" t="n">
        <v>3.2</v>
      </c>
      <c r="J366" t="n">
        <v>0</v>
      </c>
      <c r="K366" t="n">
        <v>0</v>
      </c>
      <c r="L366" t="n">
        <v>0</v>
      </c>
      <c r="M366" t="n">
        <v>0</v>
      </c>
      <c r="N366" t="n">
        <v>0</v>
      </c>
      <c r="O366" t="n">
        <v>0</v>
      </c>
      <c r="P366" t="n">
        <v>0</v>
      </c>
      <c r="Q366" t="n">
        <v>0</v>
      </c>
      <c r="R366" t="n">
        <v>0</v>
      </c>
      <c r="S366" t="n">
        <v>0</v>
      </c>
      <c r="T366" t="n">
        <v>0</v>
      </c>
      <c r="U366" s="2" t="inlineStr"/>
    </row>
    <row r="367" ht="15" customHeight="1">
      <c r="A367" t="inlineStr">
        <is>
          <t>A 15999-2026</t>
        </is>
      </c>
      <c r="B367" t="inlineStr">
        <is>
          <t>avverkningsanmälan</t>
        </is>
      </c>
      <c r="C367" t="inlineStr">
        <is>
          <t>Föryngringsavverkning</t>
        </is>
      </c>
      <c r="D367" s="1" t="n">
        <v>46108</v>
      </c>
      <c r="E367" s="1" t="n">
        <v>46219</v>
      </c>
      <c r="F367" t="inlineStr">
        <is>
          <t>VÄSTRA GÖTALANDS LÄN</t>
        </is>
      </c>
      <c r="G367" t="inlineStr">
        <is>
          <t>DALS-ED</t>
        </is>
      </c>
      <c r="H367" t="inlineStr">
        <is>
          <t>Övriga Aktiebolag</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16830-2026</t>
        </is>
      </c>
      <c r="B368" t="inlineStr">
        <is>
          <t>avverkningsanmälan</t>
        </is>
      </c>
      <c r="C368" t="inlineStr">
        <is>
          <t>Föryngringsavverkning</t>
        </is>
      </c>
      <c r="D368" s="1" t="n">
        <v>46113</v>
      </c>
      <c r="E368" s="1" t="n">
        <v>46219</v>
      </c>
      <c r="F368" t="inlineStr">
        <is>
          <t>VÄSTRA GÖTALANDS LÄN</t>
        </is>
      </c>
      <c r="G368" t="inlineStr">
        <is>
          <t>DALS-ED</t>
        </is>
      </c>
      <c r="I368" t="n">
        <v>7.5</v>
      </c>
      <c r="J368" t="n">
        <v>0</v>
      </c>
      <c r="K368" t="n">
        <v>0</v>
      </c>
      <c r="L368" t="n">
        <v>0</v>
      </c>
      <c r="M368" t="n">
        <v>0</v>
      </c>
      <c r="N368" t="n">
        <v>0</v>
      </c>
      <c r="O368" t="n">
        <v>0</v>
      </c>
      <c r="P368" t="n">
        <v>0</v>
      </c>
      <c r="Q368" t="n">
        <v>0</v>
      </c>
      <c r="R368" t="n">
        <v>0</v>
      </c>
      <c r="S368" t="n">
        <v>0</v>
      </c>
      <c r="T368" t="n">
        <v>0</v>
      </c>
      <c r="U368" s="2" t="inlineStr"/>
    </row>
    <row r="369" ht="15" customHeight="1">
      <c r="A369" t="inlineStr">
        <is>
          <t>A 16817-2026</t>
        </is>
      </c>
      <c r="B369" t="inlineStr">
        <is>
          <t>avverkningsanmälan</t>
        </is>
      </c>
      <c r="C369" t="inlineStr">
        <is>
          <t>Föryngringsavverkning</t>
        </is>
      </c>
      <c r="D369" s="1" t="n">
        <v>46113</v>
      </c>
      <c r="E369" s="1" t="n">
        <v>46219</v>
      </c>
      <c r="F369" t="inlineStr">
        <is>
          <t>VÄSTRA GÖTALANDS LÄN</t>
        </is>
      </c>
      <c r="G369" t="inlineStr">
        <is>
          <t>DALS-ED</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36803-2024</t>
        </is>
      </c>
      <c r="B370" t="inlineStr">
        <is>
          <t>avverkningsanmälan</t>
        </is>
      </c>
      <c r="C370" t="inlineStr">
        <is>
          <t>Föryngringsavverkning</t>
        </is>
      </c>
      <c r="D370" s="1" t="n">
        <v>45538</v>
      </c>
      <c r="E370" s="1" t="n">
        <v>46219</v>
      </c>
      <c r="F370" t="inlineStr">
        <is>
          <t>VÄSTRA GÖTALANDS LÄN</t>
        </is>
      </c>
      <c r="G370" t="inlineStr">
        <is>
          <t>DALS-ED</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43380-2021</t>
        </is>
      </c>
      <c r="B371" t="inlineStr">
        <is>
          <t>avverkningsanmälan</t>
        </is>
      </c>
      <c r="C371" t="inlineStr">
        <is>
          <t>Föryngringsavverkning</t>
        </is>
      </c>
      <c r="D371" s="1" t="n">
        <v>44432</v>
      </c>
      <c r="E371" s="1" t="n">
        <v>46219</v>
      </c>
      <c r="F371" t="inlineStr">
        <is>
          <t>VÄSTRA GÖTALANDS LÄN</t>
        </is>
      </c>
      <c r="G371" t="inlineStr">
        <is>
          <t>DALS-ED</t>
        </is>
      </c>
      <c r="I371" t="n">
        <v>3.2</v>
      </c>
      <c r="J371" t="n">
        <v>0</v>
      </c>
      <c r="K371" t="n">
        <v>0</v>
      </c>
      <c r="L371" t="n">
        <v>0</v>
      </c>
      <c r="M371" t="n">
        <v>0</v>
      </c>
      <c r="N371" t="n">
        <v>0</v>
      </c>
      <c r="O371" t="n">
        <v>0</v>
      </c>
      <c r="P371" t="n">
        <v>0</v>
      </c>
      <c r="Q371" t="n">
        <v>0</v>
      </c>
      <c r="R371" t="n">
        <v>0</v>
      </c>
      <c r="S371" t="n">
        <v>0</v>
      </c>
      <c r="T371" t="n">
        <v>0</v>
      </c>
      <c r="U371" s="2" t="inlineStr"/>
    </row>
    <row r="372" ht="15" customHeight="1">
      <c r="A372" t="inlineStr">
        <is>
          <t>A 22448-2024</t>
        </is>
      </c>
      <c r="B372" t="inlineStr">
        <is>
          <t>avverkningsanmälan</t>
        </is>
      </c>
      <c r="C372" t="inlineStr">
        <is>
          <t>Föryngringsavverkning</t>
        </is>
      </c>
      <c r="D372" s="1" t="n">
        <v>45446</v>
      </c>
      <c r="E372" s="1" t="n">
        <v>46219</v>
      </c>
      <c r="F372" t="inlineStr">
        <is>
          <t>VÄSTRA GÖTALANDS LÄN</t>
        </is>
      </c>
      <c r="G372" t="inlineStr">
        <is>
          <t>DALS-ED</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36095-2024</t>
        </is>
      </c>
      <c r="B373" t="inlineStr">
        <is>
          <t>avverkningsanmälan</t>
        </is>
      </c>
      <c r="C373" t="inlineStr">
        <is>
          <t>Föryngringsavverkning</t>
        </is>
      </c>
      <c r="D373" s="1" t="n">
        <v>45533</v>
      </c>
      <c r="E373" s="1" t="n">
        <v>46219</v>
      </c>
      <c r="F373" t="inlineStr">
        <is>
          <t>VÄSTRA GÖTALANDS LÄN</t>
        </is>
      </c>
      <c r="G373" t="inlineStr">
        <is>
          <t>DALS-ED</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26864-2024</t>
        </is>
      </c>
      <c r="B374" t="inlineStr">
        <is>
          <t>avverkningsanmälan</t>
        </is>
      </c>
      <c r="C374" t="inlineStr">
        <is>
          <t>Föryngringsavverkning</t>
        </is>
      </c>
      <c r="D374" s="1" t="n">
        <v>45470</v>
      </c>
      <c r="E374" s="1" t="n">
        <v>46219</v>
      </c>
      <c r="F374" t="inlineStr">
        <is>
          <t>VÄSTRA GÖTALANDS LÄN</t>
        </is>
      </c>
      <c r="G374" t="inlineStr">
        <is>
          <t>DALS-ED</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17472-2026</t>
        </is>
      </c>
      <c r="B375" t="inlineStr">
        <is>
          <t>avverkningsanmälan</t>
        </is>
      </c>
      <c r="C375" t="inlineStr">
        <is>
          <t>Föryngringsavverkning</t>
        </is>
      </c>
      <c r="D375" s="1" t="n">
        <v>46120</v>
      </c>
      <c r="E375" s="1" t="n">
        <v>46219</v>
      </c>
      <c r="F375" t="inlineStr">
        <is>
          <t>VÄSTRA GÖTALANDS LÄN</t>
        </is>
      </c>
      <c r="G375" t="inlineStr">
        <is>
          <t>DALS-ED</t>
        </is>
      </c>
      <c r="H375" t="inlineStr">
        <is>
          <t>Övriga Aktiebolag</t>
        </is>
      </c>
      <c r="I375" t="n">
        <v>4.1</v>
      </c>
      <c r="J375" t="n">
        <v>0</v>
      </c>
      <c r="K375" t="n">
        <v>0</v>
      </c>
      <c r="L375" t="n">
        <v>0</v>
      </c>
      <c r="M375" t="n">
        <v>0</v>
      </c>
      <c r="N375" t="n">
        <v>0</v>
      </c>
      <c r="O375" t="n">
        <v>0</v>
      </c>
      <c r="P375" t="n">
        <v>0</v>
      </c>
      <c r="Q375" t="n">
        <v>0</v>
      </c>
      <c r="R375" t="n">
        <v>0</v>
      </c>
      <c r="S375" t="n">
        <v>0</v>
      </c>
      <c r="T375" t="n">
        <v>0</v>
      </c>
      <c r="U375" s="2" t="inlineStr"/>
    </row>
    <row r="376" ht="15" customHeight="1">
      <c r="A376" t="inlineStr">
        <is>
          <t>A 27152-2025</t>
        </is>
      </c>
      <c r="B376" t="inlineStr">
        <is>
          <t>avverkningsanmälan</t>
        </is>
      </c>
      <c r="C376" t="inlineStr">
        <is>
          <t>Föryngringsavverkning</t>
        </is>
      </c>
      <c r="D376" s="1" t="n">
        <v>45812</v>
      </c>
      <c r="E376" s="1" t="n">
        <v>46219</v>
      </c>
      <c r="F376" t="inlineStr">
        <is>
          <t>VÄSTRA GÖTALANDS LÄN</t>
        </is>
      </c>
      <c r="G376" t="inlineStr">
        <is>
          <t>DALS-ED</t>
        </is>
      </c>
      <c r="I376" t="n">
        <v>0.3</v>
      </c>
      <c r="J376" t="n">
        <v>0</v>
      </c>
      <c r="K376" t="n">
        <v>0</v>
      </c>
      <c r="L376" t="n">
        <v>0</v>
      </c>
      <c r="M376" t="n">
        <v>0</v>
      </c>
      <c r="N376" t="n">
        <v>0</v>
      </c>
      <c r="O376" t="n">
        <v>0</v>
      </c>
      <c r="P376" t="n">
        <v>0</v>
      </c>
      <c r="Q376" t="n">
        <v>0</v>
      </c>
      <c r="R376" t="n">
        <v>0</v>
      </c>
      <c r="S376" t="n">
        <v>0</v>
      </c>
      <c r="T376" t="n">
        <v>0</v>
      </c>
      <c r="U376" s="2" t="inlineStr"/>
    </row>
    <row r="377" ht="15" customHeight="1">
      <c r="A377" t="inlineStr">
        <is>
          <t>A 6515-2023</t>
        </is>
      </c>
      <c r="B377" t="inlineStr">
        <is>
          <t>avverkningsanmälan</t>
        </is>
      </c>
      <c r="C377" t="inlineStr">
        <is>
          <t>Föryngringsavverkning</t>
        </is>
      </c>
      <c r="D377" s="1" t="n">
        <v>44966</v>
      </c>
      <c r="E377" s="1" t="n">
        <v>46219</v>
      </c>
      <c r="F377" t="inlineStr">
        <is>
          <t>VÄSTRA GÖTALANDS LÄN</t>
        </is>
      </c>
      <c r="G377" t="inlineStr">
        <is>
          <t>DALS-ED</t>
        </is>
      </c>
      <c r="I377" t="n">
        <v>6.4</v>
      </c>
      <c r="J377" t="n">
        <v>0</v>
      </c>
      <c r="K377" t="n">
        <v>0</v>
      </c>
      <c r="L377" t="n">
        <v>0</v>
      </c>
      <c r="M377" t="n">
        <v>0</v>
      </c>
      <c r="N377" t="n">
        <v>0</v>
      </c>
      <c r="O377" t="n">
        <v>0</v>
      </c>
      <c r="P377" t="n">
        <v>0</v>
      </c>
      <c r="Q377" t="n">
        <v>0</v>
      </c>
      <c r="R377" t="n">
        <v>0</v>
      </c>
      <c r="S377" t="n">
        <v>0</v>
      </c>
      <c r="T377" t="n">
        <v>0</v>
      </c>
      <c r="U377" s="2" t="inlineStr"/>
    </row>
    <row r="378" ht="15" customHeight="1">
      <c r="A378" t="inlineStr">
        <is>
          <t>A 26899-2025</t>
        </is>
      </c>
      <c r="B378" t="inlineStr">
        <is>
          <t>avverkningsanmälan</t>
        </is>
      </c>
      <c r="C378" t="inlineStr">
        <is>
          <t>Föryngringsavverkning</t>
        </is>
      </c>
      <c r="D378" s="1" t="n">
        <v>45811</v>
      </c>
      <c r="E378" s="1" t="n">
        <v>46219</v>
      </c>
      <c r="F378" t="inlineStr">
        <is>
          <t>VÄSTRA GÖTALANDS LÄN</t>
        </is>
      </c>
      <c r="G378" t="inlineStr">
        <is>
          <t>DALS-ED</t>
        </is>
      </c>
      <c r="I378" t="n">
        <v>7.2</v>
      </c>
      <c r="J378" t="n">
        <v>0</v>
      </c>
      <c r="K378" t="n">
        <v>0</v>
      </c>
      <c r="L378" t="n">
        <v>0</v>
      </c>
      <c r="M378" t="n">
        <v>0</v>
      </c>
      <c r="N378" t="n">
        <v>0</v>
      </c>
      <c r="O378" t="n">
        <v>0</v>
      </c>
      <c r="P378" t="n">
        <v>0</v>
      </c>
      <c r="Q378" t="n">
        <v>0</v>
      </c>
      <c r="R378" t="n">
        <v>0</v>
      </c>
      <c r="S378" t="n">
        <v>0</v>
      </c>
      <c r="T378" t="n">
        <v>0</v>
      </c>
      <c r="U378" s="2" t="inlineStr"/>
    </row>
    <row r="379" ht="15" customHeight="1">
      <c r="A379" t="inlineStr">
        <is>
          <t>A 42341-2021</t>
        </is>
      </c>
      <c r="B379" t="inlineStr">
        <is>
          <t>avverkningsanmälan</t>
        </is>
      </c>
      <c r="C379" t="inlineStr">
        <is>
          <t>Föryngringsavverkning</t>
        </is>
      </c>
      <c r="D379" s="1" t="n">
        <v>44427</v>
      </c>
      <c r="E379" s="1" t="n">
        <v>46219</v>
      </c>
      <c r="F379" t="inlineStr">
        <is>
          <t>VÄSTRA GÖTALANDS LÄN</t>
        </is>
      </c>
      <c r="G379" t="inlineStr">
        <is>
          <t>DALS-ED</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10749-2022</t>
        </is>
      </c>
      <c r="B380" t="inlineStr">
        <is>
          <t>avverkningsanmälan</t>
        </is>
      </c>
      <c r="C380" t="inlineStr">
        <is>
          <t>Föryngringsavverkning</t>
        </is>
      </c>
      <c r="D380" s="1" t="n">
        <v>44627</v>
      </c>
      <c r="E380" s="1" t="n">
        <v>46219</v>
      </c>
      <c r="F380" t="inlineStr">
        <is>
          <t>VÄSTRA GÖTALANDS LÄN</t>
        </is>
      </c>
      <c r="G380" t="inlineStr">
        <is>
          <t>DALS-ED</t>
        </is>
      </c>
      <c r="I380" t="n">
        <v>4.8</v>
      </c>
      <c r="J380" t="n">
        <v>0</v>
      </c>
      <c r="K380" t="n">
        <v>0</v>
      </c>
      <c r="L380" t="n">
        <v>0</v>
      </c>
      <c r="M380" t="n">
        <v>0</v>
      </c>
      <c r="N380" t="n">
        <v>0</v>
      </c>
      <c r="O380" t="n">
        <v>0</v>
      </c>
      <c r="P380" t="n">
        <v>0</v>
      </c>
      <c r="Q380" t="n">
        <v>0</v>
      </c>
      <c r="R380" t="n">
        <v>0</v>
      </c>
      <c r="S380" t="n">
        <v>0</v>
      </c>
      <c r="T380" t="n">
        <v>0</v>
      </c>
      <c r="U380" s="2" t="inlineStr"/>
    </row>
    <row r="381" ht="15" customHeight="1">
      <c r="A381" t="inlineStr">
        <is>
          <t>A 18372-2026</t>
        </is>
      </c>
      <c r="B381" t="inlineStr">
        <is>
          <t>avverkningsanmälan</t>
        </is>
      </c>
      <c r="C381" t="inlineStr">
        <is>
          <t>Föryngringsavverkning</t>
        </is>
      </c>
      <c r="D381" s="1" t="n">
        <v>46126</v>
      </c>
      <c r="E381" s="1" t="n">
        <v>46219</v>
      </c>
      <c r="F381" t="inlineStr">
        <is>
          <t>VÄSTRA GÖTALANDS LÄN</t>
        </is>
      </c>
      <c r="G381" t="inlineStr">
        <is>
          <t>DALS-ED</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18216-2026</t>
        </is>
      </c>
      <c r="B382" t="inlineStr">
        <is>
          <t>avverkningsanmälan</t>
        </is>
      </c>
      <c r="C382" t="inlineStr">
        <is>
          <t>Föryngringsavverkning</t>
        </is>
      </c>
      <c r="D382" s="1" t="n">
        <v>46126</v>
      </c>
      <c r="E382" s="1" t="n">
        <v>46219</v>
      </c>
      <c r="F382" t="inlineStr">
        <is>
          <t>VÄSTRA GÖTALANDS LÄN</t>
        </is>
      </c>
      <c r="G382" t="inlineStr">
        <is>
          <t>DALS-ED</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4025-2023</t>
        </is>
      </c>
      <c r="B383" t="inlineStr">
        <is>
          <t>avverkningsanmälan</t>
        </is>
      </c>
      <c r="C383" t="inlineStr">
        <is>
          <t>Föryngringsavverkning</t>
        </is>
      </c>
      <c r="D383" s="1" t="n">
        <v>44952</v>
      </c>
      <c r="E383" s="1" t="n">
        <v>46219</v>
      </c>
      <c r="F383" t="inlineStr">
        <is>
          <t>VÄSTRA GÖTALANDS LÄN</t>
        </is>
      </c>
      <c r="G383" t="inlineStr">
        <is>
          <t>DALS-ED</t>
        </is>
      </c>
      <c r="I383" t="n">
        <v>4.1</v>
      </c>
      <c r="J383" t="n">
        <v>0</v>
      </c>
      <c r="K383" t="n">
        <v>0</v>
      </c>
      <c r="L383" t="n">
        <v>0</v>
      </c>
      <c r="M383" t="n">
        <v>0</v>
      </c>
      <c r="N383" t="n">
        <v>0</v>
      </c>
      <c r="O383" t="n">
        <v>0</v>
      </c>
      <c r="P383" t="n">
        <v>0</v>
      </c>
      <c r="Q383" t="n">
        <v>0</v>
      </c>
      <c r="R383" t="n">
        <v>0</v>
      </c>
      <c r="S383" t="n">
        <v>0</v>
      </c>
      <c r="T383" t="n">
        <v>0</v>
      </c>
      <c r="U383" s="2" t="inlineStr"/>
    </row>
    <row r="384" ht="15" customHeight="1">
      <c r="A384" t="inlineStr">
        <is>
          <t>A 41799-2024</t>
        </is>
      </c>
      <c r="B384" t="inlineStr">
        <is>
          <t>avverkningsanmälan</t>
        </is>
      </c>
      <c r="C384" t="inlineStr">
        <is>
          <t>Föryngringsavverkning</t>
        </is>
      </c>
      <c r="D384" s="1" t="n">
        <v>45561</v>
      </c>
      <c r="E384" s="1" t="n">
        <v>46219</v>
      </c>
      <c r="F384" t="inlineStr">
        <is>
          <t>VÄSTRA GÖTALANDS LÄN</t>
        </is>
      </c>
      <c r="G384" t="inlineStr">
        <is>
          <t>DALS-ED</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21915-2024</t>
        </is>
      </c>
      <c r="B385" t="inlineStr">
        <is>
          <t>avverkningsanmälan</t>
        </is>
      </c>
      <c r="C385" t="inlineStr">
        <is>
          <t>Avverkning för att bevara och utveckla /försöksver</t>
        </is>
      </c>
      <c r="D385" s="1" t="n">
        <v>45443</v>
      </c>
      <c r="E385" s="1" t="n">
        <v>46219</v>
      </c>
      <c r="F385" t="inlineStr">
        <is>
          <t>VÄSTRA GÖTALANDS LÄN</t>
        </is>
      </c>
      <c r="G385" t="inlineStr">
        <is>
          <t>DALS-ED</t>
        </is>
      </c>
      <c r="H385" t="inlineStr">
        <is>
          <t>Kyrkan</t>
        </is>
      </c>
      <c r="I385" t="n">
        <v>2.2</v>
      </c>
      <c r="J385" t="n">
        <v>0</v>
      </c>
      <c r="K385" t="n">
        <v>0</v>
      </c>
      <c r="L385" t="n">
        <v>0</v>
      </c>
      <c r="M385" t="n">
        <v>0</v>
      </c>
      <c r="N385" t="n">
        <v>0</v>
      </c>
      <c r="O385" t="n">
        <v>0</v>
      </c>
      <c r="P385" t="n">
        <v>0</v>
      </c>
      <c r="Q385" t="n">
        <v>0</v>
      </c>
      <c r="R385" t="n">
        <v>0</v>
      </c>
      <c r="S385" t="n">
        <v>0</v>
      </c>
      <c r="T385" t="n">
        <v>0</v>
      </c>
      <c r="U385" s="2" t="inlineStr"/>
    </row>
    <row r="386" ht="15" customHeight="1">
      <c r="A386" t="inlineStr">
        <is>
          <t>A 4731-2022</t>
        </is>
      </c>
      <c r="B386" t="inlineStr">
        <is>
          <t>avverkningsanmälan</t>
        </is>
      </c>
      <c r="C386" t="inlineStr">
        <is>
          <t>Föryngringsavverkning</t>
        </is>
      </c>
      <c r="D386" s="1" t="n">
        <v>44592</v>
      </c>
      <c r="E386" s="1" t="n">
        <v>46219</v>
      </c>
      <c r="F386" t="inlineStr">
        <is>
          <t>VÄSTRA GÖTALANDS LÄN</t>
        </is>
      </c>
      <c r="G386" t="inlineStr">
        <is>
          <t>DALS-ED</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13491-2024</t>
        </is>
      </c>
      <c r="B387" t="inlineStr">
        <is>
          <t>avverkningsanmälan</t>
        </is>
      </c>
      <c r="C387" t="inlineStr">
        <is>
          <t>Föryngringsavverkning</t>
        </is>
      </c>
      <c r="D387" s="1" t="n">
        <v>45387</v>
      </c>
      <c r="E387" s="1" t="n">
        <v>46219</v>
      </c>
      <c r="F387" t="inlineStr">
        <is>
          <t>VÄSTRA GÖTALANDS LÄN</t>
        </is>
      </c>
      <c r="G387" t="inlineStr">
        <is>
          <t>DALS-ED</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7986-2023</t>
        </is>
      </c>
      <c r="B388" t="inlineStr">
        <is>
          <t>avverkningsanmälan</t>
        </is>
      </c>
      <c r="C388" t="inlineStr">
        <is>
          <t>Föryngringsavverkning</t>
        </is>
      </c>
      <c r="D388" s="1" t="n">
        <v>44970</v>
      </c>
      <c r="E388" s="1" t="n">
        <v>46219</v>
      </c>
      <c r="F388" t="inlineStr">
        <is>
          <t>VÄSTRA GÖTALANDS LÄN</t>
        </is>
      </c>
      <c r="G388" t="inlineStr">
        <is>
          <t>DALS-ED</t>
        </is>
      </c>
      <c r="H388" t="inlineStr">
        <is>
          <t>Kyrkan</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48574-2024</t>
        </is>
      </c>
      <c r="B389" t="inlineStr">
        <is>
          <t>avverkningsanmälan</t>
        </is>
      </c>
      <c r="C389" t="inlineStr">
        <is>
          <t>Föryngringsavverkning</t>
        </is>
      </c>
      <c r="D389" s="1" t="n">
        <v>45593</v>
      </c>
      <c r="E389" s="1" t="n">
        <v>46219</v>
      </c>
      <c r="F389" t="inlineStr">
        <is>
          <t>VÄSTRA GÖTALANDS LÄN</t>
        </is>
      </c>
      <c r="G389" t="inlineStr">
        <is>
          <t>DALS-ED</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61626-2022</t>
        </is>
      </c>
      <c r="B390" t="inlineStr">
        <is>
          <t>avverkningsanmälan</t>
        </is>
      </c>
      <c r="C390" t="inlineStr">
        <is>
          <t>Föryngringsavverkning</t>
        </is>
      </c>
      <c r="D390" s="1" t="n">
        <v>44916</v>
      </c>
      <c r="E390" s="1" t="n">
        <v>46219</v>
      </c>
      <c r="F390" t="inlineStr">
        <is>
          <t>VÄSTRA GÖTALANDS LÄN</t>
        </is>
      </c>
      <c r="G390" t="inlineStr">
        <is>
          <t>DALS-ED</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40380-2022</t>
        </is>
      </c>
      <c r="B391" t="inlineStr">
        <is>
          <t>avverkningsanmälan</t>
        </is>
      </c>
      <c r="C391" t="inlineStr">
        <is>
          <t>Föryngringsavverkning</t>
        </is>
      </c>
      <c r="D391" s="1" t="n">
        <v>44823</v>
      </c>
      <c r="E391" s="1" t="n">
        <v>46219</v>
      </c>
      <c r="F391" t="inlineStr">
        <is>
          <t>VÄSTRA GÖTALANDS LÄN</t>
        </is>
      </c>
      <c r="G391" t="inlineStr">
        <is>
          <t>DALS-ED</t>
        </is>
      </c>
      <c r="I391" t="n">
        <v>5.1</v>
      </c>
      <c r="J391" t="n">
        <v>0</v>
      </c>
      <c r="K391" t="n">
        <v>0</v>
      </c>
      <c r="L391" t="n">
        <v>0</v>
      </c>
      <c r="M391" t="n">
        <v>0</v>
      </c>
      <c r="N391" t="n">
        <v>0</v>
      </c>
      <c r="O391" t="n">
        <v>0</v>
      </c>
      <c r="P391" t="n">
        <v>0</v>
      </c>
      <c r="Q391" t="n">
        <v>0</v>
      </c>
      <c r="R391" t="n">
        <v>0</v>
      </c>
      <c r="S391" t="n">
        <v>0</v>
      </c>
      <c r="T391" t="n">
        <v>0</v>
      </c>
      <c r="U391" s="2" t="inlineStr"/>
    </row>
    <row r="392" ht="15" customHeight="1">
      <c r="A392" t="inlineStr">
        <is>
          <t>A 25628-2026</t>
        </is>
      </c>
      <c r="B392" t="inlineStr">
        <is>
          <t>avverkningsanmälan</t>
        </is>
      </c>
      <c r="C392" t="inlineStr">
        <is>
          <t>Föryngringsavverkning</t>
        </is>
      </c>
      <c r="D392" s="1" t="n">
        <v>46177</v>
      </c>
      <c r="E392" s="1" t="n">
        <v>46219</v>
      </c>
      <c r="F392" t="inlineStr">
        <is>
          <t>VÄSTRA GÖTALANDS LÄN</t>
        </is>
      </c>
      <c r="G392" t="inlineStr">
        <is>
          <t>DALS-ED</t>
        </is>
      </c>
      <c r="I392" t="n">
        <v>3.5</v>
      </c>
      <c r="J392" t="n">
        <v>0</v>
      </c>
      <c r="K392" t="n">
        <v>0</v>
      </c>
      <c r="L392" t="n">
        <v>0</v>
      </c>
      <c r="M392" t="n">
        <v>0</v>
      </c>
      <c r="N392" t="n">
        <v>0</v>
      </c>
      <c r="O392" t="n">
        <v>0</v>
      </c>
      <c r="P392" t="n">
        <v>0</v>
      </c>
      <c r="Q392" t="n">
        <v>0</v>
      </c>
      <c r="R392" t="n">
        <v>0</v>
      </c>
      <c r="S392" t="n">
        <v>0</v>
      </c>
      <c r="T392" t="n">
        <v>0</v>
      </c>
      <c r="U392" s="2" t="inlineStr"/>
    </row>
    <row r="393" ht="15" customHeight="1">
      <c r="A393" t="inlineStr">
        <is>
          <t>A 29692-2025</t>
        </is>
      </c>
      <c r="B393" t="inlineStr">
        <is>
          <t>avverkningsanmälan</t>
        </is>
      </c>
      <c r="C393" t="inlineStr">
        <is>
          <t>Föryngringsavverkning</t>
        </is>
      </c>
      <c r="D393" s="1" t="n">
        <v>45825</v>
      </c>
      <c r="E393" s="1" t="n">
        <v>46219</v>
      </c>
      <c r="F393" t="inlineStr">
        <is>
          <t>VÄSTRA GÖTALANDS LÄN</t>
        </is>
      </c>
      <c r="G393" t="inlineStr">
        <is>
          <t>DALS-ED</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29686-2025</t>
        </is>
      </c>
      <c r="B394" t="inlineStr">
        <is>
          <t>avverkningsanmälan</t>
        </is>
      </c>
      <c r="C394" t="inlineStr">
        <is>
          <t>Föryngringsavverkning</t>
        </is>
      </c>
      <c r="D394" s="1" t="n">
        <v>45825</v>
      </c>
      <c r="E394" s="1" t="n">
        <v>46219</v>
      </c>
      <c r="F394" t="inlineStr">
        <is>
          <t>VÄSTRA GÖTALANDS LÄN</t>
        </is>
      </c>
      <c r="G394" t="inlineStr">
        <is>
          <t>DALS-ED</t>
        </is>
      </c>
      <c r="I394" t="n">
        <v>3.7</v>
      </c>
      <c r="J394" t="n">
        <v>0</v>
      </c>
      <c r="K394" t="n">
        <v>0</v>
      </c>
      <c r="L394" t="n">
        <v>0</v>
      </c>
      <c r="M394" t="n">
        <v>0</v>
      </c>
      <c r="N394" t="n">
        <v>0</v>
      </c>
      <c r="O394" t="n">
        <v>0</v>
      </c>
      <c r="P394" t="n">
        <v>0</v>
      </c>
      <c r="Q394" t="n">
        <v>0</v>
      </c>
      <c r="R394" t="n">
        <v>0</v>
      </c>
      <c r="S394" t="n">
        <v>0</v>
      </c>
      <c r="T394" t="n">
        <v>0</v>
      </c>
      <c r="U394" s="2" t="inlineStr"/>
    </row>
    <row r="395" ht="15" customHeight="1">
      <c r="A395" t="inlineStr">
        <is>
          <t>A 50298-2024</t>
        </is>
      </c>
      <c r="B395" t="inlineStr">
        <is>
          <t>avverkningsanmälan</t>
        </is>
      </c>
      <c r="C395" t="inlineStr">
        <is>
          <t>Föryngringsavverkning</t>
        </is>
      </c>
      <c r="D395" s="1" t="n">
        <v>45600</v>
      </c>
      <c r="E395" s="1" t="n">
        <v>46219</v>
      </c>
      <c r="F395" t="inlineStr">
        <is>
          <t>VÄSTRA GÖTALANDS LÄN</t>
        </is>
      </c>
      <c r="G395" t="inlineStr">
        <is>
          <t>DALS-ED</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50303-2024</t>
        </is>
      </c>
      <c r="B396" t="inlineStr">
        <is>
          <t>avverkningsanmälan</t>
        </is>
      </c>
      <c r="C396" t="inlineStr">
        <is>
          <t>Föryngringsavverkning</t>
        </is>
      </c>
      <c r="D396" s="1" t="n">
        <v>45600</v>
      </c>
      <c r="E396" s="1" t="n">
        <v>46219</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29790-2025</t>
        </is>
      </c>
      <c r="B397" t="inlineStr">
        <is>
          <t>avverkningsanmälan</t>
        </is>
      </c>
      <c r="C397" t="inlineStr">
        <is>
          <t>Föryngringsavverkning</t>
        </is>
      </c>
      <c r="D397" s="1" t="n">
        <v>45825</v>
      </c>
      <c r="E397" s="1" t="n">
        <v>46219</v>
      </c>
      <c r="F397" t="inlineStr">
        <is>
          <t>VÄSTRA GÖTALANDS LÄN</t>
        </is>
      </c>
      <c r="G397" t="inlineStr">
        <is>
          <t>DALS-ED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42588-2021</t>
        </is>
      </c>
      <c r="B398" t="inlineStr">
        <is>
          <t>avverkningsanmälan</t>
        </is>
      </c>
      <c r="C398" t="inlineStr">
        <is>
          <t>Föryngringsavverkning</t>
        </is>
      </c>
      <c r="D398" s="1" t="n">
        <v>44428</v>
      </c>
      <c r="E398" s="1" t="n">
        <v>46219</v>
      </c>
      <c r="F398" t="inlineStr">
        <is>
          <t>VÄSTRA GÖTALANDS LÄN</t>
        </is>
      </c>
      <c r="G398" t="inlineStr">
        <is>
          <t>DALS-ED</t>
        </is>
      </c>
      <c r="I398" t="n">
        <v>5.7</v>
      </c>
      <c r="J398" t="n">
        <v>0</v>
      </c>
      <c r="K398" t="n">
        <v>0</v>
      </c>
      <c r="L398" t="n">
        <v>0</v>
      </c>
      <c r="M398" t="n">
        <v>0</v>
      </c>
      <c r="N398" t="n">
        <v>0</v>
      </c>
      <c r="O398" t="n">
        <v>0</v>
      </c>
      <c r="P398" t="n">
        <v>0</v>
      </c>
      <c r="Q398" t="n">
        <v>0</v>
      </c>
      <c r="R398" t="n">
        <v>0</v>
      </c>
      <c r="S398" t="n">
        <v>0</v>
      </c>
      <c r="T398" t="n">
        <v>0</v>
      </c>
      <c r="U398" s="2" t="inlineStr"/>
    </row>
    <row r="399" ht="15" customHeight="1">
      <c r="A399" t="inlineStr">
        <is>
          <t>A 25626-2026</t>
        </is>
      </c>
      <c r="B399" t="inlineStr">
        <is>
          <t>avverkningsanmälan</t>
        </is>
      </c>
      <c r="C399" t="inlineStr">
        <is>
          <t>Föryngringsavverkning</t>
        </is>
      </c>
      <c r="D399" s="1" t="n">
        <v>46177</v>
      </c>
      <c r="E399" s="1" t="n">
        <v>46219</v>
      </c>
      <c r="F399" t="inlineStr">
        <is>
          <t>VÄSTRA GÖTALANDS LÄN</t>
        </is>
      </c>
      <c r="G399" t="inlineStr">
        <is>
          <t>DALS-ED</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25630-2026</t>
        </is>
      </c>
      <c r="B400" t="inlineStr">
        <is>
          <t>avverkningsanmälan</t>
        </is>
      </c>
      <c r="C400" t="inlineStr">
        <is>
          <t>Föryngringsavverkning</t>
        </is>
      </c>
      <c r="D400" s="1" t="n">
        <v>46177</v>
      </c>
      <c r="E400" s="1" t="n">
        <v>46219</v>
      </c>
      <c r="F400" t="inlineStr">
        <is>
          <t>VÄSTRA GÖTALANDS LÄN</t>
        </is>
      </c>
      <c r="G400" t="inlineStr">
        <is>
          <t>DALS-ED</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18360-2022</t>
        </is>
      </c>
      <c r="B401" t="inlineStr">
        <is>
          <t>avverkningsanmälan</t>
        </is>
      </c>
      <c r="C401" t="inlineStr">
        <is>
          <t>Föryngringsavverkning</t>
        </is>
      </c>
      <c r="D401" s="1" t="n">
        <v>44685</v>
      </c>
      <c r="E401" s="1" t="n">
        <v>46219</v>
      </c>
      <c r="F401" t="inlineStr">
        <is>
          <t>VÄSTRA GÖTALANDS LÄN</t>
        </is>
      </c>
      <c r="G401" t="inlineStr">
        <is>
          <t>DALS-ED</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30708-2025</t>
        </is>
      </c>
      <c r="B402" t="inlineStr">
        <is>
          <t>avverkningsanmälan</t>
        </is>
      </c>
      <c r="C402" t="inlineStr">
        <is>
          <t>Föryngringsavverkning</t>
        </is>
      </c>
      <c r="D402" s="1" t="n">
        <v>45831</v>
      </c>
      <c r="E402" s="1" t="n">
        <v>46219</v>
      </c>
      <c r="F402" t="inlineStr">
        <is>
          <t>VÄSTRA GÖTALANDS LÄN</t>
        </is>
      </c>
      <c r="G402" t="inlineStr">
        <is>
          <t>DALS-ED</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58584-2024</t>
        </is>
      </c>
      <c r="B403" t="inlineStr">
        <is>
          <t>avverkningsanmälan</t>
        </is>
      </c>
      <c r="C403" t="inlineStr">
        <is>
          <t>Föryngringsavverkning</t>
        </is>
      </c>
      <c r="D403" s="1" t="n">
        <v>45632</v>
      </c>
      <c r="E403" s="1" t="n">
        <v>46219</v>
      </c>
      <c r="F403" t="inlineStr">
        <is>
          <t>VÄSTRA GÖTALANDS LÄN</t>
        </is>
      </c>
      <c r="G403" t="inlineStr">
        <is>
          <t>DALS-ED</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6268-2025</t>
        </is>
      </c>
      <c r="B404" t="inlineStr">
        <is>
          <t>avverkningsanmälan</t>
        </is>
      </c>
      <c r="C404" t="inlineStr">
        <is>
          <t>Föryngringsavverkning</t>
        </is>
      </c>
      <c r="D404" s="1" t="n">
        <v>45698</v>
      </c>
      <c r="E404" s="1" t="n">
        <v>46219</v>
      </c>
      <c r="F404" t="inlineStr">
        <is>
          <t>VÄSTRA GÖTALANDS LÄN</t>
        </is>
      </c>
      <c r="G404" t="inlineStr">
        <is>
          <t>DALS-ED</t>
        </is>
      </c>
      <c r="I404" t="n">
        <v>6.3</v>
      </c>
      <c r="J404" t="n">
        <v>0</v>
      </c>
      <c r="K404" t="n">
        <v>0</v>
      </c>
      <c r="L404" t="n">
        <v>0</v>
      </c>
      <c r="M404" t="n">
        <v>0</v>
      </c>
      <c r="N404" t="n">
        <v>0</v>
      </c>
      <c r="O404" t="n">
        <v>0</v>
      </c>
      <c r="P404" t="n">
        <v>0</v>
      </c>
      <c r="Q404" t="n">
        <v>0</v>
      </c>
      <c r="R404" t="n">
        <v>0</v>
      </c>
      <c r="S404" t="n">
        <v>0</v>
      </c>
      <c r="T404" t="n">
        <v>0</v>
      </c>
      <c r="U404" s="2" t="inlineStr"/>
    </row>
    <row r="405" ht="15" customHeight="1">
      <c r="A405" t="inlineStr">
        <is>
          <t>A 36456-2023</t>
        </is>
      </c>
      <c r="B405" t="inlineStr">
        <is>
          <t>avverkningsanmälan</t>
        </is>
      </c>
      <c r="C405" t="inlineStr">
        <is>
          <t>Föryngringsavverkning</t>
        </is>
      </c>
      <c r="D405" s="1" t="n">
        <v>45151</v>
      </c>
      <c r="E405" s="1" t="n">
        <v>46219</v>
      </c>
      <c r="F405" t="inlineStr">
        <is>
          <t>VÄSTRA GÖTALANDS LÄN</t>
        </is>
      </c>
      <c r="G405" t="inlineStr">
        <is>
          <t>DALS-ED</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44124-2025</t>
        </is>
      </c>
      <c r="B406" t="inlineStr">
        <is>
          <t>avverkningsanmälan</t>
        </is>
      </c>
      <c r="C406" t="inlineStr">
        <is>
          <t>Föryngringsavverkning</t>
        </is>
      </c>
      <c r="D406" s="1" t="n">
        <v>45915</v>
      </c>
      <c r="E406" s="1" t="n">
        <v>46219</v>
      </c>
      <c r="F406" t="inlineStr">
        <is>
          <t>VÄSTRA GÖTALANDS LÄN</t>
        </is>
      </c>
      <c r="G406" t="inlineStr">
        <is>
          <t>DALS-ED</t>
        </is>
      </c>
      <c r="I406" t="n">
        <v>4.7</v>
      </c>
      <c r="J406" t="n">
        <v>0</v>
      </c>
      <c r="K406" t="n">
        <v>0</v>
      </c>
      <c r="L406" t="n">
        <v>0</v>
      </c>
      <c r="M406" t="n">
        <v>0</v>
      </c>
      <c r="N406" t="n">
        <v>0</v>
      </c>
      <c r="O406" t="n">
        <v>0</v>
      </c>
      <c r="P406" t="n">
        <v>0</v>
      </c>
      <c r="Q406" t="n">
        <v>0</v>
      </c>
      <c r="R406" t="n">
        <v>0</v>
      </c>
      <c r="S406" t="n">
        <v>0</v>
      </c>
      <c r="T406" t="n">
        <v>0</v>
      </c>
      <c r="U406" s="2" t="inlineStr"/>
    </row>
    <row r="407" ht="15" customHeight="1">
      <c r="A407" t="inlineStr">
        <is>
          <t>A 39093-2021</t>
        </is>
      </c>
      <c r="B407" t="inlineStr">
        <is>
          <t>avverkningsanmälan</t>
        </is>
      </c>
      <c r="C407" t="inlineStr">
        <is>
          <t>Föryngringsavverkning</t>
        </is>
      </c>
      <c r="D407" s="1" t="n">
        <v>44412</v>
      </c>
      <c r="E407" s="1" t="n">
        <v>46219</v>
      </c>
      <c r="F407" t="inlineStr">
        <is>
          <t>VÄSTRA GÖTALANDS LÄN</t>
        </is>
      </c>
      <c r="G407" t="inlineStr">
        <is>
          <t>DALS-ED</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31150-2025</t>
        </is>
      </c>
      <c r="B408" t="inlineStr">
        <is>
          <t>avverkningsanmälan</t>
        </is>
      </c>
      <c r="C408" t="inlineStr">
        <is>
          <t>Föryngringsavverkning</t>
        </is>
      </c>
      <c r="D408" s="1" t="n">
        <v>45832</v>
      </c>
      <c r="E408" s="1" t="n">
        <v>46219</v>
      </c>
      <c r="F408" t="inlineStr">
        <is>
          <t>VÄSTRA GÖTALANDS LÄN</t>
        </is>
      </c>
      <c r="G408" t="inlineStr">
        <is>
          <t>DALS-ED</t>
        </is>
      </c>
      <c r="H408" t="inlineStr">
        <is>
          <t>Övriga Aktiebolag</t>
        </is>
      </c>
      <c r="I408" t="n">
        <v>3.4</v>
      </c>
      <c r="J408" t="n">
        <v>0</v>
      </c>
      <c r="K408" t="n">
        <v>0</v>
      </c>
      <c r="L408" t="n">
        <v>0</v>
      </c>
      <c r="M408" t="n">
        <v>0</v>
      </c>
      <c r="N408" t="n">
        <v>0</v>
      </c>
      <c r="O408" t="n">
        <v>0</v>
      </c>
      <c r="P408" t="n">
        <v>0</v>
      </c>
      <c r="Q408" t="n">
        <v>0</v>
      </c>
      <c r="R408" t="n">
        <v>0</v>
      </c>
      <c r="S408" t="n">
        <v>0</v>
      </c>
      <c r="T408" t="n">
        <v>0</v>
      </c>
      <c r="U408" s="2" t="inlineStr"/>
    </row>
    <row r="409" ht="15" customHeight="1">
      <c r="A409" t="inlineStr">
        <is>
          <t>A 32770-2025</t>
        </is>
      </c>
      <c r="B409" t="inlineStr">
        <is>
          <t>avverkningsanmälan</t>
        </is>
      </c>
      <c r="C409" t="inlineStr">
        <is>
          <t>Föryngringsavverkning</t>
        </is>
      </c>
      <c r="D409" s="1" t="n">
        <v>45839</v>
      </c>
      <c r="E409" s="1" t="n">
        <v>46219</v>
      </c>
      <c r="F409" t="inlineStr">
        <is>
          <t>VÄSTRA GÖTALANDS LÄN</t>
        </is>
      </c>
      <c r="G409" t="inlineStr">
        <is>
          <t>DALS-ED</t>
        </is>
      </c>
      <c r="H409" t="inlineStr">
        <is>
          <t>Övriga Aktiebolag</t>
        </is>
      </c>
      <c r="I409" t="n">
        <v>6.3</v>
      </c>
      <c r="J409" t="n">
        <v>0</v>
      </c>
      <c r="K409" t="n">
        <v>0</v>
      </c>
      <c r="L409" t="n">
        <v>0</v>
      </c>
      <c r="M409" t="n">
        <v>0</v>
      </c>
      <c r="N409" t="n">
        <v>0</v>
      </c>
      <c r="O409" t="n">
        <v>0</v>
      </c>
      <c r="P409" t="n">
        <v>0</v>
      </c>
      <c r="Q409" t="n">
        <v>0</v>
      </c>
      <c r="R409" t="n">
        <v>0</v>
      </c>
      <c r="S409" t="n">
        <v>0</v>
      </c>
      <c r="T409" t="n">
        <v>0</v>
      </c>
      <c r="U409" s="2" t="inlineStr"/>
    </row>
    <row r="410" ht="15" customHeight="1">
      <c r="A410" t="inlineStr">
        <is>
          <t>A 19382-2023</t>
        </is>
      </c>
      <c r="B410" t="inlineStr">
        <is>
          <t>avverkningsanmälan</t>
        </is>
      </c>
      <c r="C410" t="inlineStr">
        <is>
          <t>Avverkning för annat ändamål</t>
        </is>
      </c>
      <c r="D410" s="1" t="n">
        <v>45049</v>
      </c>
      <c r="E410" s="1" t="n">
        <v>46219</v>
      </c>
      <c r="F410" t="inlineStr">
        <is>
          <t>VÄSTRA GÖTALANDS LÄN</t>
        </is>
      </c>
      <c r="G410" t="inlineStr">
        <is>
          <t>DALS-ED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46977-2025</t>
        </is>
      </c>
      <c r="B411" t="inlineStr">
        <is>
          <t>avverkningsanmälan</t>
        </is>
      </c>
      <c r="C411" t="inlineStr">
        <is>
          <t>Föryngringsavverkning</t>
        </is>
      </c>
      <c r="D411" s="1" t="n">
        <v>45929</v>
      </c>
      <c r="E411" s="1" t="n">
        <v>46219</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s="2" t="inlineStr"/>
    </row>
    <row r="412" ht="15" customHeight="1">
      <c r="A412" t="inlineStr">
        <is>
          <t>A 23317-2022</t>
        </is>
      </c>
      <c r="B412" t="inlineStr">
        <is>
          <t>avverkningsanmälan</t>
        </is>
      </c>
      <c r="C412" t="inlineStr">
        <is>
          <t>Föryngringsavverkning</t>
        </is>
      </c>
      <c r="D412" s="1" t="n">
        <v>44720</v>
      </c>
      <c r="E412" s="1" t="n">
        <v>46219</v>
      </c>
      <c r="F412" t="inlineStr">
        <is>
          <t>VÄSTRA GÖTALANDS LÄN</t>
        </is>
      </c>
      <c r="G412" t="inlineStr">
        <is>
          <t>DALS-ED</t>
        </is>
      </c>
      <c r="I412" t="n">
        <v>6.9</v>
      </c>
      <c r="J412" t="n">
        <v>0</v>
      </c>
      <c r="K412" t="n">
        <v>0</v>
      </c>
      <c r="L412" t="n">
        <v>0</v>
      </c>
      <c r="M412" t="n">
        <v>0</v>
      </c>
      <c r="N412" t="n">
        <v>0</v>
      </c>
      <c r="O412" t="n">
        <v>0</v>
      </c>
      <c r="P412" t="n">
        <v>0</v>
      </c>
      <c r="Q412" t="n">
        <v>0</v>
      </c>
      <c r="R412" t="n">
        <v>0</v>
      </c>
      <c r="S412" t="n">
        <v>0</v>
      </c>
      <c r="T412" t="n">
        <v>0</v>
      </c>
      <c r="U412" s="2" t="inlineStr"/>
    </row>
    <row r="413" ht="15" customHeight="1">
      <c r="A413" t="inlineStr">
        <is>
          <t>A 40574-2025</t>
        </is>
      </c>
      <c r="B413" t="inlineStr">
        <is>
          <t>avverkningsanmälan</t>
        </is>
      </c>
      <c r="C413" t="inlineStr">
        <is>
          <t>Föryngringsavverkning</t>
        </is>
      </c>
      <c r="D413" s="1" t="n">
        <v>45896</v>
      </c>
      <c r="E413" s="1" t="n">
        <v>46219</v>
      </c>
      <c r="F413" t="inlineStr">
        <is>
          <t>VÄSTRA GÖTALANDS LÄN</t>
        </is>
      </c>
      <c r="G413" t="inlineStr">
        <is>
          <t>DALS-ED</t>
        </is>
      </c>
      <c r="I413" t="n">
        <v>2.8</v>
      </c>
      <c r="J413" t="n">
        <v>0</v>
      </c>
      <c r="K413" t="n">
        <v>0</v>
      </c>
      <c r="L413" t="n">
        <v>0</v>
      </c>
      <c r="M413" t="n">
        <v>0</v>
      </c>
      <c r="N413" t="n">
        <v>0</v>
      </c>
      <c r="O413" t="n">
        <v>0</v>
      </c>
      <c r="P413" t="n">
        <v>0</v>
      </c>
      <c r="Q413" t="n">
        <v>0</v>
      </c>
      <c r="R413" t="n">
        <v>0</v>
      </c>
      <c r="S413" t="n">
        <v>0</v>
      </c>
      <c r="T413" t="n">
        <v>0</v>
      </c>
      <c r="U413" s="2" t="inlineStr"/>
    </row>
    <row r="414" ht="15" customHeight="1">
      <c r="A414" t="inlineStr">
        <is>
          <t>A 29827-2025</t>
        </is>
      </c>
      <c r="B414" t="inlineStr">
        <is>
          <t>avverkningsanmälan</t>
        </is>
      </c>
      <c r="C414" t="inlineStr">
        <is>
          <t>Föryngringsavverkning</t>
        </is>
      </c>
      <c r="D414" s="1" t="n">
        <v>45825</v>
      </c>
      <c r="E414" s="1" t="n">
        <v>46219</v>
      </c>
      <c r="F414" t="inlineStr">
        <is>
          <t>VÄSTRA GÖTALANDS LÄN</t>
        </is>
      </c>
      <c r="G414" t="inlineStr">
        <is>
          <t>DALS-ED</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2284-2023</t>
        </is>
      </c>
      <c r="B415" t="inlineStr">
        <is>
          <t>avverkningsanmälan</t>
        </is>
      </c>
      <c r="C415" t="inlineStr">
        <is>
          <t>Föryngringsavverkning</t>
        </is>
      </c>
      <c r="D415" s="1" t="n">
        <v>44942</v>
      </c>
      <c r="E415" s="1" t="n">
        <v>46219</v>
      </c>
      <c r="F415" t="inlineStr">
        <is>
          <t>VÄSTRA GÖTALANDS LÄN</t>
        </is>
      </c>
      <c r="G415" t="inlineStr">
        <is>
          <t>DALS-ED</t>
        </is>
      </c>
      <c r="I415" t="n">
        <v>6.9</v>
      </c>
      <c r="J415" t="n">
        <v>0</v>
      </c>
      <c r="K415" t="n">
        <v>0</v>
      </c>
      <c r="L415" t="n">
        <v>0</v>
      </c>
      <c r="M415" t="n">
        <v>0</v>
      </c>
      <c r="N415" t="n">
        <v>0</v>
      </c>
      <c r="O415" t="n">
        <v>0</v>
      </c>
      <c r="P415" t="n">
        <v>0</v>
      </c>
      <c r="Q415" t="n">
        <v>0</v>
      </c>
      <c r="R415" t="n">
        <v>0</v>
      </c>
      <c r="S415" t="n">
        <v>0</v>
      </c>
      <c r="T415" t="n">
        <v>0</v>
      </c>
      <c r="U415" s="2" t="inlineStr"/>
    </row>
    <row r="416" ht="15" customHeight="1">
      <c r="A416" t="inlineStr">
        <is>
          <t>A 4499-2024</t>
        </is>
      </c>
      <c r="B416" t="inlineStr">
        <is>
          <t>avverkningsanmälan</t>
        </is>
      </c>
      <c r="C416" t="inlineStr">
        <is>
          <t>Föryngringsavverkning</t>
        </is>
      </c>
      <c r="D416" s="1" t="n">
        <v>45327</v>
      </c>
      <c r="E416" s="1" t="n">
        <v>46219</v>
      </c>
      <c r="F416" t="inlineStr">
        <is>
          <t>VÄSTRA GÖTALANDS LÄN</t>
        </is>
      </c>
      <c r="G416" t="inlineStr">
        <is>
          <t>DALS-ED</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8180-2024</t>
        </is>
      </c>
      <c r="B417" t="inlineStr">
        <is>
          <t>avverkningsanmälan</t>
        </is>
      </c>
      <c r="C417" t="inlineStr">
        <is>
          <t>Föryngringsavverkning</t>
        </is>
      </c>
      <c r="D417" s="1" t="n">
        <v>45351</v>
      </c>
      <c r="E417" s="1" t="n">
        <v>46219</v>
      </c>
      <c r="F417" t="inlineStr">
        <is>
          <t>VÄSTRA GÖTALANDS LÄN</t>
        </is>
      </c>
      <c r="G417" t="inlineStr">
        <is>
          <t>DALS-ED</t>
        </is>
      </c>
      <c r="H417" t="inlineStr">
        <is>
          <t>Övriga Aktiebolag</t>
        </is>
      </c>
      <c r="I417" t="n">
        <v>3.2</v>
      </c>
      <c r="J417" t="n">
        <v>0</v>
      </c>
      <c r="K417" t="n">
        <v>0</v>
      </c>
      <c r="L417" t="n">
        <v>0</v>
      </c>
      <c r="M417" t="n">
        <v>0</v>
      </c>
      <c r="N417" t="n">
        <v>0</v>
      </c>
      <c r="O417" t="n">
        <v>0</v>
      </c>
      <c r="P417" t="n">
        <v>0</v>
      </c>
      <c r="Q417" t="n">
        <v>0</v>
      </c>
      <c r="R417" t="n">
        <v>0</v>
      </c>
      <c r="S417" t="n">
        <v>0</v>
      </c>
      <c r="T417" t="n">
        <v>0</v>
      </c>
      <c r="U417" s="2" t="inlineStr"/>
    </row>
    <row r="418" ht="15" customHeight="1">
      <c r="A418" t="inlineStr">
        <is>
          <t>A 60197-2025</t>
        </is>
      </c>
      <c r="B418" t="inlineStr">
        <is>
          <t>avverkningsanmälan</t>
        </is>
      </c>
      <c r="C418" t="inlineStr">
        <is>
          <t>Föryngringsavverkning</t>
        </is>
      </c>
      <c r="D418" s="1" t="n">
        <v>45994</v>
      </c>
      <c r="E418" s="1" t="n">
        <v>46219</v>
      </c>
      <c r="F418" t="inlineStr">
        <is>
          <t>VÄSTRA GÖTALANDS LÄN</t>
        </is>
      </c>
      <c r="G418" t="inlineStr">
        <is>
          <t>DALS-ED</t>
        </is>
      </c>
      <c r="I418" t="n">
        <v>7.5</v>
      </c>
      <c r="J418" t="n">
        <v>0</v>
      </c>
      <c r="K418" t="n">
        <v>0</v>
      </c>
      <c r="L418" t="n">
        <v>0</v>
      </c>
      <c r="M418" t="n">
        <v>0</v>
      </c>
      <c r="N418" t="n">
        <v>0</v>
      </c>
      <c r="O418" t="n">
        <v>0</v>
      </c>
      <c r="P418" t="n">
        <v>0</v>
      </c>
      <c r="Q418" t="n">
        <v>0</v>
      </c>
      <c r="R418" t="n">
        <v>0</v>
      </c>
      <c r="S418" t="n">
        <v>0</v>
      </c>
      <c r="T418" t="n">
        <v>0</v>
      </c>
      <c r="U418" s="2" t="inlineStr"/>
    </row>
    <row r="419" ht="15" customHeight="1">
      <c r="A419" t="inlineStr">
        <is>
          <t>A 54688-2025</t>
        </is>
      </c>
      <c r="B419" t="inlineStr">
        <is>
          <t>avverkningsanmälan</t>
        </is>
      </c>
      <c r="C419" t="inlineStr">
        <is>
          <t>Föryngringsavverkning</t>
        </is>
      </c>
      <c r="D419" s="1" t="n">
        <v>45966</v>
      </c>
      <c r="E419" s="1" t="n">
        <v>46219</v>
      </c>
      <c r="F419" t="inlineStr">
        <is>
          <t>VÄSTRA GÖTALANDS LÄN</t>
        </is>
      </c>
      <c r="G419" t="inlineStr">
        <is>
          <t>DALS-ED</t>
        </is>
      </c>
      <c r="I419" t="n">
        <v>5.2</v>
      </c>
      <c r="J419" t="n">
        <v>0</v>
      </c>
      <c r="K419" t="n">
        <v>0</v>
      </c>
      <c r="L419" t="n">
        <v>0</v>
      </c>
      <c r="M419" t="n">
        <v>0</v>
      </c>
      <c r="N419" t="n">
        <v>0</v>
      </c>
      <c r="O419" t="n">
        <v>0</v>
      </c>
      <c r="P419" t="n">
        <v>0</v>
      </c>
      <c r="Q419" t="n">
        <v>0</v>
      </c>
      <c r="R419" t="n">
        <v>0</v>
      </c>
      <c r="S419" t="n">
        <v>0</v>
      </c>
      <c r="T419" t="n">
        <v>0</v>
      </c>
      <c r="U419" s="2" t="inlineStr"/>
    </row>
    <row r="420" ht="15" customHeight="1">
      <c r="A420" t="inlineStr">
        <is>
          <t>A 21864-2024</t>
        </is>
      </c>
      <c r="B420" t="inlineStr">
        <is>
          <t>avverkningsanmälan</t>
        </is>
      </c>
      <c r="C420" t="inlineStr">
        <is>
          <t>Avverkning för att bevara och utveckla /försöksver</t>
        </is>
      </c>
      <c r="D420" s="1" t="n">
        <v>45443</v>
      </c>
      <c r="E420" s="1" t="n">
        <v>46219</v>
      </c>
      <c r="F420" t="inlineStr">
        <is>
          <t>VÄSTRA GÖTALANDS LÄN</t>
        </is>
      </c>
      <c r="G420" t="inlineStr">
        <is>
          <t>DALS-ED</t>
        </is>
      </c>
      <c r="H420" t="inlineStr">
        <is>
          <t>Kyrkan</t>
        </is>
      </c>
      <c r="I420" t="n">
        <v>3.8</v>
      </c>
      <c r="J420" t="n">
        <v>0</v>
      </c>
      <c r="K420" t="n">
        <v>0</v>
      </c>
      <c r="L420" t="n">
        <v>0</v>
      </c>
      <c r="M420" t="n">
        <v>0</v>
      </c>
      <c r="N420" t="n">
        <v>0</v>
      </c>
      <c r="O420" t="n">
        <v>0</v>
      </c>
      <c r="P420" t="n">
        <v>0</v>
      </c>
      <c r="Q420" t="n">
        <v>0</v>
      </c>
      <c r="R420" t="n">
        <v>0</v>
      </c>
      <c r="S420" t="n">
        <v>0</v>
      </c>
      <c r="T420" t="n">
        <v>0</v>
      </c>
      <c r="U420" s="2" t="inlineStr"/>
    </row>
    <row r="421" ht="15" customHeight="1">
      <c r="A421" t="inlineStr">
        <is>
          <t>A 18437-2025</t>
        </is>
      </c>
      <c r="B421" t="inlineStr">
        <is>
          <t>avverkningsanmälan</t>
        </is>
      </c>
      <c r="C421" t="inlineStr">
        <is>
          <t>Föryngringsavverkning</t>
        </is>
      </c>
      <c r="D421" s="1" t="n">
        <v>45762</v>
      </c>
      <c r="E421" s="1" t="n">
        <v>46219</v>
      </c>
      <c r="F421" t="inlineStr">
        <is>
          <t>VÄSTRA GÖTALANDS LÄN</t>
        </is>
      </c>
      <c r="G421" t="inlineStr">
        <is>
          <t>DALS-ED</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42351-2025</t>
        </is>
      </c>
      <c r="B422" t="inlineStr">
        <is>
          <t>avverkningsanmälan</t>
        </is>
      </c>
      <c r="C422" t="inlineStr">
        <is>
          <t>Föryngringsavverkning</t>
        </is>
      </c>
      <c r="D422" s="1" t="n">
        <v>45904</v>
      </c>
      <c r="E422" s="1" t="n">
        <v>46219</v>
      </c>
      <c r="F422" t="inlineStr">
        <is>
          <t>VÄSTRA GÖTALANDS LÄN</t>
        </is>
      </c>
      <c r="G422" t="inlineStr">
        <is>
          <t>DALS-ED</t>
        </is>
      </c>
      <c r="H422" t="inlineStr">
        <is>
          <t>Övriga Aktiebolag</t>
        </is>
      </c>
      <c r="I422" t="n">
        <v>5.2</v>
      </c>
      <c r="J422" t="n">
        <v>0</v>
      </c>
      <c r="K422" t="n">
        <v>0</v>
      </c>
      <c r="L422" t="n">
        <v>0</v>
      </c>
      <c r="M422" t="n">
        <v>0</v>
      </c>
      <c r="N422" t="n">
        <v>0</v>
      </c>
      <c r="O422" t="n">
        <v>0</v>
      </c>
      <c r="P422" t="n">
        <v>0</v>
      </c>
      <c r="Q422" t="n">
        <v>0</v>
      </c>
      <c r="R422" t="n">
        <v>0</v>
      </c>
      <c r="S422" t="n">
        <v>0</v>
      </c>
      <c r="T422" t="n">
        <v>0</v>
      </c>
      <c r="U422" s="2" t="inlineStr"/>
    </row>
    <row r="423" ht="15" customHeight="1">
      <c r="A423" t="inlineStr">
        <is>
          <t>A 34026-2025</t>
        </is>
      </c>
      <c r="B423" t="inlineStr">
        <is>
          <t>avverkningsanmälan</t>
        </is>
      </c>
      <c r="C423" t="inlineStr">
        <is>
          <t>Föryngringsavverkning</t>
        </is>
      </c>
      <c r="D423" s="1" t="n">
        <v>45845</v>
      </c>
      <c r="E423" s="1" t="n">
        <v>46219</v>
      </c>
      <c r="F423" t="inlineStr">
        <is>
          <t>VÄSTRA GÖTALANDS LÄN</t>
        </is>
      </c>
      <c r="G423" t="inlineStr">
        <is>
          <t>DALS-ED</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33967-2025</t>
        </is>
      </c>
      <c r="B424" t="inlineStr">
        <is>
          <t>avverkningsanmälan</t>
        </is>
      </c>
      <c r="C424" t="inlineStr">
        <is>
          <t>Föryngringsavverkning</t>
        </is>
      </c>
      <c r="D424" s="1" t="n">
        <v>45842</v>
      </c>
      <c r="E424" s="1" t="n">
        <v>46219</v>
      </c>
      <c r="F424" t="inlineStr">
        <is>
          <t>VÄSTRA GÖTALANDS LÄN</t>
        </is>
      </c>
      <c r="G424" t="inlineStr">
        <is>
          <t>DALS-ED</t>
        </is>
      </c>
      <c r="I424" t="n">
        <v>3.5</v>
      </c>
      <c r="J424" t="n">
        <v>0</v>
      </c>
      <c r="K424" t="n">
        <v>0</v>
      </c>
      <c r="L424" t="n">
        <v>0</v>
      </c>
      <c r="M424" t="n">
        <v>0</v>
      </c>
      <c r="N424" t="n">
        <v>0</v>
      </c>
      <c r="O424" t="n">
        <v>0</v>
      </c>
      <c r="P424" t="n">
        <v>0</v>
      </c>
      <c r="Q424" t="n">
        <v>0</v>
      </c>
      <c r="R424" t="n">
        <v>0</v>
      </c>
      <c r="S424" t="n">
        <v>0</v>
      </c>
      <c r="T424" t="n">
        <v>0</v>
      </c>
      <c r="U424" s="2" t="inlineStr"/>
    </row>
    <row r="425" ht="15" customHeight="1">
      <c r="A425" t="inlineStr">
        <is>
          <t>A 12996-2025</t>
        </is>
      </c>
      <c r="B425" t="inlineStr">
        <is>
          <t>avverkningsanmälan</t>
        </is>
      </c>
      <c r="C425" t="inlineStr">
        <is>
          <t>Föryngringsavverkning</t>
        </is>
      </c>
      <c r="D425" s="1" t="n">
        <v>45734</v>
      </c>
      <c r="E425" s="1" t="n">
        <v>46219</v>
      </c>
      <c r="F425" t="inlineStr">
        <is>
          <t>VÄSTRA GÖTALANDS LÄN</t>
        </is>
      </c>
      <c r="G425" t="inlineStr">
        <is>
          <t>DALS-ED</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31871-2025</t>
        </is>
      </c>
      <c r="B426" t="inlineStr">
        <is>
          <t>avverkningsanmälan</t>
        </is>
      </c>
      <c r="C426" t="inlineStr">
        <is>
          <t>Föryngringsavverkning</t>
        </is>
      </c>
      <c r="D426" s="1" t="n">
        <v>45834</v>
      </c>
      <c r="E426" s="1" t="n">
        <v>46219</v>
      </c>
      <c r="F426" t="inlineStr">
        <is>
          <t>VÄSTRA GÖTALANDS LÄN</t>
        </is>
      </c>
      <c r="G426" t="inlineStr">
        <is>
          <t>DALS-ED</t>
        </is>
      </c>
      <c r="I426" t="n">
        <v>7.1</v>
      </c>
      <c r="J426" t="n">
        <v>0</v>
      </c>
      <c r="K426" t="n">
        <v>0</v>
      </c>
      <c r="L426" t="n">
        <v>0</v>
      </c>
      <c r="M426" t="n">
        <v>0</v>
      </c>
      <c r="N426" t="n">
        <v>0</v>
      </c>
      <c r="O426" t="n">
        <v>0</v>
      </c>
      <c r="P426" t="n">
        <v>0</v>
      </c>
      <c r="Q426" t="n">
        <v>0</v>
      </c>
      <c r="R426" t="n">
        <v>0</v>
      </c>
      <c r="S426" t="n">
        <v>0</v>
      </c>
      <c r="T426" t="n">
        <v>0</v>
      </c>
      <c r="U426" s="2" t="inlineStr"/>
    </row>
    <row r="427" ht="15" customHeight="1">
      <c r="A427" t="inlineStr">
        <is>
          <t>A 29556-2025</t>
        </is>
      </c>
      <c r="B427" t="inlineStr">
        <is>
          <t>avverkningsanmälan</t>
        </is>
      </c>
      <c r="C427" t="inlineStr">
        <is>
          <t>Föryngringsavverkning</t>
        </is>
      </c>
      <c r="D427" s="1" t="n">
        <v>45825</v>
      </c>
      <c r="E427" s="1" t="n">
        <v>46219</v>
      </c>
      <c r="F427" t="inlineStr">
        <is>
          <t>VÄSTRA GÖTALANDS LÄN</t>
        </is>
      </c>
      <c r="G427" t="inlineStr">
        <is>
          <t>DALS-ED</t>
        </is>
      </c>
      <c r="I427" t="n">
        <v>5.9</v>
      </c>
      <c r="J427" t="n">
        <v>0</v>
      </c>
      <c r="K427" t="n">
        <v>0</v>
      </c>
      <c r="L427" t="n">
        <v>0</v>
      </c>
      <c r="M427" t="n">
        <v>0</v>
      </c>
      <c r="N427" t="n">
        <v>0</v>
      </c>
      <c r="O427" t="n">
        <v>0</v>
      </c>
      <c r="P427" t="n">
        <v>0</v>
      </c>
      <c r="Q427" t="n">
        <v>0</v>
      </c>
      <c r="R427" t="n">
        <v>0</v>
      </c>
      <c r="S427" t="n">
        <v>0</v>
      </c>
      <c r="T427" t="n">
        <v>0</v>
      </c>
      <c r="U427" s="2" t="inlineStr"/>
    </row>
    <row r="428" ht="15" customHeight="1">
      <c r="A428" t="inlineStr">
        <is>
          <t>A 50732-2024</t>
        </is>
      </c>
      <c r="B428" t="inlineStr">
        <is>
          <t>avverkningsanmälan</t>
        </is>
      </c>
      <c r="C428" t="inlineStr">
        <is>
          <t>Föryngringsavverkning</t>
        </is>
      </c>
      <c r="D428" s="1" t="n">
        <v>45602</v>
      </c>
      <c r="E428" s="1" t="n">
        <v>46219</v>
      </c>
      <c r="F428" t="inlineStr">
        <is>
          <t>VÄSTRA GÖTALANDS LÄN</t>
        </is>
      </c>
      <c r="G428" t="inlineStr">
        <is>
          <t>DALS-ED</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9039-2025</t>
        </is>
      </c>
      <c r="B429" t="inlineStr">
        <is>
          <t>avverkningsanmälan</t>
        </is>
      </c>
      <c r="C429" t="inlineStr">
        <is>
          <t>Föryngringsavverkning</t>
        </is>
      </c>
      <c r="D429" s="1" t="n">
        <v>45713</v>
      </c>
      <c r="E429" s="1" t="n">
        <v>46219</v>
      </c>
      <c r="F429" t="inlineStr">
        <is>
          <t>VÄSTRA GÖTALANDS LÄN</t>
        </is>
      </c>
      <c r="G429" t="inlineStr">
        <is>
          <t>DALS-ED</t>
        </is>
      </c>
      <c r="I429" t="n">
        <v>5.5</v>
      </c>
      <c r="J429" t="n">
        <v>0</v>
      </c>
      <c r="K429" t="n">
        <v>0</v>
      </c>
      <c r="L429" t="n">
        <v>0</v>
      </c>
      <c r="M429" t="n">
        <v>0</v>
      </c>
      <c r="N429" t="n">
        <v>0</v>
      </c>
      <c r="O429" t="n">
        <v>0</v>
      </c>
      <c r="P429" t="n">
        <v>0</v>
      </c>
      <c r="Q429" t="n">
        <v>0</v>
      </c>
      <c r="R429" t="n">
        <v>0</v>
      </c>
      <c r="S429" t="n">
        <v>0</v>
      </c>
      <c r="T429" t="n">
        <v>0</v>
      </c>
      <c r="U429" s="2" t="inlineStr"/>
    </row>
    <row r="430" ht="15" customHeight="1">
      <c r="A430" t="inlineStr">
        <is>
          <t>A 34874-2025</t>
        </is>
      </c>
      <c r="B430" t="inlineStr">
        <is>
          <t>avverkningsanmälan</t>
        </is>
      </c>
      <c r="C430" t="inlineStr">
        <is>
          <t>Föryngringsavverkning</t>
        </is>
      </c>
      <c r="D430" s="1" t="n">
        <v>45849</v>
      </c>
      <c r="E430" s="1" t="n">
        <v>46219</v>
      </c>
      <c r="F430" t="inlineStr">
        <is>
          <t>VÄSTRA GÖTALANDS LÄN</t>
        </is>
      </c>
      <c r="G430" t="inlineStr">
        <is>
          <t>DALS-ED</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11264-2026</t>
        </is>
      </c>
      <c r="B431" t="inlineStr">
        <is>
          <t>avverkningsanmälan</t>
        </is>
      </c>
      <c r="C431" t="inlineStr">
        <is>
          <t>Föryngringsavverkning</t>
        </is>
      </c>
      <c r="D431" s="1" t="n">
        <v>46080</v>
      </c>
      <c r="E431" s="1" t="n">
        <v>46219</v>
      </c>
      <c r="F431" t="inlineStr">
        <is>
          <t>VÄSTRA GÖTALANDS LÄN</t>
        </is>
      </c>
      <c r="G431" t="inlineStr">
        <is>
          <t>DALS-ED</t>
        </is>
      </c>
      <c r="H431" t="inlineStr">
        <is>
          <t>Övriga Aktiebolag</t>
        </is>
      </c>
      <c r="I431" t="n">
        <v>2.8</v>
      </c>
      <c r="J431" t="n">
        <v>0</v>
      </c>
      <c r="K431" t="n">
        <v>0</v>
      </c>
      <c r="L431" t="n">
        <v>0</v>
      </c>
      <c r="M431" t="n">
        <v>0</v>
      </c>
      <c r="N431" t="n">
        <v>0</v>
      </c>
      <c r="O431" t="n">
        <v>0</v>
      </c>
      <c r="P431" t="n">
        <v>0</v>
      </c>
      <c r="Q431" t="n">
        <v>0</v>
      </c>
      <c r="R431" t="n">
        <v>0</v>
      </c>
      <c r="S431" t="n">
        <v>0</v>
      </c>
      <c r="T431" t="n">
        <v>0</v>
      </c>
      <c r="U431" s="2" t="inlineStr"/>
    </row>
    <row r="432" ht="15" customHeight="1">
      <c r="A432" t="inlineStr">
        <is>
          <t>A 31754-2022</t>
        </is>
      </c>
      <c r="B432" t="inlineStr">
        <is>
          <t>avverkningsanmälan</t>
        </is>
      </c>
      <c r="C432" t="inlineStr">
        <is>
          <t>Föryngringsavverkning</t>
        </is>
      </c>
      <c r="D432" s="1" t="n">
        <v>44776</v>
      </c>
      <c r="E432" s="1" t="n">
        <v>46219</v>
      </c>
      <c r="F432" t="inlineStr">
        <is>
          <t>VÄSTRA GÖTALANDS LÄN</t>
        </is>
      </c>
      <c r="G432" t="inlineStr">
        <is>
          <t>DALS-ED</t>
        </is>
      </c>
      <c r="I432" t="n">
        <v>4.2</v>
      </c>
      <c r="J432" t="n">
        <v>0</v>
      </c>
      <c r="K432" t="n">
        <v>0</v>
      </c>
      <c r="L432" t="n">
        <v>0</v>
      </c>
      <c r="M432" t="n">
        <v>0</v>
      </c>
      <c r="N432" t="n">
        <v>0</v>
      </c>
      <c r="O432" t="n">
        <v>0</v>
      </c>
      <c r="P432" t="n">
        <v>0</v>
      </c>
      <c r="Q432" t="n">
        <v>0</v>
      </c>
      <c r="R432" t="n">
        <v>0</v>
      </c>
      <c r="S432" t="n">
        <v>0</v>
      </c>
      <c r="T432" t="n">
        <v>0</v>
      </c>
      <c r="U432" s="2" t="inlineStr"/>
    </row>
    <row r="433" ht="15" customHeight="1">
      <c r="A433" t="inlineStr">
        <is>
          <t>A 64338-2021</t>
        </is>
      </c>
      <c r="B433" t="inlineStr">
        <is>
          <t>avverkningsanmälan</t>
        </is>
      </c>
      <c r="C433" t="inlineStr">
        <is>
          <t>Föryngringsavverkning</t>
        </is>
      </c>
      <c r="D433" s="1" t="n">
        <v>44511</v>
      </c>
      <c r="E433" s="1" t="n">
        <v>46219</v>
      </c>
      <c r="F433" t="inlineStr">
        <is>
          <t>VÄSTRA GÖTALANDS LÄN</t>
        </is>
      </c>
      <c r="G433" t="inlineStr">
        <is>
          <t>DALS-ED</t>
        </is>
      </c>
      <c r="I433" t="n">
        <v>5.6</v>
      </c>
      <c r="J433" t="n">
        <v>0</v>
      </c>
      <c r="K433" t="n">
        <v>0</v>
      </c>
      <c r="L433" t="n">
        <v>0</v>
      </c>
      <c r="M433" t="n">
        <v>0</v>
      </c>
      <c r="N433" t="n">
        <v>0</v>
      </c>
      <c r="O433" t="n">
        <v>0</v>
      </c>
      <c r="P433" t="n">
        <v>0</v>
      </c>
      <c r="Q433" t="n">
        <v>0</v>
      </c>
      <c r="R433" t="n">
        <v>0</v>
      </c>
      <c r="S433" t="n">
        <v>0</v>
      </c>
      <c r="T433" t="n">
        <v>0</v>
      </c>
      <c r="U433" s="2" t="inlineStr"/>
    </row>
    <row r="434" ht="15" customHeight="1">
      <c r="A434" t="inlineStr">
        <is>
          <t>A 26688-2026</t>
        </is>
      </c>
      <c r="B434" t="inlineStr">
        <is>
          <t>avverkningsanmälan</t>
        </is>
      </c>
      <c r="C434" t="inlineStr">
        <is>
          <t>Föryngringsavverkning</t>
        </is>
      </c>
      <c r="D434" s="1" t="n">
        <v>46184</v>
      </c>
      <c r="E434" s="1" t="n">
        <v>46219</v>
      </c>
      <c r="F434" t="inlineStr">
        <is>
          <t>VÄSTRA GÖTALANDS LÄN</t>
        </is>
      </c>
      <c r="G434" t="inlineStr">
        <is>
          <t>DALS-ED</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12975-2025</t>
        </is>
      </c>
      <c r="B435" t="inlineStr">
        <is>
          <t>avverkningsanmälan</t>
        </is>
      </c>
      <c r="C435" t="inlineStr">
        <is>
          <t>Föryngringsavverkning</t>
        </is>
      </c>
      <c r="D435" s="1" t="n">
        <v>45734</v>
      </c>
      <c r="E435" s="1" t="n">
        <v>46219</v>
      </c>
      <c r="F435" t="inlineStr">
        <is>
          <t>VÄSTRA GÖTALANDS LÄN</t>
        </is>
      </c>
      <c r="G435" t="inlineStr">
        <is>
          <t>DALS-ED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43376-2025</t>
        </is>
      </c>
      <c r="B436" t="inlineStr">
        <is>
          <t>avverkningsanmälan</t>
        </is>
      </c>
      <c r="C436" t="inlineStr">
        <is>
          <t>Föryngringsavverkning</t>
        </is>
      </c>
      <c r="D436" s="1" t="n">
        <v>45911</v>
      </c>
      <c r="E436" s="1" t="n">
        <v>46219</v>
      </c>
      <c r="F436" t="inlineStr">
        <is>
          <t>VÄSTRA GÖTALANDS LÄN</t>
        </is>
      </c>
      <c r="G436" t="inlineStr">
        <is>
          <t>DALS-ED</t>
        </is>
      </c>
      <c r="I436" t="n">
        <v>5.3</v>
      </c>
      <c r="J436" t="n">
        <v>0</v>
      </c>
      <c r="K436" t="n">
        <v>0</v>
      </c>
      <c r="L436" t="n">
        <v>0</v>
      </c>
      <c r="M436" t="n">
        <v>0</v>
      </c>
      <c r="N436" t="n">
        <v>0</v>
      </c>
      <c r="O436" t="n">
        <v>0</v>
      </c>
      <c r="P436" t="n">
        <v>0</v>
      </c>
      <c r="Q436" t="n">
        <v>0</v>
      </c>
      <c r="R436" t="n">
        <v>0</v>
      </c>
      <c r="S436" t="n">
        <v>0</v>
      </c>
      <c r="T436" t="n">
        <v>0</v>
      </c>
      <c r="U436" s="2" t="inlineStr"/>
    </row>
    <row r="437" ht="15" customHeight="1">
      <c r="A437" t="inlineStr">
        <is>
          <t>A 60590-2024</t>
        </is>
      </c>
      <c r="B437" t="inlineStr">
        <is>
          <t>avverkningsanmälan</t>
        </is>
      </c>
      <c r="C437" t="inlineStr">
        <is>
          <t>Föryngringsavverkning</t>
        </is>
      </c>
      <c r="D437" s="1" t="n">
        <v>45644</v>
      </c>
      <c r="E437" s="1" t="n">
        <v>46219</v>
      </c>
      <c r="F437" t="inlineStr">
        <is>
          <t>VÄSTRA GÖTALANDS LÄN</t>
        </is>
      </c>
      <c r="G437" t="inlineStr">
        <is>
          <t>DALS-ED</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26698-2026</t>
        </is>
      </c>
      <c r="B438" t="inlineStr">
        <is>
          <t>avverkningsanmälan</t>
        </is>
      </c>
      <c r="C438" t="inlineStr">
        <is>
          <t>Föryngringsavverkning</t>
        </is>
      </c>
      <c r="D438" s="1" t="n">
        <v>46184</v>
      </c>
      <c r="E438" s="1" t="n">
        <v>46219</v>
      </c>
      <c r="F438" t="inlineStr">
        <is>
          <t>VÄSTRA GÖTALANDS LÄN</t>
        </is>
      </c>
      <c r="G438" t="inlineStr">
        <is>
          <t>DALS-ED</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38044-2025</t>
        </is>
      </c>
      <c r="B439" t="inlineStr">
        <is>
          <t>avverkningsanmälan</t>
        </is>
      </c>
      <c r="C439" t="inlineStr">
        <is>
          <t>Föryngringsavverkning</t>
        </is>
      </c>
      <c r="D439" s="1" t="n">
        <v>45882</v>
      </c>
      <c r="E439" s="1" t="n">
        <v>46219</v>
      </c>
      <c r="F439" t="inlineStr">
        <is>
          <t>VÄSTRA GÖTALANDS LÄN</t>
        </is>
      </c>
      <c r="G439" t="inlineStr">
        <is>
          <t>DALS-ED</t>
        </is>
      </c>
      <c r="H439" t="inlineStr">
        <is>
          <t>Bergvik skog väst AB</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27672-2026</t>
        </is>
      </c>
      <c r="B440" t="inlineStr">
        <is>
          <t>avverkningsanmälan</t>
        </is>
      </c>
      <c r="C440" t="inlineStr">
        <is>
          <t>Föryngringsavverkning</t>
        </is>
      </c>
      <c r="D440" s="1" t="n">
        <v>46188</v>
      </c>
      <c r="E440" s="1" t="n">
        <v>46219</v>
      </c>
      <c r="F440" t="inlineStr">
        <is>
          <t>VÄSTRA GÖTALANDS LÄN</t>
        </is>
      </c>
      <c r="G440" t="inlineStr">
        <is>
          <t>DALS-ED</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21488-2026</t>
        </is>
      </c>
      <c r="B441" t="inlineStr">
        <is>
          <t>avverkningsanmälan</t>
        </is>
      </c>
      <c r="C441" t="inlineStr">
        <is>
          <t>Föryngringsavverkning</t>
        </is>
      </c>
      <c r="D441" s="1" t="n">
        <v>46148</v>
      </c>
      <c r="E441" s="1" t="n">
        <v>46219</v>
      </c>
      <c r="F441" t="inlineStr">
        <is>
          <t>VÄSTRA GÖTALANDS LÄN</t>
        </is>
      </c>
      <c r="G441" t="inlineStr">
        <is>
          <t>DALS-ED</t>
        </is>
      </c>
      <c r="I441" t="n">
        <v>5</v>
      </c>
      <c r="J441" t="n">
        <v>0</v>
      </c>
      <c r="K441" t="n">
        <v>0</v>
      </c>
      <c r="L441" t="n">
        <v>0</v>
      </c>
      <c r="M441" t="n">
        <v>0</v>
      </c>
      <c r="N441" t="n">
        <v>0</v>
      </c>
      <c r="O441" t="n">
        <v>0</v>
      </c>
      <c r="P441" t="n">
        <v>0</v>
      </c>
      <c r="Q441" t="n">
        <v>0</v>
      </c>
      <c r="R441" t="n">
        <v>0</v>
      </c>
      <c r="S441" t="n">
        <v>0</v>
      </c>
      <c r="T441" t="n">
        <v>0</v>
      </c>
      <c r="U441" s="2" t="inlineStr"/>
    </row>
    <row r="442" ht="15" customHeight="1">
      <c r="A442" t="inlineStr">
        <is>
          <t>A 22135-2026</t>
        </is>
      </c>
      <c r="B442" t="inlineStr">
        <is>
          <t>avverkningsanmälan</t>
        </is>
      </c>
      <c r="C442" t="inlineStr">
        <is>
          <t>Föryngringsavverkning</t>
        </is>
      </c>
      <c r="D442" s="1" t="n">
        <v>46153</v>
      </c>
      <c r="E442" s="1" t="n">
        <v>46219</v>
      </c>
      <c r="F442" t="inlineStr">
        <is>
          <t>VÄSTRA GÖTALANDS LÄN</t>
        </is>
      </c>
      <c r="G442" t="inlineStr">
        <is>
          <t>DALS-ED</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22125-2026</t>
        </is>
      </c>
      <c r="B443" t="inlineStr">
        <is>
          <t>avverkningsanmälan</t>
        </is>
      </c>
      <c r="C443" t="inlineStr">
        <is>
          <t>Föryngringsavverkning</t>
        </is>
      </c>
      <c r="D443" s="1" t="n">
        <v>46153</v>
      </c>
      <c r="E443" s="1" t="n">
        <v>46219</v>
      </c>
      <c r="F443" t="inlineStr">
        <is>
          <t>VÄSTRA GÖTALANDS LÄN</t>
        </is>
      </c>
      <c r="G443" t="inlineStr">
        <is>
          <t>DALS-ED</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22131-2026</t>
        </is>
      </c>
      <c r="B444" t="inlineStr">
        <is>
          <t>avverkningsanmälan</t>
        </is>
      </c>
      <c r="C444" t="inlineStr">
        <is>
          <t>Föryngringsavverkning</t>
        </is>
      </c>
      <c r="D444" s="1" t="n">
        <v>46153</v>
      </c>
      <c r="E444" s="1" t="n">
        <v>46219</v>
      </c>
      <c r="F444" t="inlineStr">
        <is>
          <t>VÄSTRA GÖTALANDS LÄN</t>
        </is>
      </c>
      <c r="G444" t="inlineStr">
        <is>
          <t>DALS-ED</t>
        </is>
      </c>
      <c r="I444" t="n">
        <v>4.3</v>
      </c>
      <c r="J444" t="n">
        <v>0</v>
      </c>
      <c r="K444" t="n">
        <v>0</v>
      </c>
      <c r="L444" t="n">
        <v>0</v>
      </c>
      <c r="M444" t="n">
        <v>0</v>
      </c>
      <c r="N444" t="n">
        <v>0</v>
      </c>
      <c r="O444" t="n">
        <v>0</v>
      </c>
      <c r="P444" t="n">
        <v>0</v>
      </c>
      <c r="Q444" t="n">
        <v>0</v>
      </c>
      <c r="R444" t="n">
        <v>0</v>
      </c>
      <c r="S444" t="n">
        <v>0</v>
      </c>
      <c r="T444" t="n">
        <v>0</v>
      </c>
      <c r="U444" s="2" t="inlineStr"/>
    </row>
    <row r="445" ht="15" customHeight="1">
      <c r="A445" t="inlineStr">
        <is>
          <t>A 22941-2026</t>
        </is>
      </c>
      <c r="B445" t="inlineStr">
        <is>
          <t>avverkningsanmälan</t>
        </is>
      </c>
      <c r="C445" t="inlineStr">
        <is>
          <t>Föryngringsavverkning</t>
        </is>
      </c>
      <c r="D445" s="1" t="n">
        <v>46160</v>
      </c>
      <c r="E445" s="1" t="n">
        <v>46219</v>
      </c>
      <c r="F445" t="inlineStr">
        <is>
          <t>VÄSTRA GÖTALANDS LÄN</t>
        </is>
      </c>
      <c r="G445" t="inlineStr">
        <is>
          <t>DALS-ED</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38579-2024</t>
        </is>
      </c>
      <c r="B446" t="inlineStr">
        <is>
          <t>avverkningsanmälan</t>
        </is>
      </c>
      <c r="C446" t="inlineStr">
        <is>
          <t>Föryngringsavverkning</t>
        </is>
      </c>
      <c r="D446" s="1" t="n">
        <v>45546</v>
      </c>
      <c r="E446" s="1" t="n">
        <v>46219</v>
      </c>
      <c r="F446" t="inlineStr">
        <is>
          <t>VÄSTRA GÖTALANDS LÄN</t>
        </is>
      </c>
      <c r="G446" t="inlineStr">
        <is>
          <t>DALS-ED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13686-2025</t>
        </is>
      </c>
      <c r="B447" t="inlineStr">
        <is>
          <t>avverkningsanmälan</t>
        </is>
      </c>
      <c r="C447" t="inlineStr">
        <is>
          <t>Föryngringsavverkning</t>
        </is>
      </c>
      <c r="D447" s="1" t="n">
        <v>45737</v>
      </c>
      <c r="E447" s="1" t="n">
        <v>46219</v>
      </c>
      <c r="F447" t="inlineStr">
        <is>
          <t>VÄSTRA GÖTALANDS LÄN</t>
        </is>
      </c>
      <c r="G447" t="inlineStr">
        <is>
          <t>DALS-ED</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49901-2025</t>
        </is>
      </c>
      <c r="B448" t="inlineStr">
        <is>
          <t>avverkningsanmälan</t>
        </is>
      </c>
      <c r="C448" t="inlineStr">
        <is>
          <t>Föryngringsavverkning</t>
        </is>
      </c>
      <c r="D448" s="1" t="n">
        <v>45940</v>
      </c>
      <c r="E448" s="1" t="n">
        <v>46219</v>
      </c>
      <c r="F448" t="inlineStr">
        <is>
          <t>VÄSTRA GÖTALANDS LÄN</t>
        </is>
      </c>
      <c r="G448" t="inlineStr">
        <is>
          <t>DALS-ED</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S 1024-2022</t>
        </is>
      </c>
      <c r="B449" t="inlineStr">
        <is>
          <t>samrådsanmälan</t>
        </is>
      </c>
      <c r="C449" t="inlineStr">
        <is>
          <t>Åtgärd i nyckelbiotop</t>
        </is>
      </c>
      <c r="D449" s="1" t="n">
        <v>44613</v>
      </c>
      <c r="E449" s="1" t="n">
        <v>46219</v>
      </c>
      <c r="F449" t="inlineStr">
        <is>
          <t>VÄSTRA GÖTALANDS LÄN</t>
        </is>
      </c>
      <c r="G449" t="inlineStr">
        <is>
          <t>DALS-ED</t>
        </is>
      </c>
      <c r="H449" t="inlineStr">
        <is>
          <t>Kommuner</t>
        </is>
      </c>
      <c r="I449" t="n">
        <v>0.2</v>
      </c>
      <c r="J449" t="n">
        <v>0</v>
      </c>
      <c r="K449" t="n">
        <v>0</v>
      </c>
      <c r="L449" t="n">
        <v>0</v>
      </c>
      <c r="M449" t="n">
        <v>0</v>
      </c>
      <c r="N449" t="n">
        <v>0</v>
      </c>
      <c r="O449" t="n">
        <v>0</v>
      </c>
      <c r="P449" t="n">
        <v>0</v>
      </c>
      <c r="Q449" t="n">
        <v>0</v>
      </c>
      <c r="R449" t="n">
        <v>0</v>
      </c>
      <c r="S449" t="n">
        <v>0</v>
      </c>
      <c r="T449" t="n">
        <v>0</v>
      </c>
      <c r="U449" s="2" t="inlineStr"/>
    </row>
    <row r="450" ht="15" customHeight="1">
      <c r="A450" t="inlineStr">
        <is>
          <t>S 4983-2022</t>
        </is>
      </c>
      <c r="B450" t="inlineStr">
        <is>
          <t>samrådsanmälan</t>
        </is>
      </c>
      <c r="C450" t="inlineStr">
        <is>
          <t>Annan skogsbruksåtgärd</t>
        </is>
      </c>
      <c r="D450" s="1" t="n">
        <v>44812</v>
      </c>
      <c r="E450" s="1" t="n">
        <v>46219</v>
      </c>
      <c r="F450" t="inlineStr">
        <is>
          <t>VÄSTRA GÖTALANDS LÄN</t>
        </is>
      </c>
      <c r="G450" t="inlineStr">
        <is>
          <t>DALS-ED</t>
        </is>
      </c>
      <c r="H450" t="inlineStr">
        <is>
          <t>Kyrkan</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S 4471-2021</t>
        </is>
      </c>
      <c r="B451" t="inlineStr">
        <is>
          <t>samrådsanmälan</t>
        </is>
      </c>
      <c r="C451" t="inlineStr">
        <is>
          <t>Skogsbilväg</t>
        </is>
      </c>
      <c r="D451" s="1" t="n">
        <v>44399</v>
      </c>
      <c r="E451" s="1" t="n">
        <v>46219</v>
      </c>
      <c r="F451" t="inlineStr">
        <is>
          <t>VÄSTRA GÖTALANDS LÄN</t>
        </is>
      </c>
      <c r="G451" t="inlineStr">
        <is>
          <t>DALS-ED</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S 2178-2021</t>
        </is>
      </c>
      <c r="B452" t="inlineStr">
        <is>
          <t>samrådsanmälan</t>
        </is>
      </c>
      <c r="C452" t="inlineStr">
        <is>
          <t>Skogsbilväg</t>
        </is>
      </c>
      <c r="D452" s="1" t="n">
        <v>44448</v>
      </c>
      <c r="E452" s="1" t="n">
        <v>46219</v>
      </c>
      <c r="F452" t="inlineStr">
        <is>
          <t>VÄSTRA GÖTALANDS LÄN</t>
        </is>
      </c>
      <c r="G452" t="inlineStr">
        <is>
          <t>DALS-ED</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S 6073-2021</t>
        </is>
      </c>
      <c r="B453" t="inlineStr">
        <is>
          <t>samrådsanmälan</t>
        </is>
      </c>
      <c r="C453" t="inlineStr">
        <is>
          <t>Basväg</t>
        </is>
      </c>
      <c r="D453" s="1" t="n">
        <v>44442</v>
      </c>
      <c r="E453" s="1" t="n">
        <v>46219</v>
      </c>
      <c r="F453" t="inlineStr">
        <is>
          <t>VÄSTRA GÖTALANDS LÄN</t>
        </is>
      </c>
      <c r="G453" t="inlineStr">
        <is>
          <t>DALS-ED</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S 78-2025</t>
        </is>
      </c>
      <c r="B454" t="inlineStr">
        <is>
          <t>samrådsanmälan</t>
        </is>
      </c>
      <c r="C454" t="inlineStr">
        <is>
          <t>Annan skogsbruksåtgärd</t>
        </is>
      </c>
      <c r="D454" s="1" t="n">
        <v>45670</v>
      </c>
      <c r="E454" s="1" t="n">
        <v>46219</v>
      </c>
      <c r="F454" t="inlineStr">
        <is>
          <t>VÄSTRA GÖTALANDS LÄN</t>
        </is>
      </c>
      <c r="G454" t="inlineStr">
        <is>
          <t>DALS-ED</t>
        </is>
      </c>
      <c r="I454" t="n">
        <v>0.2</v>
      </c>
      <c r="J454" t="n">
        <v>0</v>
      </c>
      <c r="K454" t="n">
        <v>0</v>
      </c>
      <c r="L454" t="n">
        <v>0</v>
      </c>
      <c r="M454" t="n">
        <v>0</v>
      </c>
      <c r="N454" t="n">
        <v>0</v>
      </c>
      <c r="O454" t="n">
        <v>0</v>
      </c>
      <c r="P454" t="n">
        <v>0</v>
      </c>
      <c r="Q454" t="n">
        <v>0</v>
      </c>
      <c r="R454" t="n">
        <v>0</v>
      </c>
      <c r="S454" t="n">
        <v>0</v>
      </c>
      <c r="T454" t="n">
        <v>0</v>
      </c>
      <c r="U454" s="2" t="inlineStr"/>
    </row>
    <row r="455" ht="15" customHeight="1">
      <c r="A455" t="inlineStr">
        <is>
          <t>S 4474-2021</t>
        </is>
      </c>
      <c r="B455" t="inlineStr">
        <is>
          <t>samrådsanmälan</t>
        </is>
      </c>
      <c r="C455" t="inlineStr">
        <is>
          <t>Skogsbilväg</t>
        </is>
      </c>
      <c r="D455" s="1" t="n">
        <v>44399</v>
      </c>
      <c r="E455" s="1" t="n">
        <v>46219</v>
      </c>
      <c r="F455" t="inlineStr">
        <is>
          <t>VÄSTRA GÖTALANDS LÄN</t>
        </is>
      </c>
      <c r="G455" t="inlineStr">
        <is>
          <t>DALS-ED</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S 6214-2021</t>
        </is>
      </c>
      <c r="B456" t="inlineStr">
        <is>
          <t>samrådsanmälan</t>
        </is>
      </c>
      <c r="C456" t="inlineStr">
        <is>
          <t>Skogsbilväg</t>
        </is>
      </c>
      <c r="D456" s="1" t="n">
        <v>44446</v>
      </c>
      <c r="E456" s="1" t="n">
        <v>46219</v>
      </c>
      <c r="F456" t="inlineStr">
        <is>
          <t>VÄSTRA GÖTALANDS LÄN</t>
        </is>
      </c>
      <c r="G456" t="inlineStr">
        <is>
          <t>DALS-ED</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S 2720-2024</t>
        </is>
      </c>
      <c r="B457" t="inlineStr">
        <is>
          <t>samrådsanmälan</t>
        </is>
      </c>
      <c r="C457" t="inlineStr">
        <is>
          <t>Askåterföring</t>
        </is>
      </c>
      <c r="D457" s="1" t="n">
        <v>45483</v>
      </c>
      <c r="E457" s="1" t="n">
        <v>46219</v>
      </c>
      <c r="F457" t="inlineStr">
        <is>
          <t>VÄSTRA GÖTALANDS LÄN</t>
        </is>
      </c>
      <c r="G457" t="inlineStr">
        <is>
          <t>DALS-ED</t>
        </is>
      </c>
      <c r="I457" t="n">
        <v>22.1</v>
      </c>
      <c r="J457" t="n">
        <v>0</v>
      </c>
      <c r="K457" t="n">
        <v>0</v>
      </c>
      <c r="L457" t="n">
        <v>0</v>
      </c>
      <c r="M457" t="n">
        <v>0</v>
      </c>
      <c r="N457" t="n">
        <v>0</v>
      </c>
      <c r="O457" t="n">
        <v>0</v>
      </c>
      <c r="P457" t="n">
        <v>0</v>
      </c>
      <c r="Q457" t="n">
        <v>0</v>
      </c>
      <c r="R457" t="n">
        <v>0</v>
      </c>
      <c r="S457" t="n">
        <v>0</v>
      </c>
      <c r="T457" t="n">
        <v>0</v>
      </c>
      <c r="U457" s="2" t="inlineStr"/>
    </row>
    <row r="458">
      <c r="A458" t="inlineStr">
        <is>
          <t>S 680-2025</t>
        </is>
      </c>
      <c r="B458" t="inlineStr">
        <is>
          <t>samrådsanmälan</t>
        </is>
      </c>
      <c r="C458" t="inlineStr">
        <is>
          <t>Annan skogsbruksåtgärd</t>
        </is>
      </c>
      <c r="D458" s="1" t="n">
        <v>45717</v>
      </c>
      <c r="E458" s="1" t="n">
        <v>46219</v>
      </c>
      <c r="F458" t="inlineStr">
        <is>
          <t>VÄSTRA GÖTALANDS LÄN</t>
        </is>
      </c>
      <c r="G458" t="inlineStr">
        <is>
          <t>DALS-ED</t>
        </is>
      </c>
      <c r="I458" t="n">
        <v>10.4</v>
      </c>
      <c r="J458" t="n">
        <v>0</v>
      </c>
      <c r="K458" t="n">
        <v>0</v>
      </c>
      <c r="L458" t="n">
        <v>0</v>
      </c>
      <c r="M458" t="n">
        <v>0</v>
      </c>
      <c r="N458" t="n">
        <v>0</v>
      </c>
      <c r="O458" t="n">
        <v>0</v>
      </c>
      <c r="P458" t="n">
        <v>0</v>
      </c>
      <c r="Q458" t="n">
        <v>0</v>
      </c>
      <c r="R458" t="n">
        <v>0</v>
      </c>
      <c r="S458" t="n">
        <v>0</v>
      </c>
      <c r="T458" t="n">
        <v>0</v>
      </c>
      <c r="U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2026-07-16T01:27:05Z</dcterms:created>
  <dcterms:modified xmlns:dcterms="http://purl.org/dc/terms/" xmlns:xsi="http://www.w3.org/2001/XMLSchema-instance" xsi:type="dcterms:W3CDTF">2026-07-16T01:27:06Z</dcterms:modified>
</cp:coreProperties>
</file>