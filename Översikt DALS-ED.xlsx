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46074</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46074</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46074</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46074</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46074</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46074</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46074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46074</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46074</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46074</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46074</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46074</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46074</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46074</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46074</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46074</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46074</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46074</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46074</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172-2024</t>
        </is>
      </c>
      <c r="B31" s="1" t="n">
        <v>45294</v>
      </c>
      <c r="C31" s="1" t="n">
        <v>46074</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61742-2023</t>
        </is>
      </c>
      <c r="B32" s="1" t="n">
        <v>45265</v>
      </c>
      <c r="C32" s="1" t="n">
        <v>46074</v>
      </c>
      <c r="D32" t="inlineStr">
        <is>
          <t>VÄSTRA GÖTALANDS LÄN</t>
        </is>
      </c>
      <c r="E32" t="inlineStr">
        <is>
          <t>DALS-ED</t>
        </is>
      </c>
      <c r="G32" t="n">
        <v>0.6</v>
      </c>
      <c r="H32" t="n">
        <v>0</v>
      </c>
      <c r="I32" t="n">
        <v>1</v>
      </c>
      <c r="J32" t="n">
        <v>0</v>
      </c>
      <c r="K32" t="n">
        <v>0</v>
      </c>
      <c r="L32" t="n">
        <v>0</v>
      </c>
      <c r="M32" t="n">
        <v>0</v>
      </c>
      <c r="N32" t="n">
        <v>0</v>
      </c>
      <c r="O32" t="n">
        <v>0</v>
      </c>
      <c r="P32" t="n">
        <v>0</v>
      </c>
      <c r="Q32" t="n">
        <v>1</v>
      </c>
      <c r="R32" s="2" t="inlineStr">
        <is>
          <t>Björksplintborre</t>
        </is>
      </c>
      <c r="S32">
        <f>HYPERLINK("https://klasma.github.io/Logging_1438/artfynd/A 61742-2023 artfynd.xlsx", "A 61742-2023")</f>
        <v/>
      </c>
      <c r="T32">
        <f>HYPERLINK("https://klasma.github.io/Logging_1438/kartor/A 61742-2023 karta.png", "A 61742-2023")</f>
        <v/>
      </c>
      <c r="V32">
        <f>HYPERLINK("https://klasma.github.io/Logging_1438/klagomål/A 61742-2023 FSC-klagomål.docx", "A 61742-2023")</f>
        <v/>
      </c>
      <c r="W32">
        <f>HYPERLINK("https://klasma.github.io/Logging_1438/klagomålsmail/A 61742-2023 FSC-klagomål mail.docx", "A 61742-2023")</f>
        <v/>
      </c>
      <c r="X32">
        <f>HYPERLINK("https://klasma.github.io/Logging_1438/tillsyn/A 61742-2023 tillsynsbegäran.docx", "A 61742-2023")</f>
        <v/>
      </c>
      <c r="Y32">
        <f>HYPERLINK("https://klasma.github.io/Logging_1438/tillsynsmail/A 61742-2023 tillsynsbegäran mail.docx", "A 61742-2023")</f>
        <v/>
      </c>
    </row>
    <row r="33" ht="15" customHeight="1">
      <c r="A33" t="inlineStr">
        <is>
          <t>A 40355-2022</t>
        </is>
      </c>
      <c r="B33" s="1" t="n">
        <v>44818</v>
      </c>
      <c r="C33" s="1" t="n">
        <v>46074</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27871-2024</t>
        </is>
      </c>
      <c r="B34" s="1" t="n">
        <v>45475.71474537037</v>
      </c>
      <c r="C34" s="1" t="n">
        <v>46074</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45475.74412037037</v>
      </c>
      <c r="C35" s="1" t="n">
        <v>46074</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47656-2024</t>
        </is>
      </c>
      <c r="B36" s="1" t="n">
        <v>45588.3856712963</v>
      </c>
      <c r="C36" s="1" t="n">
        <v>46074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45014.60708333334</v>
      </c>
      <c r="C37" s="1" t="n">
        <v>46074</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43216-2023</t>
        </is>
      </c>
      <c r="B38" s="1" t="n">
        <v>45183</v>
      </c>
      <c r="C38" s="1" t="n">
        <v>46074</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46074</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46074</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46074</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63192-2021</t>
        </is>
      </c>
      <c r="B42" s="1" t="n">
        <v>44507.63101851852</v>
      </c>
      <c r="C42" s="1" t="n">
        <v>46074</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46074</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46074</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46074</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46074</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46074</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46074</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46074</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46074</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46074</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46074</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46074</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46074</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46074</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46074</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46074</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46074</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46074</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46074</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46074</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46074</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46074</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46074</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46074</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46074</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46074</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46074</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46074</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46074</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23317-2022</t>
        </is>
      </c>
      <c r="B76" s="1" t="n">
        <v>44720.48855324074</v>
      </c>
      <c r="C76" s="1" t="n">
        <v>46074</v>
      </c>
      <c r="D76" t="inlineStr">
        <is>
          <t>VÄSTRA GÖTALANDS LÄN</t>
        </is>
      </c>
      <c r="E76" t="inlineStr">
        <is>
          <t>DALS-ED</t>
        </is>
      </c>
      <c r="G76" t="n">
        <v>6.9</v>
      </c>
      <c r="H76" t="n">
        <v>0</v>
      </c>
      <c r="I76" t="n">
        <v>0</v>
      </c>
      <c r="J76" t="n">
        <v>0</v>
      </c>
      <c r="K76" t="n">
        <v>0</v>
      </c>
      <c r="L76" t="n">
        <v>0</v>
      </c>
      <c r="M76" t="n">
        <v>0</v>
      </c>
      <c r="N76" t="n">
        <v>0</v>
      </c>
      <c r="O76" t="n">
        <v>0</v>
      </c>
      <c r="P76" t="n">
        <v>0</v>
      </c>
      <c r="Q76" t="n">
        <v>0</v>
      </c>
      <c r="R76" s="2" t="inlineStr"/>
    </row>
    <row r="77" ht="15" customHeight="1">
      <c r="A77" t="inlineStr">
        <is>
          <t>A 33190-2021</t>
        </is>
      </c>
      <c r="B77" s="1" t="n">
        <v>44376.87699074074</v>
      </c>
      <c r="C77" s="1" t="n">
        <v>46074</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46074</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46074</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46074</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46074</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46074</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46074</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46074</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46074</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46074</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46074</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46074</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46074</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46074</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46074</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46074</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46074</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46074</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46074</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46074</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46074</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47092-2023</t>
        </is>
      </c>
      <c r="B99" s="1" t="n">
        <v>45201</v>
      </c>
      <c r="C99" s="1" t="n">
        <v>46074</v>
      </c>
      <c r="D99" t="inlineStr">
        <is>
          <t>VÄSTRA GÖTALANDS LÄN</t>
        </is>
      </c>
      <c r="E99" t="inlineStr">
        <is>
          <t>DALS-ED</t>
        </is>
      </c>
      <c r="G99" t="n">
        <v>1.9</v>
      </c>
      <c r="H99" t="n">
        <v>0</v>
      </c>
      <c r="I99" t="n">
        <v>0</v>
      </c>
      <c r="J99" t="n">
        <v>0</v>
      </c>
      <c r="K99" t="n">
        <v>0</v>
      </c>
      <c r="L99" t="n">
        <v>0</v>
      </c>
      <c r="M99" t="n">
        <v>0</v>
      </c>
      <c r="N99" t="n">
        <v>0</v>
      </c>
      <c r="O99" t="n">
        <v>0</v>
      </c>
      <c r="P99" t="n">
        <v>0</v>
      </c>
      <c r="Q99" t="n">
        <v>0</v>
      </c>
      <c r="R99" s="2" t="inlineStr"/>
    </row>
    <row r="100" ht="15" customHeight="1">
      <c r="A100" t="inlineStr">
        <is>
          <t>A 42823-2023</t>
        </is>
      </c>
      <c r="B100" s="1" t="n">
        <v>45182.36677083333</v>
      </c>
      <c r="C100" s="1" t="n">
        <v>46074</v>
      </c>
      <c r="D100" t="inlineStr">
        <is>
          <t>VÄSTRA GÖTALANDS LÄN</t>
        </is>
      </c>
      <c r="E100" t="inlineStr">
        <is>
          <t>DALS-ED</t>
        </is>
      </c>
      <c r="G100" t="n">
        <v>1.8</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46074</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31909-2023</t>
        </is>
      </c>
      <c r="B102" s="1" t="n">
        <v>45118.91273148148</v>
      </c>
      <c r="C102" s="1" t="n">
        <v>46074</v>
      </c>
      <c r="D102" t="inlineStr">
        <is>
          <t>VÄSTRA GÖTALANDS LÄN</t>
        </is>
      </c>
      <c r="E102" t="inlineStr">
        <is>
          <t>DALS-ED</t>
        </is>
      </c>
      <c r="G102" t="n">
        <v>6.1</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46074</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46074</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46074</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46074</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47617-2023</t>
        </is>
      </c>
      <c r="B107" s="1" t="n">
        <v>45198</v>
      </c>
      <c r="C107" s="1" t="n">
        <v>46074</v>
      </c>
      <c r="D107" t="inlineStr">
        <is>
          <t>VÄSTRA GÖTALANDS LÄN</t>
        </is>
      </c>
      <c r="E107" t="inlineStr">
        <is>
          <t>DALS-ED</t>
        </is>
      </c>
      <c r="G107" t="n">
        <v>6</v>
      </c>
      <c r="H107" t="n">
        <v>0</v>
      </c>
      <c r="I107" t="n">
        <v>0</v>
      </c>
      <c r="J107" t="n">
        <v>0</v>
      </c>
      <c r="K107" t="n">
        <v>0</v>
      </c>
      <c r="L107" t="n">
        <v>0</v>
      </c>
      <c r="M107" t="n">
        <v>0</v>
      </c>
      <c r="N107" t="n">
        <v>0</v>
      </c>
      <c r="O107" t="n">
        <v>0</v>
      </c>
      <c r="P107" t="n">
        <v>0</v>
      </c>
      <c r="Q107" t="n">
        <v>0</v>
      </c>
      <c r="R107" s="2" t="inlineStr"/>
    </row>
    <row r="108" ht="15" customHeight="1">
      <c r="A108" t="inlineStr">
        <is>
          <t>A 38347-2023</t>
        </is>
      </c>
      <c r="B108" s="1" t="n">
        <v>45161.90960648148</v>
      </c>
      <c r="C108" s="1" t="n">
        <v>46074</v>
      </c>
      <c r="D108" t="inlineStr">
        <is>
          <t>VÄSTRA GÖTALANDS LÄN</t>
        </is>
      </c>
      <c r="E108" t="inlineStr">
        <is>
          <t>DALS-ED</t>
        </is>
      </c>
      <c r="F108" t="inlineStr">
        <is>
          <t>Kommuner</t>
        </is>
      </c>
      <c r="G108" t="n">
        <v>2.3</v>
      </c>
      <c r="H108" t="n">
        <v>0</v>
      </c>
      <c r="I108" t="n">
        <v>0</v>
      </c>
      <c r="J108" t="n">
        <v>0</v>
      </c>
      <c r="K108" t="n">
        <v>0</v>
      </c>
      <c r="L108" t="n">
        <v>0</v>
      </c>
      <c r="M108" t="n">
        <v>0</v>
      </c>
      <c r="N108" t="n">
        <v>0</v>
      </c>
      <c r="O108" t="n">
        <v>0</v>
      </c>
      <c r="P108" t="n">
        <v>0</v>
      </c>
      <c r="Q108" t="n">
        <v>0</v>
      </c>
      <c r="R108" s="2" t="inlineStr"/>
    </row>
    <row r="109" ht="15" customHeight="1">
      <c r="A109" t="inlineStr">
        <is>
          <t>A 12693-2024</t>
        </is>
      </c>
      <c r="B109" s="1" t="n">
        <v>45384.43790509259</v>
      </c>
      <c r="C109" s="1" t="n">
        <v>46074</v>
      </c>
      <c r="D109" t="inlineStr">
        <is>
          <t>VÄSTRA GÖTALANDS LÄN</t>
        </is>
      </c>
      <c r="E109" t="inlineStr">
        <is>
          <t>DALS-ED</t>
        </is>
      </c>
      <c r="G109" t="n">
        <v>2</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46074</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46074</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46074</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46074</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46074</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46074</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9292-2024</t>
        </is>
      </c>
      <c r="B116" s="1" t="n">
        <v>45358.67704861111</v>
      </c>
      <c r="C116" s="1" t="n">
        <v>46074</v>
      </c>
      <c r="D116" t="inlineStr">
        <is>
          <t>VÄSTRA GÖTALANDS LÄN</t>
        </is>
      </c>
      <c r="E116" t="inlineStr">
        <is>
          <t>DALS-ED</t>
        </is>
      </c>
      <c r="F116" t="inlineStr">
        <is>
          <t>Övriga Aktiebolag</t>
        </is>
      </c>
      <c r="G116" t="n">
        <v>26.4</v>
      </c>
      <c r="H116" t="n">
        <v>0</v>
      </c>
      <c r="I116" t="n">
        <v>0</v>
      </c>
      <c r="J116" t="n">
        <v>0</v>
      </c>
      <c r="K116" t="n">
        <v>0</v>
      </c>
      <c r="L116" t="n">
        <v>0</v>
      </c>
      <c r="M116" t="n">
        <v>0</v>
      </c>
      <c r="N116" t="n">
        <v>0</v>
      </c>
      <c r="O116" t="n">
        <v>0</v>
      </c>
      <c r="P116" t="n">
        <v>0</v>
      </c>
      <c r="Q116" t="n">
        <v>0</v>
      </c>
      <c r="R116" s="2" t="inlineStr"/>
    </row>
    <row r="117" ht="15" customHeight="1">
      <c r="A117" t="inlineStr">
        <is>
          <t>A 12844-2024</t>
        </is>
      </c>
      <c r="B117" s="1" t="n">
        <v>45384.79944444444</v>
      </c>
      <c r="C117" s="1" t="n">
        <v>46074</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17144-2024</t>
        </is>
      </c>
      <c r="B118" s="1" t="n">
        <v>45412.63944444444</v>
      </c>
      <c r="C118" s="1" t="n">
        <v>46074</v>
      </c>
      <c r="D118" t="inlineStr">
        <is>
          <t>VÄSTRA GÖTALANDS LÄN</t>
        </is>
      </c>
      <c r="E118" t="inlineStr">
        <is>
          <t>DALS-ED</t>
        </is>
      </c>
      <c r="G118" t="n">
        <v>0.4</v>
      </c>
      <c r="H118" t="n">
        <v>0</v>
      </c>
      <c r="I118" t="n">
        <v>0</v>
      </c>
      <c r="J118" t="n">
        <v>0</v>
      </c>
      <c r="K118" t="n">
        <v>0</v>
      </c>
      <c r="L118" t="n">
        <v>0</v>
      </c>
      <c r="M118" t="n">
        <v>0</v>
      </c>
      <c r="N118" t="n">
        <v>0</v>
      </c>
      <c r="O118" t="n">
        <v>0</v>
      </c>
      <c r="P118" t="n">
        <v>0</v>
      </c>
      <c r="Q118" t="n">
        <v>0</v>
      </c>
      <c r="R118" s="2" t="inlineStr"/>
    </row>
    <row r="119" ht="15" customHeight="1">
      <c r="A119" t="inlineStr">
        <is>
          <t>A 4368-2024</t>
        </is>
      </c>
      <c r="B119" s="1" t="n">
        <v>45326.61966435185</v>
      </c>
      <c r="C119" s="1" t="n">
        <v>46074</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36464-2023</t>
        </is>
      </c>
      <c r="B120" s="1" t="n">
        <v>45151</v>
      </c>
      <c r="C120" s="1" t="n">
        <v>46074</v>
      </c>
      <c r="D120" t="inlineStr">
        <is>
          <t>VÄSTRA GÖTALANDS LÄN</t>
        </is>
      </c>
      <c r="E120" t="inlineStr">
        <is>
          <t>DALS-ED</t>
        </is>
      </c>
      <c r="G120" t="n">
        <v>6.2</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46074</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62849-2021</t>
        </is>
      </c>
      <c r="B122" s="1" t="n">
        <v>44504</v>
      </c>
      <c r="C122" s="1" t="n">
        <v>46074</v>
      </c>
      <c r="D122" t="inlineStr">
        <is>
          <t>VÄSTRA GÖTALANDS LÄN</t>
        </is>
      </c>
      <c r="E122" t="inlineStr">
        <is>
          <t>DALS-ED</t>
        </is>
      </c>
      <c r="G122" t="n">
        <v>3.2</v>
      </c>
      <c r="H122" t="n">
        <v>0</v>
      </c>
      <c r="I122" t="n">
        <v>0</v>
      </c>
      <c r="J122" t="n">
        <v>0</v>
      </c>
      <c r="K122" t="n">
        <v>0</v>
      </c>
      <c r="L122" t="n">
        <v>0</v>
      </c>
      <c r="M122" t="n">
        <v>0</v>
      </c>
      <c r="N122" t="n">
        <v>0</v>
      </c>
      <c r="O122" t="n">
        <v>0</v>
      </c>
      <c r="P122" t="n">
        <v>0</v>
      </c>
      <c r="Q122" t="n">
        <v>0</v>
      </c>
      <c r="R122" s="2" t="inlineStr"/>
    </row>
    <row r="123" ht="15" customHeight="1">
      <c r="A123" t="inlineStr">
        <is>
          <t>A 46435-2023</t>
        </is>
      </c>
      <c r="B123" s="1" t="n">
        <v>45197</v>
      </c>
      <c r="C123" s="1" t="n">
        <v>46074</v>
      </c>
      <c r="D123" t="inlineStr">
        <is>
          <t>VÄSTRA GÖTALANDS LÄN</t>
        </is>
      </c>
      <c r="E123" t="inlineStr">
        <is>
          <t>DALS-ED</t>
        </is>
      </c>
      <c r="G123" t="n">
        <v>0.5</v>
      </c>
      <c r="H123" t="n">
        <v>0</v>
      </c>
      <c r="I123" t="n">
        <v>0</v>
      </c>
      <c r="J123" t="n">
        <v>0</v>
      </c>
      <c r="K123" t="n">
        <v>0</v>
      </c>
      <c r="L123" t="n">
        <v>0</v>
      </c>
      <c r="M123" t="n">
        <v>0</v>
      </c>
      <c r="N123" t="n">
        <v>0</v>
      </c>
      <c r="O123" t="n">
        <v>0</v>
      </c>
      <c r="P123" t="n">
        <v>0</v>
      </c>
      <c r="Q123" t="n">
        <v>0</v>
      </c>
      <c r="R123" s="2" t="inlineStr"/>
    </row>
    <row r="124" ht="15" customHeight="1">
      <c r="A124" t="inlineStr">
        <is>
          <t>A 47434-2024</t>
        </is>
      </c>
      <c r="B124" s="1" t="n">
        <v>45587.52200231481</v>
      </c>
      <c r="C124" s="1" t="n">
        <v>46074</v>
      </c>
      <c r="D124" t="inlineStr">
        <is>
          <t>VÄSTRA GÖTALANDS LÄN</t>
        </is>
      </c>
      <c r="E124" t="inlineStr">
        <is>
          <t>DALS-ED</t>
        </is>
      </c>
      <c r="G124" t="n">
        <v>2.6</v>
      </c>
      <c r="H124" t="n">
        <v>0</v>
      </c>
      <c r="I124" t="n">
        <v>0</v>
      </c>
      <c r="J124" t="n">
        <v>0</v>
      </c>
      <c r="K124" t="n">
        <v>0</v>
      </c>
      <c r="L124" t="n">
        <v>0</v>
      </c>
      <c r="M124" t="n">
        <v>0</v>
      </c>
      <c r="N124" t="n">
        <v>0</v>
      </c>
      <c r="O124" t="n">
        <v>0</v>
      </c>
      <c r="P124" t="n">
        <v>0</v>
      </c>
      <c r="Q124" t="n">
        <v>0</v>
      </c>
      <c r="R124" s="2" t="inlineStr"/>
    </row>
    <row r="125" ht="15" customHeight="1">
      <c r="A125" t="inlineStr">
        <is>
          <t>A 58354-2024</t>
        </is>
      </c>
      <c r="B125" s="1" t="n">
        <v>45632.6547337963</v>
      </c>
      <c r="C125" s="1" t="n">
        <v>46074</v>
      </c>
      <c r="D125" t="inlineStr">
        <is>
          <t>VÄSTRA GÖTALANDS LÄN</t>
        </is>
      </c>
      <c r="E125" t="inlineStr">
        <is>
          <t>DALS-ED</t>
        </is>
      </c>
      <c r="G125" t="n">
        <v>3.3</v>
      </c>
      <c r="H125" t="n">
        <v>0</v>
      </c>
      <c r="I125" t="n">
        <v>0</v>
      </c>
      <c r="J125" t="n">
        <v>0</v>
      </c>
      <c r="K125" t="n">
        <v>0</v>
      </c>
      <c r="L125" t="n">
        <v>0</v>
      </c>
      <c r="M125" t="n">
        <v>0</v>
      </c>
      <c r="N125" t="n">
        <v>0</v>
      </c>
      <c r="O125" t="n">
        <v>0</v>
      </c>
      <c r="P125" t="n">
        <v>0</v>
      </c>
      <c r="Q125" t="n">
        <v>0</v>
      </c>
      <c r="R125" s="2" t="inlineStr"/>
    </row>
    <row r="126" ht="15" customHeight="1">
      <c r="A126" t="inlineStr">
        <is>
          <t>A 38548-2023</t>
        </is>
      </c>
      <c r="B126" s="1" t="n">
        <v>45162.59163194444</v>
      </c>
      <c r="C126" s="1" t="n">
        <v>46074</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5655-2025</t>
        </is>
      </c>
      <c r="B127" s="1" t="n">
        <v>45693.72674768518</v>
      </c>
      <c r="C127" s="1" t="n">
        <v>46074</v>
      </c>
      <c r="D127" t="inlineStr">
        <is>
          <t>VÄSTRA GÖTALANDS LÄN</t>
        </is>
      </c>
      <c r="E127" t="inlineStr">
        <is>
          <t>DALS-ED</t>
        </is>
      </c>
      <c r="G127" t="n">
        <v>4.8</v>
      </c>
      <c r="H127" t="n">
        <v>0</v>
      </c>
      <c r="I127" t="n">
        <v>0</v>
      </c>
      <c r="J127" t="n">
        <v>0</v>
      </c>
      <c r="K127" t="n">
        <v>0</v>
      </c>
      <c r="L127" t="n">
        <v>0</v>
      </c>
      <c r="M127" t="n">
        <v>0</v>
      </c>
      <c r="N127" t="n">
        <v>0</v>
      </c>
      <c r="O127" t="n">
        <v>0</v>
      </c>
      <c r="P127" t="n">
        <v>0</v>
      </c>
      <c r="Q127" t="n">
        <v>0</v>
      </c>
      <c r="R127" s="2" t="inlineStr"/>
    </row>
    <row r="128" ht="15" customHeight="1">
      <c r="A128" t="inlineStr">
        <is>
          <t>A 21864-2024</t>
        </is>
      </c>
      <c r="B128" s="1" t="n">
        <v>45443</v>
      </c>
      <c r="C128" s="1" t="n">
        <v>46074</v>
      </c>
      <c r="D128" t="inlineStr">
        <is>
          <t>VÄSTRA GÖTALANDS LÄN</t>
        </is>
      </c>
      <c r="E128" t="inlineStr">
        <is>
          <t>DALS-ED</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27907-2025</t>
        </is>
      </c>
      <c r="B129" s="1" t="n">
        <v>45817.47203703703</v>
      </c>
      <c r="C129" s="1" t="n">
        <v>46074</v>
      </c>
      <c r="D129" t="inlineStr">
        <is>
          <t>VÄSTRA GÖTALANDS LÄN</t>
        </is>
      </c>
      <c r="E129" t="inlineStr">
        <is>
          <t>DALS-ED</t>
        </is>
      </c>
      <c r="G129" t="n">
        <v>5.2</v>
      </c>
      <c r="H129" t="n">
        <v>0</v>
      </c>
      <c r="I129" t="n">
        <v>0</v>
      </c>
      <c r="J129" t="n">
        <v>0</v>
      </c>
      <c r="K129" t="n">
        <v>0</v>
      </c>
      <c r="L129" t="n">
        <v>0</v>
      </c>
      <c r="M129" t="n">
        <v>0</v>
      </c>
      <c r="N129" t="n">
        <v>0</v>
      </c>
      <c r="O129" t="n">
        <v>0</v>
      </c>
      <c r="P129" t="n">
        <v>0</v>
      </c>
      <c r="Q129" t="n">
        <v>0</v>
      </c>
      <c r="R129" s="2" t="inlineStr"/>
    </row>
    <row r="130" ht="15" customHeight="1">
      <c r="A130" t="inlineStr">
        <is>
          <t>A 13026-2023</t>
        </is>
      </c>
      <c r="B130" s="1" t="n">
        <v>45002.33766203704</v>
      </c>
      <c r="C130" s="1" t="n">
        <v>46074</v>
      </c>
      <c r="D130" t="inlineStr">
        <is>
          <t>VÄSTRA GÖTALANDS LÄN</t>
        </is>
      </c>
      <c r="E130" t="inlineStr">
        <is>
          <t>DALS-ED</t>
        </is>
      </c>
      <c r="G130" t="n">
        <v>0.4</v>
      </c>
      <c r="H130" t="n">
        <v>0</v>
      </c>
      <c r="I130" t="n">
        <v>0</v>
      </c>
      <c r="J130" t="n">
        <v>0</v>
      </c>
      <c r="K130" t="n">
        <v>0</v>
      </c>
      <c r="L130" t="n">
        <v>0</v>
      </c>
      <c r="M130" t="n">
        <v>0</v>
      </c>
      <c r="N130" t="n">
        <v>0</v>
      </c>
      <c r="O130" t="n">
        <v>0</v>
      </c>
      <c r="P130" t="n">
        <v>0</v>
      </c>
      <c r="Q130" t="n">
        <v>0</v>
      </c>
      <c r="R130" s="2" t="inlineStr"/>
    </row>
    <row r="131" ht="15" customHeight="1">
      <c r="A131" t="inlineStr">
        <is>
          <t>A 23679-2024</t>
        </is>
      </c>
      <c r="B131" s="1" t="n">
        <v>45454.6241087963</v>
      </c>
      <c r="C131" s="1" t="n">
        <v>46074</v>
      </c>
      <c r="D131" t="inlineStr">
        <is>
          <t>VÄSTRA GÖTALANDS LÄN</t>
        </is>
      </c>
      <c r="E131" t="inlineStr">
        <is>
          <t>DALS-ED</t>
        </is>
      </c>
      <c r="F131" t="inlineStr">
        <is>
          <t>Kyrkan</t>
        </is>
      </c>
      <c r="G131" t="n">
        <v>2.6</v>
      </c>
      <c r="H131" t="n">
        <v>0</v>
      </c>
      <c r="I131" t="n">
        <v>0</v>
      </c>
      <c r="J131" t="n">
        <v>0</v>
      </c>
      <c r="K131" t="n">
        <v>0</v>
      </c>
      <c r="L131" t="n">
        <v>0</v>
      </c>
      <c r="M131" t="n">
        <v>0</v>
      </c>
      <c r="N131" t="n">
        <v>0</v>
      </c>
      <c r="O131" t="n">
        <v>0</v>
      </c>
      <c r="P131" t="n">
        <v>0</v>
      </c>
      <c r="Q131" t="n">
        <v>0</v>
      </c>
      <c r="R131" s="2" t="inlineStr"/>
    </row>
    <row r="132" ht="15" customHeight="1">
      <c r="A132" t="inlineStr">
        <is>
          <t>A 37874-2024</t>
        </is>
      </c>
      <c r="B132" s="1" t="n">
        <v>45544.4146412037</v>
      </c>
      <c r="C132" s="1" t="n">
        <v>46074</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7527-2024</t>
        </is>
      </c>
      <c r="B133" s="1" t="n">
        <v>45348</v>
      </c>
      <c r="C133" s="1" t="n">
        <v>46074</v>
      </c>
      <c r="D133" t="inlineStr">
        <is>
          <t>VÄSTRA GÖTALANDS LÄN</t>
        </is>
      </c>
      <c r="E133" t="inlineStr">
        <is>
          <t>DALS-ED</t>
        </is>
      </c>
      <c r="G133" t="n">
        <v>8.1</v>
      </c>
      <c r="H133" t="n">
        <v>0</v>
      </c>
      <c r="I133" t="n">
        <v>0</v>
      </c>
      <c r="J133" t="n">
        <v>0</v>
      </c>
      <c r="K133" t="n">
        <v>0</v>
      </c>
      <c r="L133" t="n">
        <v>0</v>
      </c>
      <c r="M133" t="n">
        <v>0</v>
      </c>
      <c r="N133" t="n">
        <v>0</v>
      </c>
      <c r="O133" t="n">
        <v>0</v>
      </c>
      <c r="P133" t="n">
        <v>0</v>
      </c>
      <c r="Q133" t="n">
        <v>0</v>
      </c>
      <c r="R133" s="2" t="inlineStr"/>
    </row>
    <row r="134" ht="15" customHeight="1">
      <c r="A134" t="inlineStr">
        <is>
          <t>A 15364-2022</t>
        </is>
      </c>
      <c r="B134" s="1" t="n">
        <v>44659</v>
      </c>
      <c r="C134" s="1" t="n">
        <v>46074</v>
      </c>
      <c r="D134" t="inlineStr">
        <is>
          <t>VÄSTRA GÖTALANDS LÄN</t>
        </is>
      </c>
      <c r="E134" t="inlineStr">
        <is>
          <t>DALS-ED</t>
        </is>
      </c>
      <c r="G134" t="n">
        <v>6.5</v>
      </c>
      <c r="H134" t="n">
        <v>0</v>
      </c>
      <c r="I134" t="n">
        <v>0</v>
      </c>
      <c r="J134" t="n">
        <v>0</v>
      </c>
      <c r="K134" t="n">
        <v>0</v>
      </c>
      <c r="L134" t="n">
        <v>0</v>
      </c>
      <c r="M134" t="n">
        <v>0</v>
      </c>
      <c r="N134" t="n">
        <v>0</v>
      </c>
      <c r="O134" t="n">
        <v>0</v>
      </c>
      <c r="P134" t="n">
        <v>0</v>
      </c>
      <c r="Q134" t="n">
        <v>0</v>
      </c>
      <c r="R134" s="2" t="inlineStr"/>
    </row>
    <row r="135" ht="15" customHeight="1">
      <c r="A135" t="inlineStr">
        <is>
          <t>A 28414-2025</t>
        </is>
      </c>
      <c r="B135" s="1" t="n">
        <v>45819.35086805555</v>
      </c>
      <c r="C135" s="1" t="n">
        <v>46074</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20265-2025</t>
        </is>
      </c>
      <c r="B136" s="1" t="n">
        <v>45773.45891203704</v>
      </c>
      <c r="C136" s="1" t="n">
        <v>46074</v>
      </c>
      <c r="D136" t="inlineStr">
        <is>
          <t>VÄSTRA GÖTALANDS LÄN</t>
        </is>
      </c>
      <c r="E136" t="inlineStr">
        <is>
          <t>DALS-ED</t>
        </is>
      </c>
      <c r="G136" t="n">
        <v>1.3</v>
      </c>
      <c r="H136" t="n">
        <v>0</v>
      </c>
      <c r="I136" t="n">
        <v>0</v>
      </c>
      <c r="J136" t="n">
        <v>0</v>
      </c>
      <c r="K136" t="n">
        <v>0</v>
      </c>
      <c r="L136" t="n">
        <v>0</v>
      </c>
      <c r="M136" t="n">
        <v>0</v>
      </c>
      <c r="N136" t="n">
        <v>0</v>
      </c>
      <c r="O136" t="n">
        <v>0</v>
      </c>
      <c r="P136" t="n">
        <v>0</v>
      </c>
      <c r="Q136" t="n">
        <v>0</v>
      </c>
      <c r="R136" s="2" t="inlineStr"/>
    </row>
    <row r="137" ht="15" customHeight="1">
      <c r="A137" t="inlineStr">
        <is>
          <t>A 38810-2025</t>
        </is>
      </c>
      <c r="B137" s="1" t="n">
        <v>45887.47719907408</v>
      </c>
      <c r="C137" s="1" t="n">
        <v>46074</v>
      </c>
      <c r="D137" t="inlineStr">
        <is>
          <t>VÄSTRA GÖTALANDS LÄN</t>
        </is>
      </c>
      <c r="E137" t="inlineStr">
        <is>
          <t>DALS-ED</t>
        </is>
      </c>
      <c r="G137" t="n">
        <v>1.6</v>
      </c>
      <c r="H137" t="n">
        <v>0</v>
      </c>
      <c r="I137" t="n">
        <v>0</v>
      </c>
      <c r="J137" t="n">
        <v>0</v>
      </c>
      <c r="K137" t="n">
        <v>0</v>
      </c>
      <c r="L137" t="n">
        <v>0</v>
      </c>
      <c r="M137" t="n">
        <v>0</v>
      </c>
      <c r="N137" t="n">
        <v>0</v>
      </c>
      <c r="O137" t="n">
        <v>0</v>
      </c>
      <c r="P137" t="n">
        <v>0</v>
      </c>
      <c r="Q137" t="n">
        <v>0</v>
      </c>
      <c r="R137" s="2" t="inlineStr"/>
    </row>
    <row r="138" ht="15" customHeight="1">
      <c r="A138" t="inlineStr">
        <is>
          <t>A 38600-2025</t>
        </is>
      </c>
      <c r="B138" s="1" t="n">
        <v>45884.49962962963</v>
      </c>
      <c r="C138" s="1" t="n">
        <v>46074</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42341-2021</t>
        </is>
      </c>
      <c r="B139" s="1" t="n">
        <v>44427</v>
      </c>
      <c r="C139" s="1" t="n">
        <v>46074</v>
      </c>
      <c r="D139" t="inlineStr">
        <is>
          <t>VÄSTRA GÖTALANDS LÄN</t>
        </is>
      </c>
      <c r="E139" t="inlineStr">
        <is>
          <t>DALS-ED</t>
        </is>
      </c>
      <c r="G139" t="n">
        <v>0.8</v>
      </c>
      <c r="H139" t="n">
        <v>0</v>
      </c>
      <c r="I139" t="n">
        <v>0</v>
      </c>
      <c r="J139" t="n">
        <v>0</v>
      </c>
      <c r="K139" t="n">
        <v>0</v>
      </c>
      <c r="L139" t="n">
        <v>0</v>
      </c>
      <c r="M139" t="n">
        <v>0</v>
      </c>
      <c r="N139" t="n">
        <v>0</v>
      </c>
      <c r="O139" t="n">
        <v>0</v>
      </c>
      <c r="P139" t="n">
        <v>0</v>
      </c>
      <c r="Q139" t="n">
        <v>0</v>
      </c>
      <c r="R139" s="2" t="inlineStr"/>
    </row>
    <row r="140" ht="15" customHeight="1">
      <c r="A140" t="inlineStr">
        <is>
          <t>A 17643-2024</t>
        </is>
      </c>
      <c r="B140" s="1" t="n">
        <v>45418.36640046296</v>
      </c>
      <c r="C140" s="1" t="n">
        <v>46074</v>
      </c>
      <c r="D140" t="inlineStr">
        <is>
          <t>VÄSTRA GÖTALANDS LÄN</t>
        </is>
      </c>
      <c r="E140" t="inlineStr">
        <is>
          <t>DALS-ED</t>
        </is>
      </c>
      <c r="G140" t="n">
        <v>1.4</v>
      </c>
      <c r="H140" t="n">
        <v>0</v>
      </c>
      <c r="I140" t="n">
        <v>0</v>
      </c>
      <c r="J140" t="n">
        <v>0</v>
      </c>
      <c r="K140" t="n">
        <v>0</v>
      </c>
      <c r="L140" t="n">
        <v>0</v>
      </c>
      <c r="M140" t="n">
        <v>0</v>
      </c>
      <c r="N140" t="n">
        <v>0</v>
      </c>
      <c r="O140" t="n">
        <v>0</v>
      </c>
      <c r="P140" t="n">
        <v>0</v>
      </c>
      <c r="Q140" t="n">
        <v>0</v>
      </c>
      <c r="R140" s="2" t="inlineStr"/>
    </row>
    <row r="141" ht="15" customHeight="1">
      <c r="A141" t="inlineStr">
        <is>
          <t>A 42440-2024</t>
        </is>
      </c>
      <c r="B141" s="1" t="n">
        <v>45565.42386574074</v>
      </c>
      <c r="C141" s="1" t="n">
        <v>46074</v>
      </c>
      <c r="D141" t="inlineStr">
        <is>
          <t>VÄSTRA GÖTALANDS LÄN</t>
        </is>
      </c>
      <c r="E141" t="inlineStr">
        <is>
          <t>DALS-ED</t>
        </is>
      </c>
      <c r="G141" t="n">
        <v>9</v>
      </c>
      <c r="H141" t="n">
        <v>0</v>
      </c>
      <c r="I141" t="n">
        <v>0</v>
      </c>
      <c r="J141" t="n">
        <v>0</v>
      </c>
      <c r="K141" t="n">
        <v>0</v>
      </c>
      <c r="L141" t="n">
        <v>0</v>
      </c>
      <c r="M141" t="n">
        <v>0</v>
      </c>
      <c r="N141" t="n">
        <v>0</v>
      </c>
      <c r="O141" t="n">
        <v>0</v>
      </c>
      <c r="P141" t="n">
        <v>0</v>
      </c>
      <c r="Q141" t="n">
        <v>0</v>
      </c>
      <c r="R141" s="2" t="inlineStr"/>
    </row>
    <row r="142" ht="15" customHeight="1">
      <c r="A142" t="inlineStr">
        <is>
          <t>A 38601-2025</t>
        </is>
      </c>
      <c r="B142" s="1" t="n">
        <v>45884.50131944445</v>
      </c>
      <c r="C142" s="1" t="n">
        <v>46074</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49863-2024</t>
        </is>
      </c>
      <c r="B143" s="1" t="n">
        <v>45597</v>
      </c>
      <c r="C143" s="1" t="n">
        <v>46074</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29556-2025</t>
        </is>
      </c>
      <c r="B144" s="1" t="n">
        <v>45825.35626157407</v>
      </c>
      <c r="C144" s="1" t="n">
        <v>46074</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29686-2025</t>
        </is>
      </c>
      <c r="B145" s="1" t="n">
        <v>45825.51634259259</v>
      </c>
      <c r="C145" s="1" t="n">
        <v>46074</v>
      </c>
      <c r="D145" t="inlineStr">
        <is>
          <t>VÄSTRA GÖTALANDS LÄN</t>
        </is>
      </c>
      <c r="E145" t="inlineStr">
        <is>
          <t>DALS-ED</t>
        </is>
      </c>
      <c r="G145" t="n">
        <v>3.7</v>
      </c>
      <c r="H145" t="n">
        <v>0</v>
      </c>
      <c r="I145" t="n">
        <v>0</v>
      </c>
      <c r="J145" t="n">
        <v>0</v>
      </c>
      <c r="K145" t="n">
        <v>0</v>
      </c>
      <c r="L145" t="n">
        <v>0</v>
      </c>
      <c r="M145" t="n">
        <v>0</v>
      </c>
      <c r="N145" t="n">
        <v>0</v>
      </c>
      <c r="O145" t="n">
        <v>0</v>
      </c>
      <c r="P145" t="n">
        <v>0</v>
      </c>
      <c r="Q145" t="n">
        <v>0</v>
      </c>
      <c r="R145" s="2" t="inlineStr"/>
    </row>
    <row r="146" ht="15" customHeight="1">
      <c r="A146" t="inlineStr">
        <is>
          <t>A 29790-2025</t>
        </is>
      </c>
      <c r="B146" s="1" t="n">
        <v>45825.66005787037</v>
      </c>
      <c r="C146" s="1" t="n">
        <v>46074</v>
      </c>
      <c r="D146" t="inlineStr">
        <is>
          <t>VÄSTRA GÖTALANDS LÄN</t>
        </is>
      </c>
      <c r="E146" t="inlineStr">
        <is>
          <t>DALS-ED</t>
        </is>
      </c>
      <c r="G146" t="n">
        <v>2</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46074</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29692-2025</t>
        </is>
      </c>
      <c r="B148" s="1" t="n">
        <v>45825.54019675926</v>
      </c>
      <c r="C148" s="1" t="n">
        <v>46074</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47311-2023</t>
        </is>
      </c>
      <c r="B149" s="1" t="n">
        <v>45202.49175925926</v>
      </c>
      <c r="C149" s="1" t="n">
        <v>46074</v>
      </c>
      <c r="D149" t="inlineStr">
        <is>
          <t>VÄSTRA GÖTALANDS LÄN</t>
        </is>
      </c>
      <c r="E149" t="inlineStr">
        <is>
          <t>DALS-ED</t>
        </is>
      </c>
      <c r="G149" t="n">
        <v>2.8</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46074</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5662-2025</t>
        </is>
      </c>
      <c r="B151" s="1" t="n">
        <v>45693.7809375</v>
      </c>
      <c r="C151" s="1" t="n">
        <v>46074</v>
      </c>
      <c r="D151" t="inlineStr">
        <is>
          <t>VÄSTRA GÖTALANDS LÄN</t>
        </is>
      </c>
      <c r="E151" t="inlineStr">
        <is>
          <t>DALS-ED</t>
        </is>
      </c>
      <c r="G151" t="n">
        <v>8.1</v>
      </c>
      <c r="H151" t="n">
        <v>0</v>
      </c>
      <c r="I151" t="n">
        <v>0</v>
      </c>
      <c r="J151" t="n">
        <v>0</v>
      </c>
      <c r="K151" t="n">
        <v>0</v>
      </c>
      <c r="L151" t="n">
        <v>0</v>
      </c>
      <c r="M151" t="n">
        <v>0</v>
      </c>
      <c r="N151" t="n">
        <v>0</v>
      </c>
      <c r="O151" t="n">
        <v>0</v>
      </c>
      <c r="P151" t="n">
        <v>0</v>
      </c>
      <c r="Q151" t="n">
        <v>0</v>
      </c>
      <c r="R151" s="2" t="inlineStr"/>
    </row>
    <row r="152" ht="15" customHeight="1">
      <c r="A152" t="inlineStr">
        <is>
          <t>A 3398-2023</t>
        </is>
      </c>
      <c r="B152" s="1" t="n">
        <v>44949</v>
      </c>
      <c r="C152" s="1" t="n">
        <v>46074</v>
      </c>
      <c r="D152" t="inlineStr">
        <is>
          <t>VÄSTRA GÖTALANDS LÄN</t>
        </is>
      </c>
      <c r="E152" t="inlineStr">
        <is>
          <t>DALS-ED</t>
        </is>
      </c>
      <c r="G152" t="n">
        <v>2.7</v>
      </c>
      <c r="H152" t="n">
        <v>0</v>
      </c>
      <c r="I152" t="n">
        <v>0</v>
      </c>
      <c r="J152" t="n">
        <v>0</v>
      </c>
      <c r="K152" t="n">
        <v>0</v>
      </c>
      <c r="L152" t="n">
        <v>0</v>
      </c>
      <c r="M152" t="n">
        <v>0</v>
      </c>
      <c r="N152" t="n">
        <v>0</v>
      </c>
      <c r="O152" t="n">
        <v>0</v>
      </c>
      <c r="P152" t="n">
        <v>0</v>
      </c>
      <c r="Q152" t="n">
        <v>0</v>
      </c>
      <c r="R152" s="2" t="inlineStr"/>
    </row>
    <row r="153" ht="15" customHeight="1">
      <c r="A153" t="inlineStr">
        <is>
          <t>A 36232-2023</t>
        </is>
      </c>
      <c r="B153" s="1" t="n">
        <v>45150.39412037037</v>
      </c>
      <c r="C153" s="1" t="n">
        <v>46074</v>
      </c>
      <c r="D153" t="inlineStr">
        <is>
          <t>VÄSTRA GÖTALANDS LÄN</t>
        </is>
      </c>
      <c r="E153" t="inlineStr">
        <is>
          <t>DALS-ED</t>
        </is>
      </c>
      <c r="G153" t="n">
        <v>1.4</v>
      </c>
      <c r="H153" t="n">
        <v>0</v>
      </c>
      <c r="I153" t="n">
        <v>0</v>
      </c>
      <c r="J153" t="n">
        <v>0</v>
      </c>
      <c r="K153" t="n">
        <v>0</v>
      </c>
      <c r="L153" t="n">
        <v>0</v>
      </c>
      <c r="M153" t="n">
        <v>0</v>
      </c>
      <c r="N153" t="n">
        <v>0</v>
      </c>
      <c r="O153" t="n">
        <v>0</v>
      </c>
      <c r="P153" t="n">
        <v>0</v>
      </c>
      <c r="Q153" t="n">
        <v>0</v>
      </c>
      <c r="R153" s="2" t="inlineStr"/>
    </row>
    <row r="154" ht="15" customHeight="1">
      <c r="A154" t="inlineStr">
        <is>
          <t>A 40457-2025</t>
        </is>
      </c>
      <c r="B154" s="1" t="n">
        <v>45895</v>
      </c>
      <c r="C154" s="1" t="n">
        <v>46074</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29827-2025</t>
        </is>
      </c>
      <c r="B155" s="1" t="n">
        <v>45825.88684027778</v>
      </c>
      <c r="C155" s="1" t="n">
        <v>46074</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15626-2024</t>
        </is>
      </c>
      <c r="B156" s="1" t="n">
        <v>45402.46005787037</v>
      </c>
      <c r="C156" s="1" t="n">
        <v>46074</v>
      </c>
      <c r="D156" t="inlineStr">
        <is>
          <t>VÄSTRA GÖTALANDS LÄN</t>
        </is>
      </c>
      <c r="E156" t="inlineStr">
        <is>
          <t>DALS-ED</t>
        </is>
      </c>
      <c r="G156" t="n">
        <v>9.9</v>
      </c>
      <c r="H156" t="n">
        <v>0</v>
      </c>
      <c r="I156" t="n">
        <v>0</v>
      </c>
      <c r="J156" t="n">
        <v>0</v>
      </c>
      <c r="K156" t="n">
        <v>0</v>
      </c>
      <c r="L156" t="n">
        <v>0</v>
      </c>
      <c r="M156" t="n">
        <v>0</v>
      </c>
      <c r="N156" t="n">
        <v>0</v>
      </c>
      <c r="O156" t="n">
        <v>0</v>
      </c>
      <c r="P156" t="n">
        <v>0</v>
      </c>
      <c r="Q156" t="n">
        <v>0</v>
      </c>
      <c r="R156" s="2" t="inlineStr"/>
    </row>
    <row r="157" ht="15" customHeight="1">
      <c r="A157" t="inlineStr">
        <is>
          <t>A 30708-2025</t>
        </is>
      </c>
      <c r="B157" s="1" t="n">
        <v>45831.55090277778</v>
      </c>
      <c r="C157" s="1" t="n">
        <v>46074</v>
      </c>
      <c r="D157" t="inlineStr">
        <is>
          <t>VÄSTRA GÖTALANDS LÄN</t>
        </is>
      </c>
      <c r="E157" t="inlineStr">
        <is>
          <t>DALS-ED</t>
        </is>
      </c>
      <c r="G157" t="n">
        <v>1.8</v>
      </c>
      <c r="H157" t="n">
        <v>0</v>
      </c>
      <c r="I157" t="n">
        <v>0</v>
      </c>
      <c r="J157" t="n">
        <v>0</v>
      </c>
      <c r="K157" t="n">
        <v>0</v>
      </c>
      <c r="L157" t="n">
        <v>0</v>
      </c>
      <c r="M157" t="n">
        <v>0</v>
      </c>
      <c r="N157" t="n">
        <v>0</v>
      </c>
      <c r="O157" t="n">
        <v>0</v>
      </c>
      <c r="P157" t="n">
        <v>0</v>
      </c>
      <c r="Q157" t="n">
        <v>0</v>
      </c>
      <c r="R157" s="2" t="inlineStr"/>
    </row>
    <row r="158" ht="15" customHeight="1">
      <c r="A158" t="inlineStr">
        <is>
          <t>A 24482-2024</t>
        </is>
      </c>
      <c r="B158" s="1" t="n">
        <v>45459.38876157408</v>
      </c>
      <c r="C158" s="1" t="n">
        <v>46074</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46074</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31150-2025</t>
        </is>
      </c>
      <c r="B160" s="1" t="n">
        <v>45832.64126157408</v>
      </c>
      <c r="C160" s="1" t="n">
        <v>46074</v>
      </c>
      <c r="D160" t="inlineStr">
        <is>
          <t>VÄSTRA GÖTALANDS LÄN</t>
        </is>
      </c>
      <c r="E160" t="inlineStr">
        <is>
          <t>DALS-ED</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46074</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25867-2025</t>
        </is>
      </c>
      <c r="B162" s="1" t="n">
        <v>45804.48175925926</v>
      </c>
      <c r="C162" s="1" t="n">
        <v>46074</v>
      </c>
      <c r="D162" t="inlineStr">
        <is>
          <t>VÄSTRA GÖTALANDS LÄN</t>
        </is>
      </c>
      <c r="E162" t="inlineStr">
        <is>
          <t>DALS-ED</t>
        </is>
      </c>
      <c r="G162" t="n">
        <v>2.6</v>
      </c>
      <c r="H162" t="n">
        <v>0</v>
      </c>
      <c r="I162" t="n">
        <v>0</v>
      </c>
      <c r="J162" t="n">
        <v>0</v>
      </c>
      <c r="K162" t="n">
        <v>0</v>
      </c>
      <c r="L162" t="n">
        <v>0</v>
      </c>
      <c r="M162" t="n">
        <v>0</v>
      </c>
      <c r="N162" t="n">
        <v>0</v>
      </c>
      <c r="O162" t="n">
        <v>0</v>
      </c>
      <c r="P162" t="n">
        <v>0</v>
      </c>
      <c r="Q162" t="n">
        <v>0</v>
      </c>
      <c r="R162" s="2" t="inlineStr"/>
    </row>
    <row r="163" ht="15" customHeight="1">
      <c r="A163" t="inlineStr">
        <is>
          <t>A 31871-2025</t>
        </is>
      </c>
      <c r="B163" s="1" t="n">
        <v>45834.64814814815</v>
      </c>
      <c r="C163" s="1" t="n">
        <v>46074</v>
      </c>
      <c r="D163" t="inlineStr">
        <is>
          <t>VÄSTRA GÖTALANDS LÄN</t>
        </is>
      </c>
      <c r="E163" t="inlineStr">
        <is>
          <t>DALS-ED</t>
        </is>
      </c>
      <c r="G163" t="n">
        <v>7.1</v>
      </c>
      <c r="H163" t="n">
        <v>0</v>
      </c>
      <c r="I163" t="n">
        <v>0</v>
      </c>
      <c r="J163" t="n">
        <v>0</v>
      </c>
      <c r="K163" t="n">
        <v>0</v>
      </c>
      <c r="L163" t="n">
        <v>0</v>
      </c>
      <c r="M163" t="n">
        <v>0</v>
      </c>
      <c r="N163" t="n">
        <v>0</v>
      </c>
      <c r="O163" t="n">
        <v>0</v>
      </c>
      <c r="P163" t="n">
        <v>0</v>
      </c>
      <c r="Q163" t="n">
        <v>0</v>
      </c>
      <c r="R163" s="2" t="inlineStr"/>
    </row>
    <row r="164" ht="15" customHeight="1">
      <c r="A164" t="inlineStr">
        <is>
          <t>A 31259-2025</t>
        </is>
      </c>
      <c r="B164" s="1" t="n">
        <v>45833.32277777778</v>
      </c>
      <c r="C164" s="1" t="n">
        <v>46074</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27807-2022</t>
        </is>
      </c>
      <c r="B165" s="1" t="n">
        <v>44743.57612268518</v>
      </c>
      <c r="C165" s="1" t="n">
        <v>46074</v>
      </c>
      <c r="D165" t="inlineStr">
        <is>
          <t>VÄSTRA GÖTALANDS LÄN</t>
        </is>
      </c>
      <c r="E165" t="inlineStr">
        <is>
          <t>DALS-ED</t>
        </is>
      </c>
      <c r="G165" t="n">
        <v>3.8</v>
      </c>
      <c r="H165" t="n">
        <v>0</v>
      </c>
      <c r="I165" t="n">
        <v>0</v>
      </c>
      <c r="J165" t="n">
        <v>0</v>
      </c>
      <c r="K165" t="n">
        <v>0</v>
      </c>
      <c r="L165" t="n">
        <v>0</v>
      </c>
      <c r="M165" t="n">
        <v>0</v>
      </c>
      <c r="N165" t="n">
        <v>0</v>
      </c>
      <c r="O165" t="n">
        <v>0</v>
      </c>
      <c r="P165" t="n">
        <v>0</v>
      </c>
      <c r="Q165" t="n">
        <v>0</v>
      </c>
      <c r="R165" s="2" t="inlineStr"/>
    </row>
    <row r="166" ht="15" customHeight="1">
      <c r="A166" t="inlineStr">
        <is>
          <t>A 12996-2025</t>
        </is>
      </c>
      <c r="B166" s="1" t="n">
        <v>45734.48722222223</v>
      </c>
      <c r="C166" s="1" t="n">
        <v>46074</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31879-2025</t>
        </is>
      </c>
      <c r="B167" s="1" t="n">
        <v>45834.65471064814</v>
      </c>
      <c r="C167" s="1" t="n">
        <v>46074</v>
      </c>
      <c r="D167" t="inlineStr">
        <is>
          <t>VÄSTRA GÖTALANDS LÄN</t>
        </is>
      </c>
      <c r="E167" t="inlineStr">
        <is>
          <t>DALS-ED</t>
        </is>
      </c>
      <c r="G167" t="n">
        <v>4.3</v>
      </c>
      <c r="H167" t="n">
        <v>0</v>
      </c>
      <c r="I167" t="n">
        <v>0</v>
      </c>
      <c r="J167" t="n">
        <v>0</v>
      </c>
      <c r="K167" t="n">
        <v>0</v>
      </c>
      <c r="L167" t="n">
        <v>0</v>
      </c>
      <c r="M167" t="n">
        <v>0</v>
      </c>
      <c r="N167" t="n">
        <v>0</v>
      </c>
      <c r="O167" t="n">
        <v>0</v>
      </c>
      <c r="P167" t="n">
        <v>0</v>
      </c>
      <c r="Q167" t="n">
        <v>0</v>
      </c>
      <c r="R167" s="2" t="inlineStr"/>
    </row>
    <row r="168" ht="15" customHeight="1">
      <c r="A168" t="inlineStr">
        <is>
          <t>A 41853-2025</t>
        </is>
      </c>
      <c r="B168" s="1" t="n">
        <v>45902.90766203704</v>
      </c>
      <c r="C168" s="1" t="n">
        <v>46074</v>
      </c>
      <c r="D168" t="inlineStr">
        <is>
          <t>VÄSTRA GÖTALANDS LÄN</t>
        </is>
      </c>
      <c r="E168" t="inlineStr">
        <is>
          <t>DALS-ED</t>
        </is>
      </c>
      <c r="G168" t="n">
        <v>5.6</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46074</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41859-2025</t>
        </is>
      </c>
      <c r="B170" s="1" t="n">
        <v>45903.23393518518</v>
      </c>
      <c r="C170" s="1" t="n">
        <v>46074</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32770-2025</t>
        </is>
      </c>
      <c r="B171" s="1" t="n">
        <v>45839.45863425926</v>
      </c>
      <c r="C171" s="1" t="n">
        <v>46074</v>
      </c>
      <c r="D171" t="inlineStr">
        <is>
          <t>VÄSTRA GÖTALANDS LÄN</t>
        </is>
      </c>
      <c r="E171" t="inlineStr">
        <is>
          <t>DALS-ED</t>
        </is>
      </c>
      <c r="F171" t="inlineStr">
        <is>
          <t>Övriga Aktiebolag</t>
        </is>
      </c>
      <c r="G171" t="n">
        <v>6.3</v>
      </c>
      <c r="H171" t="n">
        <v>0</v>
      </c>
      <c r="I171" t="n">
        <v>0</v>
      </c>
      <c r="J171" t="n">
        <v>0</v>
      </c>
      <c r="K171" t="n">
        <v>0</v>
      </c>
      <c r="L171" t="n">
        <v>0</v>
      </c>
      <c r="M171" t="n">
        <v>0</v>
      </c>
      <c r="N171" t="n">
        <v>0</v>
      </c>
      <c r="O171" t="n">
        <v>0</v>
      </c>
      <c r="P171" t="n">
        <v>0</v>
      </c>
      <c r="Q171" t="n">
        <v>0</v>
      </c>
      <c r="R171" s="2" t="inlineStr"/>
    </row>
    <row r="172" ht="15" customHeight="1">
      <c r="A172" t="inlineStr">
        <is>
          <t>A 2284-2023</t>
        </is>
      </c>
      <c r="B172" s="1" t="n">
        <v>44942.52454861111</v>
      </c>
      <c r="C172" s="1" t="n">
        <v>46074</v>
      </c>
      <c r="D172" t="inlineStr">
        <is>
          <t>VÄSTRA GÖTALANDS LÄN</t>
        </is>
      </c>
      <c r="E172" t="inlineStr">
        <is>
          <t>DALS-ED</t>
        </is>
      </c>
      <c r="G172" t="n">
        <v>6.9</v>
      </c>
      <c r="H172" t="n">
        <v>0</v>
      </c>
      <c r="I172" t="n">
        <v>0</v>
      </c>
      <c r="J172" t="n">
        <v>0</v>
      </c>
      <c r="K172" t="n">
        <v>0</v>
      </c>
      <c r="L172" t="n">
        <v>0</v>
      </c>
      <c r="M172" t="n">
        <v>0</v>
      </c>
      <c r="N172" t="n">
        <v>0</v>
      </c>
      <c r="O172" t="n">
        <v>0</v>
      </c>
      <c r="P172" t="n">
        <v>0</v>
      </c>
      <c r="Q172" t="n">
        <v>0</v>
      </c>
      <c r="R172" s="2" t="inlineStr"/>
    </row>
    <row r="173" ht="15" customHeight="1">
      <c r="A173" t="inlineStr">
        <is>
          <t>A 15009-2023</t>
        </is>
      </c>
      <c r="B173" s="1" t="n">
        <v>45015.59582175926</v>
      </c>
      <c r="C173" s="1" t="n">
        <v>46074</v>
      </c>
      <c r="D173" t="inlineStr">
        <is>
          <t>VÄSTRA GÖTALANDS LÄN</t>
        </is>
      </c>
      <c r="E173" t="inlineStr">
        <is>
          <t>DALS-ED</t>
        </is>
      </c>
      <c r="G173" t="n">
        <v>2.2</v>
      </c>
      <c r="H173" t="n">
        <v>0</v>
      </c>
      <c r="I173" t="n">
        <v>0</v>
      </c>
      <c r="J173" t="n">
        <v>0</v>
      </c>
      <c r="K173" t="n">
        <v>0</v>
      </c>
      <c r="L173" t="n">
        <v>0</v>
      </c>
      <c r="M173" t="n">
        <v>0</v>
      </c>
      <c r="N173" t="n">
        <v>0</v>
      </c>
      <c r="O173" t="n">
        <v>0</v>
      </c>
      <c r="P173" t="n">
        <v>0</v>
      </c>
      <c r="Q173" t="n">
        <v>0</v>
      </c>
      <c r="R173" s="2" t="inlineStr"/>
    </row>
    <row r="174" ht="15" customHeight="1">
      <c r="A174" t="inlineStr">
        <is>
          <t>A 42362-2025</t>
        </is>
      </c>
      <c r="B174" s="1" t="n">
        <v>45905.31484953704</v>
      </c>
      <c r="C174" s="1" t="n">
        <v>46074</v>
      </c>
      <c r="D174" t="inlineStr">
        <is>
          <t>VÄSTRA GÖTALANDS LÄN</t>
        </is>
      </c>
      <c r="E174" t="inlineStr">
        <is>
          <t>DALS-ED</t>
        </is>
      </c>
      <c r="F174" t="inlineStr">
        <is>
          <t>Övriga Aktiebolag</t>
        </is>
      </c>
      <c r="G174" t="n">
        <v>1.8</v>
      </c>
      <c r="H174" t="n">
        <v>0</v>
      </c>
      <c r="I174" t="n">
        <v>0</v>
      </c>
      <c r="J174" t="n">
        <v>0</v>
      </c>
      <c r="K174" t="n">
        <v>0</v>
      </c>
      <c r="L174" t="n">
        <v>0</v>
      </c>
      <c r="M174" t="n">
        <v>0</v>
      </c>
      <c r="N174" t="n">
        <v>0</v>
      </c>
      <c r="O174" t="n">
        <v>0</v>
      </c>
      <c r="P174" t="n">
        <v>0</v>
      </c>
      <c r="Q174" t="n">
        <v>0</v>
      </c>
      <c r="R174" s="2" t="inlineStr"/>
    </row>
    <row r="175" ht="15" customHeight="1">
      <c r="A175" t="inlineStr">
        <is>
          <t>A 42314-2025</t>
        </is>
      </c>
      <c r="B175" s="1" t="n">
        <v>45904.65920138889</v>
      </c>
      <c r="C175" s="1" t="n">
        <v>46074</v>
      </c>
      <c r="D175" t="inlineStr">
        <is>
          <t>VÄSTRA GÖTALANDS LÄN</t>
        </is>
      </c>
      <c r="E175" t="inlineStr">
        <is>
          <t>DALS-ED</t>
        </is>
      </c>
      <c r="G175" t="n">
        <v>5.5</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46074</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46074</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46074</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46074</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46074</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9382-2024</t>
        </is>
      </c>
      <c r="B181" s="1" t="n">
        <v>45359.37732638889</v>
      </c>
      <c r="C181" s="1" t="n">
        <v>46074</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42781-2025</t>
        </is>
      </c>
      <c r="B182" s="1" t="n">
        <v>45908.50071759259</v>
      </c>
      <c r="C182" s="1" t="n">
        <v>46074</v>
      </c>
      <c r="D182" t="inlineStr">
        <is>
          <t>VÄSTRA GÖTALANDS LÄN</t>
        </is>
      </c>
      <c r="E182" t="inlineStr">
        <is>
          <t>DALS-ED</t>
        </is>
      </c>
      <c r="F182" t="inlineStr">
        <is>
          <t>Kyrkan</t>
        </is>
      </c>
      <c r="G182" t="n">
        <v>2.9</v>
      </c>
      <c r="H182" t="n">
        <v>0</v>
      </c>
      <c r="I182" t="n">
        <v>0</v>
      </c>
      <c r="J182" t="n">
        <v>0</v>
      </c>
      <c r="K182" t="n">
        <v>0</v>
      </c>
      <c r="L182" t="n">
        <v>0</v>
      </c>
      <c r="M182" t="n">
        <v>0</v>
      </c>
      <c r="N182" t="n">
        <v>0</v>
      </c>
      <c r="O182" t="n">
        <v>0</v>
      </c>
      <c r="P182" t="n">
        <v>0</v>
      </c>
      <c r="Q182" t="n">
        <v>0</v>
      </c>
      <c r="R182" s="2" t="inlineStr"/>
    </row>
    <row r="183" ht="15" customHeight="1">
      <c r="A183" t="inlineStr">
        <is>
          <t>A 33172-2025</t>
        </is>
      </c>
      <c r="B183" s="1" t="n">
        <v>45840.58383101852</v>
      </c>
      <c r="C183" s="1" t="n">
        <v>46074</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31750-2025</t>
        </is>
      </c>
      <c r="B184" s="1" t="n">
        <v>45834.48267361111</v>
      </c>
      <c r="C184" s="1" t="n">
        <v>46074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61497-2024</t>
        </is>
      </c>
      <c r="B185" s="1" t="n">
        <v>45646.55346064815</v>
      </c>
      <c r="C185" s="1" t="n">
        <v>46074</v>
      </c>
      <c r="D185" t="inlineStr">
        <is>
          <t>VÄSTRA GÖTALANDS LÄN</t>
        </is>
      </c>
      <c r="E185" t="inlineStr">
        <is>
          <t>DALS-ED</t>
        </is>
      </c>
      <c r="G185" t="n">
        <v>1.6</v>
      </c>
      <c r="H185" t="n">
        <v>0</v>
      </c>
      <c r="I185" t="n">
        <v>0</v>
      </c>
      <c r="J185" t="n">
        <v>0</v>
      </c>
      <c r="K185" t="n">
        <v>0</v>
      </c>
      <c r="L185" t="n">
        <v>0</v>
      </c>
      <c r="M185" t="n">
        <v>0</v>
      </c>
      <c r="N185" t="n">
        <v>0</v>
      </c>
      <c r="O185" t="n">
        <v>0</v>
      </c>
      <c r="P185" t="n">
        <v>0</v>
      </c>
      <c r="Q185" t="n">
        <v>0</v>
      </c>
      <c r="R185" s="2" t="inlineStr"/>
    </row>
    <row r="186" ht="15" customHeight="1">
      <c r="A186" t="inlineStr">
        <is>
          <t>A 42953-2025</t>
        </is>
      </c>
      <c r="B186" s="1" t="n">
        <v>45909.35702546296</v>
      </c>
      <c r="C186" s="1" t="n">
        <v>46074</v>
      </c>
      <c r="D186" t="inlineStr">
        <is>
          <t>VÄSTRA GÖTALANDS LÄN</t>
        </is>
      </c>
      <c r="E186" t="inlineStr">
        <is>
          <t>DALS-ED</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42703-2025</t>
        </is>
      </c>
      <c r="B187" s="1" t="n">
        <v>45908.36853009259</v>
      </c>
      <c r="C187" s="1" t="n">
        <v>46074</v>
      </c>
      <c r="D187" t="inlineStr">
        <is>
          <t>VÄSTRA GÖTALANDS LÄN</t>
        </is>
      </c>
      <c r="E187" t="inlineStr">
        <is>
          <t>DALS-ED</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46074</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43086-2025</t>
        </is>
      </c>
      <c r="B189" s="1" t="n">
        <v>45909.61884259259</v>
      </c>
      <c r="C189" s="1" t="n">
        <v>46074</v>
      </c>
      <c r="D189" t="inlineStr">
        <is>
          <t>VÄSTRA GÖTALANDS LÄN</t>
        </is>
      </c>
      <c r="E189" t="inlineStr">
        <is>
          <t>DALS-ED</t>
        </is>
      </c>
      <c r="G189" t="n">
        <v>0.1</v>
      </c>
      <c r="H189" t="n">
        <v>0</v>
      </c>
      <c r="I189" t="n">
        <v>0</v>
      </c>
      <c r="J189" t="n">
        <v>0</v>
      </c>
      <c r="K189" t="n">
        <v>0</v>
      </c>
      <c r="L189" t="n">
        <v>0</v>
      </c>
      <c r="M189" t="n">
        <v>0</v>
      </c>
      <c r="N189" t="n">
        <v>0</v>
      </c>
      <c r="O189" t="n">
        <v>0</v>
      </c>
      <c r="P189" t="n">
        <v>0</v>
      </c>
      <c r="Q189" t="n">
        <v>0</v>
      </c>
      <c r="R189" s="2" t="inlineStr"/>
    </row>
    <row r="190" ht="15" customHeight="1">
      <c r="A190" t="inlineStr">
        <is>
          <t>A 33169-2025</t>
        </is>
      </c>
      <c r="B190" s="1" t="n">
        <v>45840.58173611111</v>
      </c>
      <c r="C190" s="1" t="n">
        <v>46074</v>
      </c>
      <c r="D190" t="inlineStr">
        <is>
          <t>VÄSTRA GÖTALANDS LÄN</t>
        </is>
      </c>
      <c r="E190" t="inlineStr">
        <is>
          <t>DALS-ED</t>
        </is>
      </c>
      <c r="G190" t="n">
        <v>4.4</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46074</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22448-2024</t>
        </is>
      </c>
      <c r="B192" s="1" t="n">
        <v>45446.94362268518</v>
      </c>
      <c r="C192" s="1" t="n">
        <v>46074</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43358-2025</t>
        </is>
      </c>
      <c r="B193" s="1" t="n">
        <v>45911.34137731481</v>
      </c>
      <c r="C193" s="1" t="n">
        <v>46074</v>
      </c>
      <c r="D193" t="inlineStr">
        <is>
          <t>VÄSTRA GÖTALANDS LÄN</t>
        </is>
      </c>
      <c r="E193" t="inlineStr">
        <is>
          <t>DALS-ED</t>
        </is>
      </c>
      <c r="G193" t="n">
        <v>6.4</v>
      </c>
      <c r="H193" t="n">
        <v>0</v>
      </c>
      <c r="I193" t="n">
        <v>0</v>
      </c>
      <c r="J193" t="n">
        <v>0</v>
      </c>
      <c r="K193" t="n">
        <v>0</v>
      </c>
      <c r="L193" t="n">
        <v>0</v>
      </c>
      <c r="M193" t="n">
        <v>0</v>
      </c>
      <c r="N193" t="n">
        <v>0</v>
      </c>
      <c r="O193" t="n">
        <v>0</v>
      </c>
      <c r="P193" t="n">
        <v>0</v>
      </c>
      <c r="Q193" t="n">
        <v>0</v>
      </c>
      <c r="R193" s="2" t="inlineStr"/>
    </row>
    <row r="194" ht="15" customHeight="1">
      <c r="A194" t="inlineStr">
        <is>
          <t>A 6464-2022</t>
        </is>
      </c>
      <c r="B194" s="1" t="n">
        <v>44601.37392361111</v>
      </c>
      <c r="C194" s="1" t="n">
        <v>46074</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33967-2025</t>
        </is>
      </c>
      <c r="B195" s="1" t="n">
        <v>45842.81519675926</v>
      </c>
      <c r="C195" s="1" t="n">
        <v>46074</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27796-2022</t>
        </is>
      </c>
      <c r="B196" s="1" t="n">
        <v>44743</v>
      </c>
      <c r="C196" s="1" t="n">
        <v>46074</v>
      </c>
      <c r="D196" t="inlineStr">
        <is>
          <t>VÄSTRA GÖTALANDS LÄN</t>
        </is>
      </c>
      <c r="E196" t="inlineStr">
        <is>
          <t>DALS-ED</t>
        </is>
      </c>
      <c r="G196" t="n">
        <v>5.1</v>
      </c>
      <c r="H196" t="n">
        <v>0</v>
      </c>
      <c r="I196" t="n">
        <v>0</v>
      </c>
      <c r="J196" t="n">
        <v>0</v>
      </c>
      <c r="K196" t="n">
        <v>0</v>
      </c>
      <c r="L196" t="n">
        <v>0</v>
      </c>
      <c r="M196" t="n">
        <v>0</v>
      </c>
      <c r="N196" t="n">
        <v>0</v>
      </c>
      <c r="O196" t="n">
        <v>0</v>
      </c>
      <c r="P196" t="n">
        <v>0</v>
      </c>
      <c r="Q196" t="n">
        <v>0</v>
      </c>
      <c r="R196" s="2" t="inlineStr"/>
    </row>
    <row r="197" ht="15" customHeight="1">
      <c r="A197" t="inlineStr">
        <is>
          <t>A 34026-2025</t>
        </is>
      </c>
      <c r="B197" s="1" t="n">
        <v>45845.35856481481</v>
      </c>
      <c r="C197" s="1" t="n">
        <v>46074</v>
      </c>
      <c r="D197" t="inlineStr">
        <is>
          <t>VÄSTRA GÖTALANDS LÄN</t>
        </is>
      </c>
      <c r="E197" t="inlineStr">
        <is>
          <t>DALS-ED</t>
        </is>
      </c>
      <c r="G197" t="n">
        <v>3.1</v>
      </c>
      <c r="H197" t="n">
        <v>0</v>
      </c>
      <c r="I197" t="n">
        <v>0</v>
      </c>
      <c r="J197" t="n">
        <v>0</v>
      </c>
      <c r="K197" t="n">
        <v>0</v>
      </c>
      <c r="L197" t="n">
        <v>0</v>
      </c>
      <c r="M197" t="n">
        <v>0</v>
      </c>
      <c r="N197" t="n">
        <v>0</v>
      </c>
      <c r="O197" t="n">
        <v>0</v>
      </c>
      <c r="P197" t="n">
        <v>0</v>
      </c>
      <c r="Q197" t="n">
        <v>0</v>
      </c>
      <c r="R197" s="2" t="inlineStr"/>
    </row>
    <row r="198" ht="15" customHeight="1">
      <c r="A198" t="inlineStr">
        <is>
          <t>A 44083-2025</t>
        </is>
      </c>
      <c r="B198" s="1" t="n">
        <v>45915.55395833333</v>
      </c>
      <c r="C198" s="1" t="n">
        <v>46074</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44124-2025</t>
        </is>
      </c>
      <c r="B199" s="1" t="n">
        <v>45915.58008101852</v>
      </c>
      <c r="C199" s="1" t="n">
        <v>46074</v>
      </c>
      <c r="D199" t="inlineStr">
        <is>
          <t>VÄSTRA GÖTALANDS LÄN</t>
        </is>
      </c>
      <c r="E199" t="inlineStr">
        <is>
          <t>DALS-ED</t>
        </is>
      </c>
      <c r="G199" t="n">
        <v>4.7</v>
      </c>
      <c r="H199" t="n">
        <v>0</v>
      </c>
      <c r="I199" t="n">
        <v>0</v>
      </c>
      <c r="J199" t="n">
        <v>0</v>
      </c>
      <c r="K199" t="n">
        <v>0</v>
      </c>
      <c r="L199" t="n">
        <v>0</v>
      </c>
      <c r="M199" t="n">
        <v>0</v>
      </c>
      <c r="N199" t="n">
        <v>0</v>
      </c>
      <c r="O199" t="n">
        <v>0</v>
      </c>
      <c r="P199" t="n">
        <v>0</v>
      </c>
      <c r="Q199" t="n">
        <v>0</v>
      </c>
      <c r="R199" s="2" t="inlineStr"/>
    </row>
    <row r="200" ht="15" customHeight="1">
      <c r="A200" t="inlineStr">
        <is>
          <t>A 34380-2025</t>
        </is>
      </c>
      <c r="B200" s="1" t="n">
        <v>45846.5428587963</v>
      </c>
      <c r="C200" s="1" t="n">
        <v>46074</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34874-2025</t>
        </is>
      </c>
      <c r="B201" s="1" t="n">
        <v>45849.45528935185</v>
      </c>
      <c r="C201" s="1" t="n">
        <v>46074</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9039-2025</t>
        </is>
      </c>
      <c r="B202" s="1" t="n">
        <v>45713.62387731481</v>
      </c>
      <c r="C202" s="1" t="n">
        <v>46074</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21865-2023</t>
        </is>
      </c>
      <c r="B203" s="1" t="n">
        <v>45068.46453703703</v>
      </c>
      <c r="C203" s="1" t="n">
        <v>46074</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17502-2024</t>
        </is>
      </c>
      <c r="B204" s="1" t="n">
        <v>45415.55523148148</v>
      </c>
      <c r="C204" s="1" t="n">
        <v>46074</v>
      </c>
      <c r="D204" t="inlineStr">
        <is>
          <t>VÄSTRA GÖTALANDS LÄN</t>
        </is>
      </c>
      <c r="E204" t="inlineStr">
        <is>
          <t>DALS-ED</t>
        </is>
      </c>
      <c r="G204" t="n">
        <v>4.1</v>
      </c>
      <c r="H204" t="n">
        <v>0</v>
      </c>
      <c r="I204" t="n">
        <v>0</v>
      </c>
      <c r="J204" t="n">
        <v>0</v>
      </c>
      <c r="K204" t="n">
        <v>0</v>
      </c>
      <c r="L204" t="n">
        <v>0</v>
      </c>
      <c r="M204" t="n">
        <v>0</v>
      </c>
      <c r="N204" t="n">
        <v>0</v>
      </c>
      <c r="O204" t="n">
        <v>0</v>
      </c>
      <c r="P204" t="n">
        <v>0</v>
      </c>
      <c r="Q204" t="n">
        <v>0</v>
      </c>
      <c r="R204" s="2" t="inlineStr"/>
    </row>
    <row r="205" ht="15" customHeight="1">
      <c r="A205" t="inlineStr">
        <is>
          <t>A 21401-2025</t>
        </is>
      </c>
      <c r="B205" s="1" t="n">
        <v>45782</v>
      </c>
      <c r="C205" s="1" t="n">
        <v>46074</v>
      </c>
      <c r="D205" t="inlineStr">
        <is>
          <t>VÄSTRA GÖTALANDS LÄN</t>
        </is>
      </c>
      <c r="E205" t="inlineStr">
        <is>
          <t>DALS-ED</t>
        </is>
      </c>
      <c r="G205" t="n">
        <v>4.8</v>
      </c>
      <c r="H205" t="n">
        <v>0</v>
      </c>
      <c r="I205" t="n">
        <v>0</v>
      </c>
      <c r="J205" t="n">
        <v>0</v>
      </c>
      <c r="K205" t="n">
        <v>0</v>
      </c>
      <c r="L205" t="n">
        <v>0</v>
      </c>
      <c r="M205" t="n">
        <v>0</v>
      </c>
      <c r="N205" t="n">
        <v>0</v>
      </c>
      <c r="O205" t="n">
        <v>0</v>
      </c>
      <c r="P205" t="n">
        <v>0</v>
      </c>
      <c r="Q205" t="n">
        <v>0</v>
      </c>
      <c r="R205" s="2" t="inlineStr"/>
    </row>
    <row r="206" ht="15" customHeight="1">
      <c r="A206" t="inlineStr">
        <is>
          <t>A 20268-2025</t>
        </is>
      </c>
      <c r="B206" s="1" t="n">
        <v>45773</v>
      </c>
      <c r="C206" s="1" t="n">
        <v>46074</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46074</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38579-2024</t>
        </is>
      </c>
      <c r="B208" s="1" t="n">
        <v>45546.64791666667</v>
      </c>
      <c r="C208" s="1" t="n">
        <v>46074</v>
      </c>
      <c r="D208" t="inlineStr">
        <is>
          <t>VÄSTRA GÖTALANDS LÄN</t>
        </is>
      </c>
      <c r="E208" t="inlineStr">
        <is>
          <t>DALS-ED</t>
        </is>
      </c>
      <c r="G208" t="n">
        <v>1.2</v>
      </c>
      <c r="H208" t="n">
        <v>0</v>
      </c>
      <c r="I208" t="n">
        <v>0</v>
      </c>
      <c r="J208" t="n">
        <v>0</v>
      </c>
      <c r="K208" t="n">
        <v>0</v>
      </c>
      <c r="L208" t="n">
        <v>0</v>
      </c>
      <c r="M208" t="n">
        <v>0</v>
      </c>
      <c r="N208" t="n">
        <v>0</v>
      </c>
      <c r="O208" t="n">
        <v>0</v>
      </c>
      <c r="P208" t="n">
        <v>0</v>
      </c>
      <c r="Q208" t="n">
        <v>0</v>
      </c>
      <c r="R208" s="2" t="inlineStr"/>
    </row>
    <row r="209" ht="15" customHeight="1">
      <c r="A209" t="inlineStr">
        <is>
          <t>A 31754-2022</t>
        </is>
      </c>
      <c r="B209" s="1" t="n">
        <v>44776</v>
      </c>
      <c r="C209" s="1" t="n">
        <v>46074</v>
      </c>
      <c r="D209" t="inlineStr">
        <is>
          <t>VÄSTRA GÖTALANDS LÄN</t>
        </is>
      </c>
      <c r="E209" t="inlineStr">
        <is>
          <t>DALS-ED</t>
        </is>
      </c>
      <c r="G209" t="n">
        <v>4.2</v>
      </c>
      <c r="H209" t="n">
        <v>0</v>
      </c>
      <c r="I209" t="n">
        <v>0</v>
      </c>
      <c r="J209" t="n">
        <v>0</v>
      </c>
      <c r="K209" t="n">
        <v>0</v>
      </c>
      <c r="L209" t="n">
        <v>0</v>
      </c>
      <c r="M209" t="n">
        <v>0</v>
      </c>
      <c r="N209" t="n">
        <v>0</v>
      </c>
      <c r="O209" t="n">
        <v>0</v>
      </c>
      <c r="P209" t="n">
        <v>0</v>
      </c>
      <c r="Q209" t="n">
        <v>0</v>
      </c>
      <c r="R209" s="2" t="inlineStr"/>
    </row>
    <row r="210" ht="15" customHeight="1">
      <c r="A210" t="inlineStr">
        <is>
          <t>A 45494-2025</t>
        </is>
      </c>
      <c r="B210" s="1" t="n">
        <v>45922.56030092593</v>
      </c>
      <c r="C210" s="1" t="n">
        <v>46074</v>
      </c>
      <c r="D210" t="inlineStr">
        <is>
          <t>VÄSTRA GÖTALANDS LÄN</t>
        </is>
      </c>
      <c r="E210" t="inlineStr">
        <is>
          <t>DALS-ED</t>
        </is>
      </c>
      <c r="G210" t="n">
        <v>2.8</v>
      </c>
      <c r="H210" t="n">
        <v>0</v>
      </c>
      <c r="I210" t="n">
        <v>0</v>
      </c>
      <c r="J210" t="n">
        <v>0</v>
      </c>
      <c r="K210" t="n">
        <v>0</v>
      </c>
      <c r="L210" t="n">
        <v>0</v>
      </c>
      <c r="M210" t="n">
        <v>0</v>
      </c>
      <c r="N210" t="n">
        <v>0</v>
      </c>
      <c r="O210" t="n">
        <v>0</v>
      </c>
      <c r="P210" t="n">
        <v>0</v>
      </c>
      <c r="Q210" t="n">
        <v>0</v>
      </c>
      <c r="R210" s="2" t="inlineStr"/>
    </row>
    <row r="211" ht="15" customHeight="1">
      <c r="A211" t="inlineStr">
        <is>
          <t>A 46240-2025</t>
        </is>
      </c>
      <c r="B211" s="1" t="n">
        <v>45925.3152662037</v>
      </c>
      <c r="C211" s="1" t="n">
        <v>46074</v>
      </c>
      <c r="D211" t="inlineStr">
        <is>
          <t>VÄSTRA GÖTALANDS LÄN</t>
        </is>
      </c>
      <c r="E211" t="inlineStr">
        <is>
          <t>DALS-ED</t>
        </is>
      </c>
      <c r="G211" t="n">
        <v>19.8</v>
      </c>
      <c r="H211" t="n">
        <v>0</v>
      </c>
      <c r="I211" t="n">
        <v>0</v>
      </c>
      <c r="J211" t="n">
        <v>0</v>
      </c>
      <c r="K211" t="n">
        <v>0</v>
      </c>
      <c r="L211" t="n">
        <v>0</v>
      </c>
      <c r="M211" t="n">
        <v>0</v>
      </c>
      <c r="N211" t="n">
        <v>0</v>
      </c>
      <c r="O211" t="n">
        <v>0</v>
      </c>
      <c r="P211" t="n">
        <v>0</v>
      </c>
      <c r="Q211" t="n">
        <v>0</v>
      </c>
      <c r="R211" s="2" t="inlineStr"/>
    </row>
    <row r="212" ht="15" customHeight="1">
      <c r="A212" t="inlineStr">
        <is>
          <t>A 46434-2025</t>
        </is>
      </c>
      <c r="B212" s="1" t="n">
        <v>45925.63402777778</v>
      </c>
      <c r="C212" s="1" t="n">
        <v>46074</v>
      </c>
      <c r="D212" t="inlineStr">
        <is>
          <t>VÄSTRA GÖTALANDS LÄN</t>
        </is>
      </c>
      <c r="E212" t="inlineStr">
        <is>
          <t>DALS-ED</t>
        </is>
      </c>
      <c r="G212" t="n">
        <v>11.6</v>
      </c>
      <c r="H212" t="n">
        <v>0</v>
      </c>
      <c r="I212" t="n">
        <v>0</v>
      </c>
      <c r="J212" t="n">
        <v>0</v>
      </c>
      <c r="K212" t="n">
        <v>0</v>
      </c>
      <c r="L212" t="n">
        <v>0</v>
      </c>
      <c r="M212" t="n">
        <v>0</v>
      </c>
      <c r="N212" t="n">
        <v>0</v>
      </c>
      <c r="O212" t="n">
        <v>0</v>
      </c>
      <c r="P212" t="n">
        <v>0</v>
      </c>
      <c r="Q212" t="n">
        <v>0</v>
      </c>
      <c r="R212" s="2" t="inlineStr"/>
    </row>
    <row r="213" ht="15" customHeight="1">
      <c r="A213" t="inlineStr">
        <is>
          <t>A 12975-2025</t>
        </is>
      </c>
      <c r="B213" s="1" t="n">
        <v>45734.45221064815</v>
      </c>
      <c r="C213" s="1" t="n">
        <v>46074</v>
      </c>
      <c r="D213" t="inlineStr">
        <is>
          <t>VÄSTRA GÖTALANDS LÄN</t>
        </is>
      </c>
      <c r="E213" t="inlineStr">
        <is>
          <t>DALS-ED</t>
        </is>
      </c>
      <c r="G213" t="n">
        <v>4.6</v>
      </c>
      <c r="H213" t="n">
        <v>0</v>
      </c>
      <c r="I213" t="n">
        <v>0</v>
      </c>
      <c r="J213" t="n">
        <v>0</v>
      </c>
      <c r="K213" t="n">
        <v>0</v>
      </c>
      <c r="L213" t="n">
        <v>0</v>
      </c>
      <c r="M213" t="n">
        <v>0</v>
      </c>
      <c r="N213" t="n">
        <v>0</v>
      </c>
      <c r="O213" t="n">
        <v>0</v>
      </c>
      <c r="P213" t="n">
        <v>0</v>
      </c>
      <c r="Q213" t="n">
        <v>0</v>
      </c>
      <c r="R213" s="2" t="inlineStr"/>
    </row>
    <row r="214" ht="15" customHeight="1">
      <c r="A214" t="inlineStr">
        <is>
          <t>A 46383-2025</t>
        </is>
      </c>
      <c r="B214" s="1" t="n">
        <v>45925.52858796297</v>
      </c>
      <c r="C214" s="1" t="n">
        <v>46074</v>
      </c>
      <c r="D214" t="inlineStr">
        <is>
          <t>VÄSTRA GÖTALANDS LÄN</t>
        </is>
      </c>
      <c r="E214" t="inlineStr">
        <is>
          <t>DALS-ED</t>
        </is>
      </c>
      <c r="F214" t="inlineStr">
        <is>
          <t>Kyrkan</t>
        </is>
      </c>
      <c r="G214" t="n">
        <v>3.6</v>
      </c>
      <c r="H214" t="n">
        <v>0</v>
      </c>
      <c r="I214" t="n">
        <v>0</v>
      </c>
      <c r="J214" t="n">
        <v>0</v>
      </c>
      <c r="K214" t="n">
        <v>0</v>
      </c>
      <c r="L214" t="n">
        <v>0</v>
      </c>
      <c r="M214" t="n">
        <v>0</v>
      </c>
      <c r="N214" t="n">
        <v>0</v>
      </c>
      <c r="O214" t="n">
        <v>0</v>
      </c>
      <c r="P214" t="n">
        <v>0</v>
      </c>
      <c r="Q214" t="n">
        <v>0</v>
      </c>
      <c r="R214" s="2" t="inlineStr"/>
    </row>
    <row r="215" ht="15" customHeight="1">
      <c r="A215" t="inlineStr">
        <is>
          <t>A 30380-2021</t>
        </is>
      </c>
      <c r="B215" s="1" t="n">
        <v>44364.47981481482</v>
      </c>
      <c r="C215" s="1" t="n">
        <v>46074</v>
      </c>
      <c r="D215" t="inlineStr">
        <is>
          <t>VÄSTRA GÖTALANDS LÄN</t>
        </is>
      </c>
      <c r="E215" t="inlineStr">
        <is>
          <t>DALS-ED</t>
        </is>
      </c>
      <c r="G215" t="n">
        <v>4.5</v>
      </c>
      <c r="H215" t="n">
        <v>0</v>
      </c>
      <c r="I215" t="n">
        <v>0</v>
      </c>
      <c r="J215" t="n">
        <v>0</v>
      </c>
      <c r="K215" t="n">
        <v>0</v>
      </c>
      <c r="L215" t="n">
        <v>0</v>
      </c>
      <c r="M215" t="n">
        <v>0</v>
      </c>
      <c r="N215" t="n">
        <v>0</v>
      </c>
      <c r="O215" t="n">
        <v>0</v>
      </c>
      <c r="P215" t="n">
        <v>0</v>
      </c>
      <c r="Q215" t="n">
        <v>0</v>
      </c>
      <c r="R215" s="2" t="inlineStr"/>
    </row>
    <row r="216" ht="15" customHeight="1">
      <c r="A216" t="inlineStr">
        <is>
          <t>A 47022-2025</t>
        </is>
      </c>
      <c r="B216" s="1" t="n">
        <v>45929.57760416667</v>
      </c>
      <c r="C216" s="1" t="n">
        <v>46074</v>
      </c>
      <c r="D216" t="inlineStr">
        <is>
          <t>VÄSTRA GÖTALANDS LÄN</t>
        </is>
      </c>
      <c r="E216" t="inlineStr">
        <is>
          <t>DALS-ED</t>
        </is>
      </c>
      <c r="G216" t="n">
        <v>3</v>
      </c>
      <c r="H216" t="n">
        <v>0</v>
      </c>
      <c r="I216" t="n">
        <v>0</v>
      </c>
      <c r="J216" t="n">
        <v>0</v>
      </c>
      <c r="K216" t="n">
        <v>0</v>
      </c>
      <c r="L216" t="n">
        <v>0</v>
      </c>
      <c r="M216" t="n">
        <v>0</v>
      </c>
      <c r="N216" t="n">
        <v>0</v>
      </c>
      <c r="O216" t="n">
        <v>0</v>
      </c>
      <c r="P216" t="n">
        <v>0</v>
      </c>
      <c r="Q216" t="n">
        <v>0</v>
      </c>
      <c r="R216" s="2" t="inlineStr"/>
    </row>
    <row r="217" ht="15" customHeight="1">
      <c r="A217" t="inlineStr">
        <is>
          <t>A 59854-2024</t>
        </is>
      </c>
      <c r="B217" s="1" t="n">
        <v>45639.71099537037</v>
      </c>
      <c r="C217" s="1" t="n">
        <v>46074</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59855-2024</t>
        </is>
      </c>
      <c r="B218" s="1" t="n">
        <v>45639.71262731482</v>
      </c>
      <c r="C218" s="1" t="n">
        <v>46074</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46977-2025</t>
        </is>
      </c>
      <c r="B219" s="1" t="n">
        <v>45929.51806712963</v>
      </c>
      <c r="C219" s="1" t="n">
        <v>46074</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47123-2025</t>
        </is>
      </c>
      <c r="B220" s="1" t="n">
        <v>45929.67972222222</v>
      </c>
      <c r="C220" s="1" t="n">
        <v>46074</v>
      </c>
      <c r="D220" t="inlineStr">
        <is>
          <t>VÄSTRA GÖTALANDS LÄN</t>
        </is>
      </c>
      <c r="E220" t="inlineStr">
        <is>
          <t>DALS-ED</t>
        </is>
      </c>
      <c r="G220" t="n">
        <v>4.2</v>
      </c>
      <c r="H220" t="n">
        <v>0</v>
      </c>
      <c r="I220" t="n">
        <v>0</v>
      </c>
      <c r="J220" t="n">
        <v>0</v>
      </c>
      <c r="K220" t="n">
        <v>0</v>
      </c>
      <c r="L220" t="n">
        <v>0</v>
      </c>
      <c r="M220" t="n">
        <v>0</v>
      </c>
      <c r="N220" t="n">
        <v>0</v>
      </c>
      <c r="O220" t="n">
        <v>0</v>
      </c>
      <c r="P220" t="n">
        <v>0</v>
      </c>
      <c r="Q220" t="n">
        <v>0</v>
      </c>
      <c r="R220" s="2" t="inlineStr"/>
    </row>
    <row r="221" ht="15" customHeight="1">
      <c r="A221" t="inlineStr">
        <is>
          <t>A 46979-2025</t>
        </is>
      </c>
      <c r="B221" s="1" t="n">
        <v>45929.52040509259</v>
      </c>
      <c r="C221" s="1" t="n">
        <v>46074</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21140-2024</t>
        </is>
      </c>
      <c r="B222" s="1" t="n">
        <v>45440.38983796296</v>
      </c>
      <c r="C222" s="1" t="n">
        <v>46074</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21148-2024</t>
        </is>
      </c>
      <c r="B223" s="1" t="n">
        <v>45440.40162037037</v>
      </c>
      <c r="C223" s="1" t="n">
        <v>46074</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47311-2025</t>
        </is>
      </c>
      <c r="B224" s="1" t="n">
        <v>45930.54122685185</v>
      </c>
      <c r="C224" s="1" t="n">
        <v>46074</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46074</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59815-2023</t>
        </is>
      </c>
      <c r="B226" s="1" t="n">
        <v>45257</v>
      </c>
      <c r="C226" s="1" t="n">
        <v>46074</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48018-2025</t>
        </is>
      </c>
      <c r="B227" s="1" t="n">
        <v>45932</v>
      </c>
      <c r="C227" s="1" t="n">
        <v>46074</v>
      </c>
      <c r="D227" t="inlineStr">
        <is>
          <t>VÄSTRA GÖTALANDS LÄN</t>
        </is>
      </c>
      <c r="E227" t="inlineStr">
        <is>
          <t>DALS-ED</t>
        </is>
      </c>
      <c r="G227" t="n">
        <v>3.9</v>
      </c>
      <c r="H227" t="n">
        <v>0</v>
      </c>
      <c r="I227" t="n">
        <v>0</v>
      </c>
      <c r="J227" t="n">
        <v>0</v>
      </c>
      <c r="K227" t="n">
        <v>0</v>
      </c>
      <c r="L227" t="n">
        <v>0</v>
      </c>
      <c r="M227" t="n">
        <v>0</v>
      </c>
      <c r="N227" t="n">
        <v>0</v>
      </c>
      <c r="O227" t="n">
        <v>0</v>
      </c>
      <c r="P227" t="n">
        <v>0</v>
      </c>
      <c r="Q227" t="n">
        <v>0</v>
      </c>
      <c r="R227" s="2" t="inlineStr"/>
    </row>
    <row r="228" ht="15" customHeight="1">
      <c r="A228" t="inlineStr">
        <is>
          <t>A 23862-2023</t>
        </is>
      </c>
      <c r="B228" s="1" t="n">
        <v>45075</v>
      </c>
      <c r="C228" s="1" t="n">
        <v>46074</v>
      </c>
      <c r="D228" t="inlineStr">
        <is>
          <t>VÄSTRA GÖTALANDS LÄN</t>
        </is>
      </c>
      <c r="E228" t="inlineStr">
        <is>
          <t>DALS-ED</t>
        </is>
      </c>
      <c r="G228" t="n">
        <v>1.2</v>
      </c>
      <c r="H228" t="n">
        <v>0</v>
      </c>
      <c r="I228" t="n">
        <v>0</v>
      </c>
      <c r="J228" t="n">
        <v>0</v>
      </c>
      <c r="K228" t="n">
        <v>0</v>
      </c>
      <c r="L228" t="n">
        <v>0</v>
      </c>
      <c r="M228" t="n">
        <v>0</v>
      </c>
      <c r="N228" t="n">
        <v>0</v>
      </c>
      <c r="O228" t="n">
        <v>0</v>
      </c>
      <c r="P228" t="n">
        <v>0</v>
      </c>
      <c r="Q228" t="n">
        <v>0</v>
      </c>
      <c r="R228" s="2" t="inlineStr"/>
    </row>
    <row r="229" ht="15" customHeight="1">
      <c r="A229" t="inlineStr">
        <is>
          <t>A 48025-2025</t>
        </is>
      </c>
      <c r="B229" s="1" t="n">
        <v>45932</v>
      </c>
      <c r="C229" s="1" t="n">
        <v>46074</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48344-2024</t>
        </is>
      </c>
      <c r="B230" s="1" t="n">
        <v>45590.55503472222</v>
      </c>
      <c r="C230" s="1" t="n">
        <v>46074</v>
      </c>
      <c r="D230" t="inlineStr">
        <is>
          <t>VÄSTRA GÖTALANDS LÄN</t>
        </is>
      </c>
      <c r="E230" t="inlineStr">
        <is>
          <t>DALS-ED</t>
        </is>
      </c>
      <c r="G230" t="n">
        <v>2.3</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46074</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46447-2021</t>
        </is>
      </c>
      <c r="B232" s="1" t="n">
        <v>44442</v>
      </c>
      <c r="C232" s="1" t="n">
        <v>46074</v>
      </c>
      <c r="D232" t="inlineStr">
        <is>
          <t>VÄSTRA GÖTALANDS LÄN</t>
        </is>
      </c>
      <c r="E232" t="inlineStr">
        <is>
          <t>DALS-ED</t>
        </is>
      </c>
      <c r="G232" t="n">
        <v>3.6</v>
      </c>
      <c r="H232" t="n">
        <v>0</v>
      </c>
      <c r="I232" t="n">
        <v>0</v>
      </c>
      <c r="J232" t="n">
        <v>0</v>
      </c>
      <c r="K232" t="n">
        <v>0</v>
      </c>
      <c r="L232" t="n">
        <v>0</v>
      </c>
      <c r="M232" t="n">
        <v>0</v>
      </c>
      <c r="N232" t="n">
        <v>0</v>
      </c>
      <c r="O232" t="n">
        <v>0</v>
      </c>
      <c r="P232" t="n">
        <v>0</v>
      </c>
      <c r="Q232" t="n">
        <v>0</v>
      </c>
      <c r="R232" s="2" t="inlineStr"/>
    </row>
    <row r="233" ht="15" customHeight="1">
      <c r="A233" t="inlineStr">
        <is>
          <t>A 4731-2022</t>
        </is>
      </c>
      <c r="B233" s="1" t="n">
        <v>44592</v>
      </c>
      <c r="C233" s="1" t="n">
        <v>46074</v>
      </c>
      <c r="D233" t="inlineStr">
        <is>
          <t>VÄSTRA GÖTALANDS LÄN</t>
        </is>
      </c>
      <c r="E233" t="inlineStr">
        <is>
          <t>DALS-ED</t>
        </is>
      </c>
      <c r="G233" t="n">
        <v>2.6</v>
      </c>
      <c r="H233" t="n">
        <v>0</v>
      </c>
      <c r="I233" t="n">
        <v>0</v>
      </c>
      <c r="J233" t="n">
        <v>0</v>
      </c>
      <c r="K233" t="n">
        <v>0</v>
      </c>
      <c r="L233" t="n">
        <v>0</v>
      </c>
      <c r="M233" t="n">
        <v>0</v>
      </c>
      <c r="N233" t="n">
        <v>0</v>
      </c>
      <c r="O233" t="n">
        <v>0</v>
      </c>
      <c r="P233" t="n">
        <v>0</v>
      </c>
      <c r="Q233" t="n">
        <v>0</v>
      </c>
      <c r="R233" s="2" t="inlineStr"/>
    </row>
    <row r="234" ht="15" customHeight="1">
      <c r="A234" t="inlineStr">
        <is>
          <t>A 28588-2024</t>
        </is>
      </c>
      <c r="B234" s="1" t="n">
        <v>45478.41396990741</v>
      </c>
      <c r="C234" s="1" t="n">
        <v>46074</v>
      </c>
      <c r="D234" t="inlineStr">
        <is>
          <t>VÄSTRA GÖTALANDS LÄN</t>
        </is>
      </c>
      <c r="E234" t="inlineStr">
        <is>
          <t>DALS-ED</t>
        </is>
      </c>
      <c r="G234" t="n">
        <v>5.1</v>
      </c>
      <c r="H234" t="n">
        <v>0</v>
      </c>
      <c r="I234" t="n">
        <v>0</v>
      </c>
      <c r="J234" t="n">
        <v>0</v>
      </c>
      <c r="K234" t="n">
        <v>0</v>
      </c>
      <c r="L234" t="n">
        <v>0</v>
      </c>
      <c r="M234" t="n">
        <v>0</v>
      </c>
      <c r="N234" t="n">
        <v>0</v>
      </c>
      <c r="O234" t="n">
        <v>0</v>
      </c>
      <c r="P234" t="n">
        <v>0</v>
      </c>
      <c r="Q234" t="n">
        <v>0</v>
      </c>
      <c r="R234" s="2" t="inlineStr"/>
    </row>
    <row r="235" ht="15" customHeight="1">
      <c r="A235" t="inlineStr">
        <is>
          <t>A 40354-2022</t>
        </is>
      </c>
      <c r="B235" s="1" t="n">
        <v>44823.37871527778</v>
      </c>
      <c r="C235" s="1" t="n">
        <v>46074</v>
      </c>
      <c r="D235" t="inlineStr">
        <is>
          <t>VÄSTRA GÖTALANDS LÄN</t>
        </is>
      </c>
      <c r="E235" t="inlineStr">
        <is>
          <t>DALS-ED</t>
        </is>
      </c>
      <c r="G235" t="n">
        <v>4.1</v>
      </c>
      <c r="H235" t="n">
        <v>0</v>
      </c>
      <c r="I235" t="n">
        <v>0</v>
      </c>
      <c r="J235" t="n">
        <v>0</v>
      </c>
      <c r="K235" t="n">
        <v>0</v>
      </c>
      <c r="L235" t="n">
        <v>0</v>
      </c>
      <c r="M235" t="n">
        <v>0</v>
      </c>
      <c r="N235" t="n">
        <v>0</v>
      </c>
      <c r="O235" t="n">
        <v>0</v>
      </c>
      <c r="P235" t="n">
        <v>0</v>
      </c>
      <c r="Q235" t="n">
        <v>0</v>
      </c>
      <c r="R235" s="2" t="inlineStr"/>
    </row>
    <row r="236" ht="15" customHeight="1">
      <c r="A236" t="inlineStr">
        <is>
          <t>A 9084-2021</t>
        </is>
      </c>
      <c r="B236" s="1" t="n">
        <v>44249</v>
      </c>
      <c r="C236" s="1" t="n">
        <v>46074</v>
      </c>
      <c r="D236" t="inlineStr">
        <is>
          <t>VÄSTRA GÖTALANDS LÄN</t>
        </is>
      </c>
      <c r="E236" t="inlineStr">
        <is>
          <t>DALS-ED</t>
        </is>
      </c>
      <c r="F236" t="inlineStr">
        <is>
          <t>Övriga Aktiebolag</t>
        </is>
      </c>
      <c r="G236" t="n">
        <v>3.8</v>
      </c>
      <c r="H236" t="n">
        <v>0</v>
      </c>
      <c r="I236" t="n">
        <v>0</v>
      </c>
      <c r="J236" t="n">
        <v>0</v>
      </c>
      <c r="K236" t="n">
        <v>0</v>
      </c>
      <c r="L236" t="n">
        <v>0</v>
      </c>
      <c r="M236" t="n">
        <v>0</v>
      </c>
      <c r="N236" t="n">
        <v>0</v>
      </c>
      <c r="O236" t="n">
        <v>0</v>
      </c>
      <c r="P236" t="n">
        <v>0</v>
      </c>
      <c r="Q236" t="n">
        <v>0</v>
      </c>
      <c r="R236" s="2" t="inlineStr"/>
    </row>
    <row r="237" ht="15" customHeight="1">
      <c r="A237" t="inlineStr">
        <is>
          <t>A 34467-2023</t>
        </is>
      </c>
      <c r="B237" s="1" t="n">
        <v>45139.73614583333</v>
      </c>
      <c r="C237" s="1" t="n">
        <v>46074</v>
      </c>
      <c r="D237" t="inlineStr">
        <is>
          <t>VÄSTRA GÖTALANDS LÄN</t>
        </is>
      </c>
      <c r="E237" t="inlineStr">
        <is>
          <t>DALS-ED</t>
        </is>
      </c>
      <c r="G237" t="n">
        <v>1.5</v>
      </c>
      <c r="H237" t="n">
        <v>0</v>
      </c>
      <c r="I237" t="n">
        <v>0</v>
      </c>
      <c r="J237" t="n">
        <v>0</v>
      </c>
      <c r="K237" t="n">
        <v>0</v>
      </c>
      <c r="L237" t="n">
        <v>0</v>
      </c>
      <c r="M237" t="n">
        <v>0</v>
      </c>
      <c r="N237" t="n">
        <v>0</v>
      </c>
      <c r="O237" t="n">
        <v>0</v>
      </c>
      <c r="P237" t="n">
        <v>0</v>
      </c>
      <c r="Q237" t="n">
        <v>0</v>
      </c>
      <c r="R237" s="2" t="inlineStr"/>
    </row>
    <row r="238" ht="15" customHeight="1">
      <c r="A238" t="inlineStr">
        <is>
          <t>A 38044-2025</t>
        </is>
      </c>
      <c r="B238" s="1" t="n">
        <v>45882</v>
      </c>
      <c r="C238" s="1" t="n">
        <v>46074</v>
      </c>
      <c r="D238" t="inlineStr">
        <is>
          <t>VÄSTRA GÖTALANDS LÄN</t>
        </is>
      </c>
      <c r="E238" t="inlineStr">
        <is>
          <t>DALS-ED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38370-2025</t>
        </is>
      </c>
      <c r="B239" s="1" t="n">
        <v>45883.55738425926</v>
      </c>
      <c r="C239" s="1" t="n">
        <v>46074</v>
      </c>
      <c r="D239" t="inlineStr">
        <is>
          <t>VÄSTRA GÖTALANDS LÄN</t>
        </is>
      </c>
      <c r="E239" t="inlineStr">
        <is>
          <t>DALS-ED</t>
        </is>
      </c>
      <c r="G239" t="n">
        <v>2.3</v>
      </c>
      <c r="H239" t="n">
        <v>0</v>
      </c>
      <c r="I239" t="n">
        <v>0</v>
      </c>
      <c r="J239" t="n">
        <v>0</v>
      </c>
      <c r="K239" t="n">
        <v>0</v>
      </c>
      <c r="L239" t="n">
        <v>0</v>
      </c>
      <c r="M239" t="n">
        <v>0</v>
      </c>
      <c r="N239" t="n">
        <v>0</v>
      </c>
      <c r="O239" t="n">
        <v>0</v>
      </c>
      <c r="P239" t="n">
        <v>0</v>
      </c>
      <c r="Q239" t="n">
        <v>0</v>
      </c>
      <c r="R239" s="2" t="inlineStr"/>
    </row>
    <row r="240" ht="15" customHeight="1">
      <c r="A240" t="inlineStr">
        <is>
          <t>A 38372-2025</t>
        </is>
      </c>
      <c r="B240" s="1" t="n">
        <v>45883.56460648148</v>
      </c>
      <c r="C240" s="1" t="n">
        <v>46074</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46074</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58590-2024</t>
        </is>
      </c>
      <c r="B242" s="1" t="n">
        <v>45632</v>
      </c>
      <c r="C242" s="1" t="n">
        <v>46074</v>
      </c>
      <c r="D242" t="inlineStr">
        <is>
          <t>VÄSTRA GÖTALANDS LÄN</t>
        </is>
      </c>
      <c r="E242" t="inlineStr">
        <is>
          <t>DALS-ED</t>
        </is>
      </c>
      <c r="G242" t="n">
        <v>1.7</v>
      </c>
      <c r="H242" t="n">
        <v>0</v>
      </c>
      <c r="I242" t="n">
        <v>0</v>
      </c>
      <c r="J242" t="n">
        <v>0</v>
      </c>
      <c r="K242" t="n">
        <v>0</v>
      </c>
      <c r="L242" t="n">
        <v>0</v>
      </c>
      <c r="M242" t="n">
        <v>0</v>
      </c>
      <c r="N242" t="n">
        <v>0</v>
      </c>
      <c r="O242" t="n">
        <v>0</v>
      </c>
      <c r="P242" t="n">
        <v>0</v>
      </c>
      <c r="Q242" t="n">
        <v>0</v>
      </c>
      <c r="R242" s="2" t="inlineStr"/>
    </row>
    <row r="243" ht="15" customHeight="1">
      <c r="A243" t="inlineStr">
        <is>
          <t>A 7986-2023</t>
        </is>
      </c>
      <c r="B243" s="1" t="n">
        <v>44970</v>
      </c>
      <c r="C243" s="1" t="n">
        <v>46074</v>
      </c>
      <c r="D243" t="inlineStr">
        <is>
          <t>VÄSTRA GÖTALANDS LÄN</t>
        </is>
      </c>
      <c r="E243" t="inlineStr">
        <is>
          <t>DALS-ED</t>
        </is>
      </c>
      <c r="F243" t="inlineStr">
        <is>
          <t>Kyrkan</t>
        </is>
      </c>
      <c r="G243" t="n">
        <v>1.2</v>
      </c>
      <c r="H243" t="n">
        <v>0</v>
      </c>
      <c r="I243" t="n">
        <v>0</v>
      </c>
      <c r="J243" t="n">
        <v>0</v>
      </c>
      <c r="K243" t="n">
        <v>0</v>
      </c>
      <c r="L243" t="n">
        <v>0</v>
      </c>
      <c r="M243" t="n">
        <v>0</v>
      </c>
      <c r="N243" t="n">
        <v>0</v>
      </c>
      <c r="O243" t="n">
        <v>0</v>
      </c>
      <c r="P243" t="n">
        <v>0</v>
      </c>
      <c r="Q243" t="n">
        <v>0</v>
      </c>
      <c r="R243" s="2" t="inlineStr"/>
    </row>
    <row r="244" ht="15" customHeight="1">
      <c r="A244" t="inlineStr">
        <is>
          <t>A 49469-2025</t>
        </is>
      </c>
      <c r="B244" s="1" t="n">
        <v>45939.34195601852</v>
      </c>
      <c r="C244" s="1" t="n">
        <v>46074</v>
      </c>
      <c r="D244" t="inlineStr">
        <is>
          <t>VÄSTRA GÖTALANDS LÄN</t>
        </is>
      </c>
      <c r="E244" t="inlineStr">
        <is>
          <t>DALS-ED</t>
        </is>
      </c>
      <c r="G244" t="n">
        <v>3.3</v>
      </c>
      <c r="H244" t="n">
        <v>0</v>
      </c>
      <c r="I244" t="n">
        <v>0</v>
      </c>
      <c r="J244" t="n">
        <v>0</v>
      </c>
      <c r="K244" t="n">
        <v>0</v>
      </c>
      <c r="L244" t="n">
        <v>0</v>
      </c>
      <c r="M244" t="n">
        <v>0</v>
      </c>
      <c r="N244" t="n">
        <v>0</v>
      </c>
      <c r="O244" t="n">
        <v>0</v>
      </c>
      <c r="P244" t="n">
        <v>0</v>
      </c>
      <c r="Q244" t="n">
        <v>0</v>
      </c>
      <c r="R244" s="2" t="inlineStr"/>
    </row>
    <row r="245" ht="15" customHeight="1">
      <c r="A245" t="inlineStr">
        <is>
          <t>A 13703-2025</t>
        </is>
      </c>
      <c r="B245" s="1" t="n">
        <v>45737.33689814815</v>
      </c>
      <c r="C245" s="1" t="n">
        <v>46074</v>
      </c>
      <c r="D245" t="inlineStr">
        <is>
          <t>VÄSTRA GÖTALANDS LÄN</t>
        </is>
      </c>
      <c r="E245" t="inlineStr">
        <is>
          <t>DALS-ED</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38671-2024</t>
        </is>
      </c>
      <c r="B246" s="1" t="n">
        <v>45547.32871527778</v>
      </c>
      <c r="C246" s="1" t="n">
        <v>46074</v>
      </c>
      <c r="D246" t="inlineStr">
        <is>
          <t>VÄSTRA GÖTALANDS LÄN</t>
        </is>
      </c>
      <c r="E246" t="inlineStr">
        <is>
          <t>DALS-ED</t>
        </is>
      </c>
      <c r="G246" t="n">
        <v>4.9</v>
      </c>
      <c r="H246" t="n">
        <v>0</v>
      </c>
      <c r="I246" t="n">
        <v>0</v>
      </c>
      <c r="J246" t="n">
        <v>0</v>
      </c>
      <c r="K246" t="n">
        <v>0</v>
      </c>
      <c r="L246" t="n">
        <v>0</v>
      </c>
      <c r="M246" t="n">
        <v>0</v>
      </c>
      <c r="N246" t="n">
        <v>0</v>
      </c>
      <c r="O246" t="n">
        <v>0</v>
      </c>
      <c r="P246" t="n">
        <v>0</v>
      </c>
      <c r="Q246" t="n">
        <v>0</v>
      </c>
      <c r="R246" s="2" t="inlineStr"/>
    </row>
    <row r="247" ht="15" customHeight="1">
      <c r="A247" t="inlineStr">
        <is>
          <t>A 58206-2022</t>
        </is>
      </c>
      <c r="B247" s="1" t="n">
        <v>44901</v>
      </c>
      <c r="C247" s="1" t="n">
        <v>46074</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49903-2025</t>
        </is>
      </c>
      <c r="B248" s="1" t="n">
        <v>45940.59493055556</v>
      </c>
      <c r="C248" s="1" t="n">
        <v>46074</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61736-2023</t>
        </is>
      </c>
      <c r="B249" s="1" t="n">
        <v>45265</v>
      </c>
      <c r="C249" s="1" t="n">
        <v>46074</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49901-2025</t>
        </is>
      </c>
      <c r="B250" s="1" t="n">
        <v>45940.59416666667</v>
      </c>
      <c r="C250" s="1" t="n">
        <v>46074</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4115-2023</t>
        </is>
      </c>
      <c r="B251" s="1" t="n">
        <v>44952</v>
      </c>
      <c r="C251" s="1" t="n">
        <v>46074</v>
      </c>
      <c r="D251" t="inlineStr">
        <is>
          <t>VÄSTRA GÖTALANDS LÄN</t>
        </is>
      </c>
      <c r="E251" t="inlineStr">
        <is>
          <t>DALS-ED</t>
        </is>
      </c>
      <c r="G251" t="n">
        <v>4.2</v>
      </c>
      <c r="H251" t="n">
        <v>0</v>
      </c>
      <c r="I251" t="n">
        <v>0</v>
      </c>
      <c r="J251" t="n">
        <v>0</v>
      </c>
      <c r="K251" t="n">
        <v>0</v>
      </c>
      <c r="L251" t="n">
        <v>0</v>
      </c>
      <c r="M251" t="n">
        <v>0</v>
      </c>
      <c r="N251" t="n">
        <v>0</v>
      </c>
      <c r="O251" t="n">
        <v>0</v>
      </c>
      <c r="P251" t="n">
        <v>0</v>
      </c>
      <c r="Q251" t="n">
        <v>0</v>
      </c>
      <c r="R251" s="2" t="inlineStr"/>
    </row>
    <row r="252" ht="15" customHeight="1">
      <c r="A252" t="inlineStr">
        <is>
          <t>A 42979-2022</t>
        </is>
      </c>
      <c r="B252" s="1" t="n">
        <v>44833.46141203704</v>
      </c>
      <c r="C252" s="1" t="n">
        <v>46074</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7394-2025</t>
        </is>
      </c>
      <c r="B253" s="1" t="n">
        <v>45705.33614583333</v>
      </c>
      <c r="C253" s="1" t="n">
        <v>46074</v>
      </c>
      <c r="D253" t="inlineStr">
        <is>
          <t>VÄSTRA GÖTALANDS LÄN</t>
        </is>
      </c>
      <c r="E253" t="inlineStr">
        <is>
          <t>DALS-ED</t>
        </is>
      </c>
      <c r="G253" t="n">
        <v>2.8</v>
      </c>
      <c r="H253" t="n">
        <v>0</v>
      </c>
      <c r="I253" t="n">
        <v>0</v>
      </c>
      <c r="J253" t="n">
        <v>0</v>
      </c>
      <c r="K253" t="n">
        <v>0</v>
      </c>
      <c r="L253" t="n">
        <v>0</v>
      </c>
      <c r="M253" t="n">
        <v>0</v>
      </c>
      <c r="N253" t="n">
        <v>0</v>
      </c>
      <c r="O253" t="n">
        <v>0</v>
      </c>
      <c r="P253" t="n">
        <v>0</v>
      </c>
      <c r="Q253" t="n">
        <v>0</v>
      </c>
      <c r="R253" s="2" t="inlineStr"/>
    </row>
    <row r="254" ht="15" customHeight="1">
      <c r="A254" t="inlineStr">
        <is>
          <t>A 64338-2021</t>
        </is>
      </c>
      <c r="B254" s="1" t="n">
        <v>44511</v>
      </c>
      <c r="C254" s="1" t="n">
        <v>46074</v>
      </c>
      <c r="D254" t="inlineStr">
        <is>
          <t>VÄSTRA GÖTALANDS LÄN</t>
        </is>
      </c>
      <c r="E254" t="inlineStr">
        <is>
          <t>DALS-ED</t>
        </is>
      </c>
      <c r="G254" t="n">
        <v>5.6</v>
      </c>
      <c r="H254" t="n">
        <v>0</v>
      </c>
      <c r="I254" t="n">
        <v>0</v>
      </c>
      <c r="J254" t="n">
        <v>0</v>
      </c>
      <c r="K254" t="n">
        <v>0</v>
      </c>
      <c r="L254" t="n">
        <v>0</v>
      </c>
      <c r="M254" t="n">
        <v>0</v>
      </c>
      <c r="N254" t="n">
        <v>0</v>
      </c>
      <c r="O254" t="n">
        <v>0</v>
      </c>
      <c r="P254" t="n">
        <v>0</v>
      </c>
      <c r="Q254" t="n">
        <v>0</v>
      </c>
      <c r="R254" s="2" t="inlineStr"/>
    </row>
    <row r="255" ht="15" customHeight="1">
      <c r="A255" t="inlineStr">
        <is>
          <t>A 57701-2023</t>
        </is>
      </c>
      <c r="B255" s="1" t="n">
        <v>45246.67354166666</v>
      </c>
      <c r="C255" s="1" t="n">
        <v>46074</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50943-2025</t>
        </is>
      </c>
      <c r="B256" s="1" t="n">
        <v>45946.72012731482</v>
      </c>
      <c r="C256" s="1" t="n">
        <v>46074</v>
      </c>
      <c r="D256" t="inlineStr">
        <is>
          <t>VÄSTRA GÖTALANDS LÄN</t>
        </is>
      </c>
      <c r="E256" t="inlineStr">
        <is>
          <t>DALS-ED</t>
        </is>
      </c>
      <c r="G256" t="n">
        <v>2.1</v>
      </c>
      <c r="H256" t="n">
        <v>0</v>
      </c>
      <c r="I256" t="n">
        <v>0</v>
      </c>
      <c r="J256" t="n">
        <v>0</v>
      </c>
      <c r="K256" t="n">
        <v>0</v>
      </c>
      <c r="L256" t="n">
        <v>0</v>
      </c>
      <c r="M256" t="n">
        <v>0</v>
      </c>
      <c r="N256" t="n">
        <v>0</v>
      </c>
      <c r="O256" t="n">
        <v>0</v>
      </c>
      <c r="P256" t="n">
        <v>0</v>
      </c>
      <c r="Q256" t="n">
        <v>0</v>
      </c>
      <c r="R256" s="2" t="inlineStr"/>
    </row>
    <row r="257" ht="15" customHeight="1">
      <c r="A257" t="inlineStr">
        <is>
          <t>A 50735-2025</t>
        </is>
      </c>
      <c r="B257" s="1" t="n">
        <v>45946.36746527778</v>
      </c>
      <c r="C257" s="1" t="n">
        <v>46074</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51554-2025</t>
        </is>
      </c>
      <c r="B258" s="1" t="n">
        <v>45950.88504629629</v>
      </c>
      <c r="C258" s="1" t="n">
        <v>46074</v>
      </c>
      <c r="D258" t="inlineStr">
        <is>
          <t>VÄSTRA GÖTALANDS LÄN</t>
        </is>
      </c>
      <c r="E258" t="inlineStr">
        <is>
          <t>DALS-ED</t>
        </is>
      </c>
      <c r="F258" t="inlineStr">
        <is>
          <t>Kyrkan</t>
        </is>
      </c>
      <c r="G258" t="n">
        <v>5.3</v>
      </c>
      <c r="H258" t="n">
        <v>0</v>
      </c>
      <c r="I258" t="n">
        <v>0</v>
      </c>
      <c r="J258" t="n">
        <v>0</v>
      </c>
      <c r="K258" t="n">
        <v>0</v>
      </c>
      <c r="L258" t="n">
        <v>0</v>
      </c>
      <c r="M258" t="n">
        <v>0</v>
      </c>
      <c r="N258" t="n">
        <v>0</v>
      </c>
      <c r="O258" t="n">
        <v>0</v>
      </c>
      <c r="P258" t="n">
        <v>0</v>
      </c>
      <c r="Q258" t="n">
        <v>0</v>
      </c>
      <c r="R258" s="2" t="inlineStr"/>
    </row>
    <row r="259" ht="15" customHeight="1">
      <c r="A259" t="inlineStr">
        <is>
          <t>A 5117-2023</t>
        </is>
      </c>
      <c r="B259" s="1" t="n">
        <v>44958.67679398148</v>
      </c>
      <c r="C259" s="1" t="n">
        <v>46074</v>
      </c>
      <c r="D259" t="inlineStr">
        <is>
          <t>VÄSTRA GÖTALANDS LÄN</t>
        </is>
      </c>
      <c r="E259" t="inlineStr">
        <is>
          <t>DALS-ED</t>
        </is>
      </c>
      <c r="G259" t="n">
        <v>1.7</v>
      </c>
      <c r="H259" t="n">
        <v>0</v>
      </c>
      <c r="I259" t="n">
        <v>0</v>
      </c>
      <c r="J259" t="n">
        <v>0</v>
      </c>
      <c r="K259" t="n">
        <v>0</v>
      </c>
      <c r="L259" t="n">
        <v>0</v>
      </c>
      <c r="M259" t="n">
        <v>0</v>
      </c>
      <c r="N259" t="n">
        <v>0</v>
      </c>
      <c r="O259" t="n">
        <v>0</v>
      </c>
      <c r="P259" t="n">
        <v>0</v>
      </c>
      <c r="Q259" t="n">
        <v>0</v>
      </c>
      <c r="R259" s="2" t="inlineStr"/>
    </row>
    <row r="260" ht="15" customHeight="1">
      <c r="A260" t="inlineStr">
        <is>
          <t>A 31867-2025</t>
        </is>
      </c>
      <c r="B260" s="1" t="n">
        <v>45834.64337962963</v>
      </c>
      <c r="C260" s="1" t="n">
        <v>46074</v>
      </c>
      <c r="D260" t="inlineStr">
        <is>
          <t>VÄSTRA GÖTALANDS LÄN</t>
        </is>
      </c>
      <c r="E260" t="inlineStr">
        <is>
          <t>DALS-ED</t>
        </is>
      </c>
      <c r="G260" t="n">
        <v>3.6</v>
      </c>
      <c r="H260" t="n">
        <v>0</v>
      </c>
      <c r="I260" t="n">
        <v>0</v>
      </c>
      <c r="J260" t="n">
        <v>0</v>
      </c>
      <c r="K260" t="n">
        <v>0</v>
      </c>
      <c r="L260" t="n">
        <v>0</v>
      </c>
      <c r="M260" t="n">
        <v>0</v>
      </c>
      <c r="N260" t="n">
        <v>0</v>
      </c>
      <c r="O260" t="n">
        <v>0</v>
      </c>
      <c r="P260" t="n">
        <v>0</v>
      </c>
      <c r="Q260" t="n">
        <v>0</v>
      </c>
      <c r="R260" s="2" t="inlineStr"/>
    </row>
    <row r="261" ht="15" customHeight="1">
      <c r="A261" t="inlineStr">
        <is>
          <t>A 51816-2025</t>
        </is>
      </c>
      <c r="B261" s="1" t="n">
        <v>45951.85037037037</v>
      </c>
      <c r="C261" s="1" t="n">
        <v>46074</v>
      </c>
      <c r="D261" t="inlineStr">
        <is>
          <t>VÄSTRA GÖTALANDS LÄN</t>
        </is>
      </c>
      <c r="E261" t="inlineStr">
        <is>
          <t>DALS-ED</t>
        </is>
      </c>
      <c r="G261" t="n">
        <v>7.7</v>
      </c>
      <c r="H261" t="n">
        <v>0</v>
      </c>
      <c r="I261" t="n">
        <v>0</v>
      </c>
      <c r="J261" t="n">
        <v>0</v>
      </c>
      <c r="K261" t="n">
        <v>0</v>
      </c>
      <c r="L261" t="n">
        <v>0</v>
      </c>
      <c r="M261" t="n">
        <v>0</v>
      </c>
      <c r="N261" t="n">
        <v>0</v>
      </c>
      <c r="O261" t="n">
        <v>0</v>
      </c>
      <c r="P261" t="n">
        <v>0</v>
      </c>
      <c r="Q261" t="n">
        <v>0</v>
      </c>
      <c r="R261" s="2" t="inlineStr"/>
    </row>
    <row r="262" ht="15" customHeight="1">
      <c r="A262" t="inlineStr">
        <is>
          <t>A 51818-2025</t>
        </is>
      </c>
      <c r="B262" s="1" t="n">
        <v>45951.88065972222</v>
      </c>
      <c r="C262" s="1" t="n">
        <v>46074</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51817-2025</t>
        </is>
      </c>
      <c r="B263" s="1" t="n">
        <v>45951.85413194444</v>
      </c>
      <c r="C263" s="1" t="n">
        <v>46074</v>
      </c>
      <c r="D263" t="inlineStr">
        <is>
          <t>VÄSTRA GÖTALANDS LÄN</t>
        </is>
      </c>
      <c r="E263" t="inlineStr">
        <is>
          <t>DALS-ED</t>
        </is>
      </c>
      <c r="G263" t="n">
        <v>7.6</v>
      </c>
      <c r="H263" t="n">
        <v>0</v>
      </c>
      <c r="I263" t="n">
        <v>0</v>
      </c>
      <c r="J263" t="n">
        <v>0</v>
      </c>
      <c r="K263" t="n">
        <v>0</v>
      </c>
      <c r="L263" t="n">
        <v>0</v>
      </c>
      <c r="M263" t="n">
        <v>0</v>
      </c>
      <c r="N263" t="n">
        <v>0</v>
      </c>
      <c r="O263" t="n">
        <v>0</v>
      </c>
      <c r="P263" t="n">
        <v>0</v>
      </c>
      <c r="Q263" t="n">
        <v>0</v>
      </c>
      <c r="R263" s="2" t="inlineStr"/>
    </row>
    <row r="264" ht="15" customHeight="1">
      <c r="A264" t="inlineStr">
        <is>
          <t>A 51821-2025</t>
        </is>
      </c>
      <c r="B264" s="1" t="n">
        <v>45951.90053240741</v>
      </c>
      <c r="C264" s="1" t="n">
        <v>46074</v>
      </c>
      <c r="D264" t="inlineStr">
        <is>
          <t>VÄSTRA GÖTALANDS LÄN</t>
        </is>
      </c>
      <c r="E264" t="inlineStr">
        <is>
          <t>DALS-ED</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13491-2024</t>
        </is>
      </c>
      <c r="B265" s="1" t="n">
        <v>45387.6203587963</v>
      </c>
      <c r="C265" s="1" t="n">
        <v>46074</v>
      </c>
      <c r="D265" t="inlineStr">
        <is>
          <t>VÄSTRA GÖTALANDS LÄN</t>
        </is>
      </c>
      <c r="E265" t="inlineStr">
        <is>
          <t>DALS-ED</t>
        </is>
      </c>
      <c r="G265" t="n">
        <v>2</v>
      </c>
      <c r="H265" t="n">
        <v>0</v>
      </c>
      <c r="I265" t="n">
        <v>0</v>
      </c>
      <c r="J265" t="n">
        <v>0</v>
      </c>
      <c r="K265" t="n">
        <v>0</v>
      </c>
      <c r="L265" t="n">
        <v>0</v>
      </c>
      <c r="M265" t="n">
        <v>0</v>
      </c>
      <c r="N265" t="n">
        <v>0</v>
      </c>
      <c r="O265" t="n">
        <v>0</v>
      </c>
      <c r="P265" t="n">
        <v>0</v>
      </c>
      <c r="Q265" t="n">
        <v>0</v>
      </c>
      <c r="R265" s="2" t="inlineStr"/>
    </row>
    <row r="266" ht="15" customHeight="1">
      <c r="A266" t="inlineStr">
        <is>
          <t>A 17800-2023</t>
        </is>
      </c>
      <c r="B266" s="1" t="n">
        <v>45037.56935185185</v>
      </c>
      <c r="C266" s="1" t="n">
        <v>46074</v>
      </c>
      <c r="D266" t="inlineStr">
        <is>
          <t>VÄSTRA GÖTALANDS LÄN</t>
        </is>
      </c>
      <c r="E266" t="inlineStr">
        <is>
          <t>DALS-ED</t>
        </is>
      </c>
      <c r="G266" t="n">
        <v>1.2</v>
      </c>
      <c r="H266" t="n">
        <v>0</v>
      </c>
      <c r="I266" t="n">
        <v>0</v>
      </c>
      <c r="J266" t="n">
        <v>0</v>
      </c>
      <c r="K266" t="n">
        <v>0</v>
      </c>
      <c r="L266" t="n">
        <v>0</v>
      </c>
      <c r="M266" t="n">
        <v>0</v>
      </c>
      <c r="N266" t="n">
        <v>0</v>
      </c>
      <c r="O266" t="n">
        <v>0</v>
      </c>
      <c r="P266" t="n">
        <v>0</v>
      </c>
      <c r="Q266" t="n">
        <v>0</v>
      </c>
      <c r="R266" s="2" t="inlineStr"/>
    </row>
    <row r="267" ht="15" customHeight="1">
      <c r="A267" t="inlineStr">
        <is>
          <t>A 4114-2023</t>
        </is>
      </c>
      <c r="B267" s="1" t="n">
        <v>44952</v>
      </c>
      <c r="C267" s="1" t="n">
        <v>46074</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6268-2025</t>
        </is>
      </c>
      <c r="B268" s="1" t="n">
        <v>45698.60086805555</v>
      </c>
      <c r="C268" s="1" t="n">
        <v>46074</v>
      </c>
      <c r="D268" t="inlineStr">
        <is>
          <t>VÄSTRA GÖTALANDS LÄN</t>
        </is>
      </c>
      <c r="E268" t="inlineStr">
        <is>
          <t>DALS-ED</t>
        </is>
      </c>
      <c r="G268" t="n">
        <v>6.3</v>
      </c>
      <c r="H268" t="n">
        <v>0</v>
      </c>
      <c r="I268" t="n">
        <v>0</v>
      </c>
      <c r="J268" t="n">
        <v>0</v>
      </c>
      <c r="K268" t="n">
        <v>0</v>
      </c>
      <c r="L268" t="n">
        <v>0</v>
      </c>
      <c r="M268" t="n">
        <v>0</v>
      </c>
      <c r="N268" t="n">
        <v>0</v>
      </c>
      <c r="O268" t="n">
        <v>0</v>
      </c>
      <c r="P268" t="n">
        <v>0</v>
      </c>
      <c r="Q268" t="n">
        <v>0</v>
      </c>
      <c r="R268" s="2" t="inlineStr"/>
    </row>
    <row r="269" ht="15" customHeight="1">
      <c r="A269" t="inlineStr">
        <is>
          <t>A 12703-2025</t>
        </is>
      </c>
      <c r="B269" s="1" t="n">
        <v>45733.46701388889</v>
      </c>
      <c r="C269" s="1" t="n">
        <v>46074</v>
      </c>
      <c r="D269" t="inlineStr">
        <is>
          <t>VÄSTRA GÖTALANDS LÄN</t>
        </is>
      </c>
      <c r="E269" t="inlineStr">
        <is>
          <t>DALS-ED</t>
        </is>
      </c>
      <c r="G269" t="n">
        <v>2.2</v>
      </c>
      <c r="H269" t="n">
        <v>0</v>
      </c>
      <c r="I269" t="n">
        <v>0</v>
      </c>
      <c r="J269" t="n">
        <v>0</v>
      </c>
      <c r="K269" t="n">
        <v>0</v>
      </c>
      <c r="L269" t="n">
        <v>0</v>
      </c>
      <c r="M269" t="n">
        <v>0</v>
      </c>
      <c r="N269" t="n">
        <v>0</v>
      </c>
      <c r="O269" t="n">
        <v>0</v>
      </c>
      <c r="P269" t="n">
        <v>0</v>
      </c>
      <c r="Q269" t="n">
        <v>0</v>
      </c>
      <c r="R269" s="2" t="inlineStr"/>
    </row>
    <row r="270" ht="15" customHeight="1">
      <c r="A270" t="inlineStr">
        <is>
          <t>A 9164-2025</t>
        </is>
      </c>
      <c r="B270" s="1" t="n">
        <v>45714.36677083333</v>
      </c>
      <c r="C270" s="1" t="n">
        <v>46074</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22847-2021</t>
        </is>
      </c>
      <c r="B271" s="1" t="n">
        <v>44328</v>
      </c>
      <c r="C271" s="1" t="n">
        <v>46074</v>
      </c>
      <c r="D271" t="inlineStr">
        <is>
          <t>VÄSTRA GÖTALANDS LÄN</t>
        </is>
      </c>
      <c r="E271" t="inlineStr">
        <is>
          <t>DALS-ED</t>
        </is>
      </c>
      <c r="G271" t="n">
        <v>0.9</v>
      </c>
      <c r="H271" t="n">
        <v>0</v>
      </c>
      <c r="I271" t="n">
        <v>0</v>
      </c>
      <c r="J271" t="n">
        <v>0</v>
      </c>
      <c r="K271" t="n">
        <v>0</v>
      </c>
      <c r="L271" t="n">
        <v>0</v>
      </c>
      <c r="M271" t="n">
        <v>0</v>
      </c>
      <c r="N271" t="n">
        <v>0</v>
      </c>
      <c r="O271" t="n">
        <v>0</v>
      </c>
      <c r="P271" t="n">
        <v>0</v>
      </c>
      <c r="Q271" t="n">
        <v>0</v>
      </c>
      <c r="R271" s="2" t="inlineStr"/>
    </row>
    <row r="272" ht="15" customHeight="1">
      <c r="A272" t="inlineStr">
        <is>
          <t>A 2082-2025</t>
        </is>
      </c>
      <c r="B272" s="1" t="n">
        <v>45672.58420138889</v>
      </c>
      <c r="C272" s="1" t="n">
        <v>46074</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46074</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46074</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23859-2023</t>
        </is>
      </c>
      <c r="B275" s="1" t="n">
        <v>45075</v>
      </c>
      <c r="C275" s="1" t="n">
        <v>46074</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14012-2023</t>
        </is>
      </c>
      <c r="B276" s="1" t="n">
        <v>45008</v>
      </c>
      <c r="C276" s="1" t="n">
        <v>46074</v>
      </c>
      <c r="D276" t="inlineStr">
        <is>
          <t>VÄSTRA GÖTALANDS LÄN</t>
        </is>
      </c>
      <c r="E276" t="inlineStr">
        <is>
          <t>DALS-ED</t>
        </is>
      </c>
      <c r="G276" t="n">
        <v>0.5</v>
      </c>
      <c r="H276" t="n">
        <v>0</v>
      </c>
      <c r="I276" t="n">
        <v>0</v>
      </c>
      <c r="J276" t="n">
        <v>0</v>
      </c>
      <c r="K276" t="n">
        <v>0</v>
      </c>
      <c r="L276" t="n">
        <v>0</v>
      </c>
      <c r="M276" t="n">
        <v>0</v>
      </c>
      <c r="N276" t="n">
        <v>0</v>
      </c>
      <c r="O276" t="n">
        <v>0</v>
      </c>
      <c r="P276" t="n">
        <v>0</v>
      </c>
      <c r="Q276" t="n">
        <v>0</v>
      </c>
      <c r="R276" s="2" t="inlineStr"/>
    </row>
    <row r="277" ht="15" customHeight="1">
      <c r="A277" t="inlineStr">
        <is>
          <t>A 27308-2022</t>
        </is>
      </c>
      <c r="B277" s="1" t="n">
        <v>44742.33100694444</v>
      </c>
      <c r="C277" s="1" t="n">
        <v>46074</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2280-2023</t>
        </is>
      </c>
      <c r="B278" s="1" t="n">
        <v>44942.51903935185</v>
      </c>
      <c r="C278" s="1" t="n">
        <v>46074</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54688-2025</t>
        </is>
      </c>
      <c r="B279" s="1" t="n">
        <v>45966.45077546296</v>
      </c>
      <c r="C279" s="1" t="n">
        <v>46074</v>
      </c>
      <c r="D279" t="inlineStr">
        <is>
          <t>VÄSTRA GÖTALANDS LÄN</t>
        </is>
      </c>
      <c r="E279" t="inlineStr">
        <is>
          <t>DALS-ED</t>
        </is>
      </c>
      <c r="G279" t="n">
        <v>5.2</v>
      </c>
      <c r="H279" t="n">
        <v>0</v>
      </c>
      <c r="I279" t="n">
        <v>0</v>
      </c>
      <c r="J279" t="n">
        <v>0</v>
      </c>
      <c r="K279" t="n">
        <v>0</v>
      </c>
      <c r="L279" t="n">
        <v>0</v>
      </c>
      <c r="M279" t="n">
        <v>0</v>
      </c>
      <c r="N279" t="n">
        <v>0</v>
      </c>
      <c r="O279" t="n">
        <v>0</v>
      </c>
      <c r="P279" t="n">
        <v>0</v>
      </c>
      <c r="Q279" t="n">
        <v>0</v>
      </c>
      <c r="R279" s="2" t="inlineStr"/>
    </row>
    <row r="280" ht="15" customHeight="1">
      <c r="A280" t="inlineStr">
        <is>
          <t>A 54686-2025</t>
        </is>
      </c>
      <c r="B280" s="1" t="n">
        <v>45966.44347222222</v>
      </c>
      <c r="C280" s="1" t="n">
        <v>46074</v>
      </c>
      <c r="D280" t="inlineStr">
        <is>
          <t>VÄSTRA GÖTALANDS LÄN</t>
        </is>
      </c>
      <c r="E280" t="inlineStr">
        <is>
          <t>DALS-ED</t>
        </is>
      </c>
      <c r="G280" t="n">
        <v>2.6</v>
      </c>
      <c r="H280" t="n">
        <v>0</v>
      </c>
      <c r="I280" t="n">
        <v>0</v>
      </c>
      <c r="J280" t="n">
        <v>0</v>
      </c>
      <c r="K280" t="n">
        <v>0</v>
      </c>
      <c r="L280" t="n">
        <v>0</v>
      </c>
      <c r="M280" t="n">
        <v>0</v>
      </c>
      <c r="N280" t="n">
        <v>0</v>
      </c>
      <c r="O280" t="n">
        <v>0</v>
      </c>
      <c r="P280" t="n">
        <v>0</v>
      </c>
      <c r="Q280" t="n">
        <v>0</v>
      </c>
      <c r="R280" s="2" t="inlineStr"/>
    </row>
    <row r="281" ht="15" customHeight="1">
      <c r="A281" t="inlineStr">
        <is>
          <t>A 54679-2025</t>
        </is>
      </c>
      <c r="B281" s="1" t="n">
        <v>45966.42574074074</v>
      </c>
      <c r="C281" s="1" t="n">
        <v>46074</v>
      </c>
      <c r="D281" t="inlineStr">
        <is>
          <t>VÄSTRA GÖTALANDS LÄN</t>
        </is>
      </c>
      <c r="E281" t="inlineStr">
        <is>
          <t>DALS-ED</t>
        </is>
      </c>
      <c r="G281" t="n">
        <v>2</v>
      </c>
      <c r="H281" t="n">
        <v>0</v>
      </c>
      <c r="I281" t="n">
        <v>0</v>
      </c>
      <c r="J281" t="n">
        <v>0</v>
      </c>
      <c r="K281" t="n">
        <v>0</v>
      </c>
      <c r="L281" t="n">
        <v>0</v>
      </c>
      <c r="M281" t="n">
        <v>0</v>
      </c>
      <c r="N281" t="n">
        <v>0</v>
      </c>
      <c r="O281" t="n">
        <v>0</v>
      </c>
      <c r="P281" t="n">
        <v>0</v>
      </c>
      <c r="Q281" t="n">
        <v>0</v>
      </c>
      <c r="R281" s="2" t="inlineStr"/>
    </row>
    <row r="282" ht="15" customHeight="1">
      <c r="A282" t="inlineStr">
        <is>
          <t>A 54695-2025</t>
        </is>
      </c>
      <c r="B282" s="1" t="n">
        <v>45966.46392361111</v>
      </c>
      <c r="C282" s="1" t="n">
        <v>46074</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38383-2023</t>
        </is>
      </c>
      <c r="B283" s="1" t="n">
        <v>45162.25072916667</v>
      </c>
      <c r="C283" s="1" t="n">
        <v>46074</v>
      </c>
      <c r="D283" t="inlineStr">
        <is>
          <t>VÄSTRA GÖTALANDS LÄN</t>
        </is>
      </c>
      <c r="E283" t="inlineStr">
        <is>
          <t>DALS-ED</t>
        </is>
      </c>
      <c r="G283" t="n">
        <v>2.5</v>
      </c>
      <c r="H283" t="n">
        <v>0</v>
      </c>
      <c r="I283" t="n">
        <v>0</v>
      </c>
      <c r="J283" t="n">
        <v>0</v>
      </c>
      <c r="K283" t="n">
        <v>0</v>
      </c>
      <c r="L283" t="n">
        <v>0</v>
      </c>
      <c r="M283" t="n">
        <v>0</v>
      </c>
      <c r="N283" t="n">
        <v>0</v>
      </c>
      <c r="O283" t="n">
        <v>0</v>
      </c>
      <c r="P283" t="n">
        <v>0</v>
      </c>
      <c r="Q283" t="n">
        <v>0</v>
      </c>
      <c r="R283" s="2" t="inlineStr"/>
    </row>
    <row r="284" ht="15" customHeight="1">
      <c r="A284" t="inlineStr">
        <is>
          <t>A 62996-2023</t>
        </is>
      </c>
      <c r="B284" s="1" t="n">
        <v>45272.63121527778</v>
      </c>
      <c r="C284" s="1" t="n">
        <v>46074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25007-2023</t>
        </is>
      </c>
      <c r="B285" s="1" t="n">
        <v>45085.67021990741</v>
      </c>
      <c r="C285" s="1" t="n">
        <v>46074</v>
      </c>
      <c r="D285" t="inlineStr">
        <is>
          <t>VÄSTRA GÖTALANDS LÄN</t>
        </is>
      </c>
      <c r="E285" t="inlineStr">
        <is>
          <t>DALS-ED</t>
        </is>
      </c>
      <c r="G285" t="n">
        <v>4.3</v>
      </c>
      <c r="H285" t="n">
        <v>0</v>
      </c>
      <c r="I285" t="n">
        <v>0</v>
      </c>
      <c r="J285" t="n">
        <v>0</v>
      </c>
      <c r="K285" t="n">
        <v>0</v>
      </c>
      <c r="L285" t="n">
        <v>0</v>
      </c>
      <c r="M285" t="n">
        <v>0</v>
      </c>
      <c r="N285" t="n">
        <v>0</v>
      </c>
      <c r="O285" t="n">
        <v>0</v>
      </c>
      <c r="P285" t="n">
        <v>0</v>
      </c>
      <c r="Q285" t="n">
        <v>0</v>
      </c>
      <c r="R285" s="2" t="inlineStr"/>
    </row>
    <row r="286" ht="15" customHeight="1">
      <c r="A286" t="inlineStr">
        <is>
          <t>A 55418-2025</t>
        </is>
      </c>
      <c r="B286" s="1" t="n">
        <v>45971.46984953704</v>
      </c>
      <c r="C286" s="1" t="n">
        <v>46074</v>
      </c>
      <c r="D286" t="inlineStr">
        <is>
          <t>VÄSTRA GÖTALANDS LÄN</t>
        </is>
      </c>
      <c r="E286" t="inlineStr">
        <is>
          <t>DALS-ED</t>
        </is>
      </c>
      <c r="G286" t="n">
        <v>1.1</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46074</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56084-2025</t>
        </is>
      </c>
      <c r="B288" s="1" t="n">
        <v>45973.66523148148</v>
      </c>
      <c r="C288" s="1" t="n">
        <v>46074</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56169-2025</t>
        </is>
      </c>
      <c r="B289" s="1" t="n">
        <v>45974.39293981482</v>
      </c>
      <c r="C289" s="1" t="n">
        <v>46074</v>
      </c>
      <c r="D289" t="inlineStr">
        <is>
          <t>VÄSTRA GÖTALANDS LÄN</t>
        </is>
      </c>
      <c r="E289" t="inlineStr">
        <is>
          <t>DALS-ED</t>
        </is>
      </c>
      <c r="G289" t="n">
        <v>2.4</v>
      </c>
      <c r="H289" t="n">
        <v>0</v>
      </c>
      <c r="I289" t="n">
        <v>0</v>
      </c>
      <c r="J289" t="n">
        <v>0</v>
      </c>
      <c r="K289" t="n">
        <v>0</v>
      </c>
      <c r="L289" t="n">
        <v>0</v>
      </c>
      <c r="M289" t="n">
        <v>0</v>
      </c>
      <c r="N289" t="n">
        <v>0</v>
      </c>
      <c r="O289" t="n">
        <v>0</v>
      </c>
      <c r="P289" t="n">
        <v>0</v>
      </c>
      <c r="Q289" t="n">
        <v>0</v>
      </c>
      <c r="R289" s="2" t="inlineStr"/>
    </row>
    <row r="290" ht="15" customHeight="1">
      <c r="A290" t="inlineStr">
        <is>
          <t>A 56171-2025</t>
        </is>
      </c>
      <c r="B290" s="1" t="n">
        <v>45974.39509259259</v>
      </c>
      <c r="C290" s="1" t="n">
        <v>46074</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46074</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59530-2022</t>
        </is>
      </c>
      <c r="B292" s="1" t="n">
        <v>44907.55690972223</v>
      </c>
      <c r="C292" s="1" t="n">
        <v>46074</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56239-2025</t>
        </is>
      </c>
      <c r="B293" s="1" t="n">
        <v>45974.54357638889</v>
      </c>
      <c r="C293" s="1" t="n">
        <v>46074</v>
      </c>
      <c r="D293" t="inlineStr">
        <is>
          <t>VÄSTRA GÖTALANDS LÄN</t>
        </is>
      </c>
      <c r="E293" t="inlineStr">
        <is>
          <t>DALS-ED</t>
        </is>
      </c>
      <c r="F293" t="inlineStr">
        <is>
          <t>Övriga Aktiebolag</t>
        </is>
      </c>
      <c r="G293" t="n">
        <v>5.9</v>
      </c>
      <c r="H293" t="n">
        <v>0</v>
      </c>
      <c r="I293" t="n">
        <v>0</v>
      </c>
      <c r="J293" t="n">
        <v>0</v>
      </c>
      <c r="K293" t="n">
        <v>0</v>
      </c>
      <c r="L293" t="n">
        <v>0</v>
      </c>
      <c r="M293" t="n">
        <v>0</v>
      </c>
      <c r="N293" t="n">
        <v>0</v>
      </c>
      <c r="O293" t="n">
        <v>0</v>
      </c>
      <c r="P293" t="n">
        <v>0</v>
      </c>
      <c r="Q293" t="n">
        <v>0</v>
      </c>
      <c r="R293" s="2" t="inlineStr"/>
    </row>
    <row r="294" ht="15" customHeight="1">
      <c r="A294" t="inlineStr">
        <is>
          <t>A 56880-2025</t>
        </is>
      </c>
      <c r="B294" s="1" t="n">
        <v>45978.55325231481</v>
      </c>
      <c r="C294" s="1" t="n">
        <v>46074</v>
      </c>
      <c r="D294" t="inlineStr">
        <is>
          <t>VÄSTRA GÖTALANDS LÄN</t>
        </is>
      </c>
      <c r="E294" t="inlineStr">
        <is>
          <t>DALS-ED</t>
        </is>
      </c>
      <c r="G294" t="n">
        <v>2.5</v>
      </c>
      <c r="H294" t="n">
        <v>0</v>
      </c>
      <c r="I294" t="n">
        <v>0</v>
      </c>
      <c r="J294" t="n">
        <v>0</v>
      </c>
      <c r="K294" t="n">
        <v>0</v>
      </c>
      <c r="L294" t="n">
        <v>0</v>
      </c>
      <c r="M294" t="n">
        <v>0</v>
      </c>
      <c r="N294" t="n">
        <v>0</v>
      </c>
      <c r="O294" t="n">
        <v>0</v>
      </c>
      <c r="P294" t="n">
        <v>0</v>
      </c>
      <c r="Q294" t="n">
        <v>0</v>
      </c>
      <c r="R294" s="2" t="inlineStr"/>
    </row>
    <row r="295" ht="15" customHeight="1">
      <c r="A295" t="inlineStr">
        <is>
          <t>A 56951-2025</t>
        </is>
      </c>
      <c r="B295" s="1" t="n">
        <v>45978.65059027778</v>
      </c>
      <c r="C295" s="1" t="n">
        <v>46074</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41799-2024</t>
        </is>
      </c>
      <c r="B296" s="1" t="n">
        <v>45561.36438657407</v>
      </c>
      <c r="C296" s="1" t="n">
        <v>46074</v>
      </c>
      <c r="D296" t="inlineStr">
        <is>
          <t>VÄSTRA GÖTALANDS LÄN</t>
        </is>
      </c>
      <c r="E296" t="inlineStr">
        <is>
          <t>DALS-ED</t>
        </is>
      </c>
      <c r="G296" t="n">
        <v>2.9</v>
      </c>
      <c r="H296" t="n">
        <v>0</v>
      </c>
      <c r="I296" t="n">
        <v>0</v>
      </c>
      <c r="J296" t="n">
        <v>0</v>
      </c>
      <c r="K296" t="n">
        <v>0</v>
      </c>
      <c r="L296" t="n">
        <v>0</v>
      </c>
      <c r="M296" t="n">
        <v>0</v>
      </c>
      <c r="N296" t="n">
        <v>0</v>
      </c>
      <c r="O296" t="n">
        <v>0</v>
      </c>
      <c r="P296" t="n">
        <v>0</v>
      </c>
      <c r="Q296" t="n">
        <v>0</v>
      </c>
      <c r="R296" s="2" t="inlineStr"/>
    </row>
    <row r="297" ht="15" customHeight="1">
      <c r="A297" t="inlineStr">
        <is>
          <t>A 19171-2024</t>
        </is>
      </c>
      <c r="B297" s="1" t="n">
        <v>45428.46391203703</v>
      </c>
      <c r="C297" s="1" t="n">
        <v>46074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57768-2025</t>
        </is>
      </c>
      <c r="B298" s="1" t="n">
        <v>45981.55913194444</v>
      </c>
      <c r="C298" s="1" t="n">
        <v>46074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57651-2025</t>
        </is>
      </c>
      <c r="B299" s="1" t="n">
        <v>45981.39206018519</v>
      </c>
      <c r="C299" s="1" t="n">
        <v>46074</v>
      </c>
      <c r="D299" t="inlineStr">
        <is>
          <t>VÄSTRA GÖTALANDS LÄN</t>
        </is>
      </c>
      <c r="E299" t="inlineStr">
        <is>
          <t>DALS-ED</t>
        </is>
      </c>
      <c r="G299" t="n">
        <v>0.9</v>
      </c>
      <c r="H299" t="n">
        <v>0</v>
      </c>
      <c r="I299" t="n">
        <v>0</v>
      </c>
      <c r="J299" t="n">
        <v>0</v>
      </c>
      <c r="K299" t="n">
        <v>0</v>
      </c>
      <c r="L299" t="n">
        <v>0</v>
      </c>
      <c r="M299" t="n">
        <v>0</v>
      </c>
      <c r="N299" t="n">
        <v>0</v>
      </c>
      <c r="O299" t="n">
        <v>0</v>
      </c>
      <c r="P299" t="n">
        <v>0</v>
      </c>
      <c r="Q299" t="n">
        <v>0</v>
      </c>
      <c r="R299" s="2" t="inlineStr"/>
    </row>
    <row r="300" ht="15" customHeight="1">
      <c r="A300" t="inlineStr">
        <is>
          <t>A 4499-2024</t>
        </is>
      </c>
      <c r="B300" s="1" t="n">
        <v>45327.61145833333</v>
      </c>
      <c r="C300" s="1" t="n">
        <v>46074</v>
      </c>
      <c r="D300" t="inlineStr">
        <is>
          <t>VÄSTRA GÖTALANDS LÄN</t>
        </is>
      </c>
      <c r="E300" t="inlineStr">
        <is>
          <t>DALS-ED</t>
        </is>
      </c>
      <c r="G300" t="n">
        <v>2.8</v>
      </c>
      <c r="H300" t="n">
        <v>0</v>
      </c>
      <c r="I300" t="n">
        <v>0</v>
      </c>
      <c r="J300" t="n">
        <v>0</v>
      </c>
      <c r="K300" t="n">
        <v>0</v>
      </c>
      <c r="L300" t="n">
        <v>0</v>
      </c>
      <c r="M300" t="n">
        <v>0</v>
      </c>
      <c r="N300" t="n">
        <v>0</v>
      </c>
      <c r="O300" t="n">
        <v>0</v>
      </c>
      <c r="P300" t="n">
        <v>0</v>
      </c>
      <c r="Q300" t="n">
        <v>0</v>
      </c>
      <c r="R300" s="2" t="inlineStr"/>
    </row>
    <row r="301" ht="15" customHeight="1">
      <c r="A301" t="inlineStr">
        <is>
          <t>A 58183-2025</t>
        </is>
      </c>
      <c r="B301" s="1" t="n">
        <v>45982.86425925926</v>
      </c>
      <c r="C301" s="1" t="n">
        <v>46074</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58182-2025</t>
        </is>
      </c>
      <c r="B302" s="1" t="n">
        <v>45982.85844907408</v>
      </c>
      <c r="C302" s="1" t="n">
        <v>46074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58597-2025</t>
        </is>
      </c>
      <c r="B303" s="1" t="n">
        <v>45986.42119212963</v>
      </c>
      <c r="C303" s="1" t="n">
        <v>46074</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46074</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58590-2025</t>
        </is>
      </c>
      <c r="B305" s="1" t="n">
        <v>45986.40865740741</v>
      </c>
      <c r="C305" s="1" t="n">
        <v>46074</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46074</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14186-2024</t>
        </is>
      </c>
      <c r="B307" s="1" t="n">
        <v>45393.3578587963</v>
      </c>
      <c r="C307" s="1" t="n">
        <v>46074</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59394-2025</t>
        </is>
      </c>
      <c r="B308" s="1" t="n">
        <v>45989.47519675926</v>
      </c>
      <c r="C308" s="1" t="n">
        <v>46074</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46074</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6817-2024</t>
        </is>
      </c>
      <c r="B310" s="1" t="n">
        <v>45342</v>
      </c>
      <c r="C310" s="1" t="n">
        <v>46074</v>
      </c>
      <c r="D310" t="inlineStr">
        <is>
          <t>VÄSTRA GÖTALANDS LÄN</t>
        </is>
      </c>
      <c r="E310" t="inlineStr">
        <is>
          <t>DALS-ED</t>
        </is>
      </c>
      <c r="G310" t="n">
        <v>1</v>
      </c>
      <c r="H310" t="n">
        <v>0</v>
      </c>
      <c r="I310" t="n">
        <v>0</v>
      </c>
      <c r="J310" t="n">
        <v>0</v>
      </c>
      <c r="K310" t="n">
        <v>0</v>
      </c>
      <c r="L310" t="n">
        <v>0</v>
      </c>
      <c r="M310" t="n">
        <v>0</v>
      </c>
      <c r="N310" t="n">
        <v>0</v>
      </c>
      <c r="O310" t="n">
        <v>0</v>
      </c>
      <c r="P310" t="n">
        <v>0</v>
      </c>
      <c r="Q310" t="n">
        <v>0</v>
      </c>
      <c r="R310" s="2" t="inlineStr"/>
    </row>
    <row r="311" ht="15" customHeight="1">
      <c r="A311" t="inlineStr">
        <is>
          <t>A 1871-2026</t>
        </is>
      </c>
      <c r="B311" s="1" t="n">
        <v>46035.46143518519</v>
      </c>
      <c r="C311" s="1" t="n">
        <v>46074</v>
      </c>
      <c r="D311" t="inlineStr">
        <is>
          <t>VÄSTRA GÖTALANDS LÄN</t>
        </is>
      </c>
      <c r="E311" t="inlineStr">
        <is>
          <t>DALS-ED</t>
        </is>
      </c>
      <c r="G311" t="n">
        <v>12.3</v>
      </c>
      <c r="H311" t="n">
        <v>0</v>
      </c>
      <c r="I311" t="n">
        <v>0</v>
      </c>
      <c r="J311" t="n">
        <v>0</v>
      </c>
      <c r="K311" t="n">
        <v>0</v>
      </c>
      <c r="L311" t="n">
        <v>0</v>
      </c>
      <c r="M311" t="n">
        <v>0</v>
      </c>
      <c r="N311" t="n">
        <v>0</v>
      </c>
      <c r="O311" t="n">
        <v>0</v>
      </c>
      <c r="P311" t="n">
        <v>0</v>
      </c>
      <c r="Q311" t="n">
        <v>0</v>
      </c>
      <c r="R311" s="2" t="inlineStr"/>
    </row>
    <row r="312" ht="15" customHeight="1">
      <c r="A312" t="inlineStr">
        <is>
          <t>A 59921-2025</t>
        </is>
      </c>
      <c r="B312" s="1" t="n">
        <v>45993.38215277778</v>
      </c>
      <c r="C312" s="1" t="n">
        <v>46074</v>
      </c>
      <c r="D312" t="inlineStr">
        <is>
          <t>VÄSTRA GÖTALANDS LÄN</t>
        </is>
      </c>
      <c r="E312" t="inlineStr">
        <is>
          <t>DALS-ED</t>
        </is>
      </c>
      <c r="G312" t="n">
        <v>3</v>
      </c>
      <c r="H312" t="n">
        <v>0</v>
      </c>
      <c r="I312" t="n">
        <v>0</v>
      </c>
      <c r="J312" t="n">
        <v>0</v>
      </c>
      <c r="K312" t="n">
        <v>0</v>
      </c>
      <c r="L312" t="n">
        <v>0</v>
      </c>
      <c r="M312" t="n">
        <v>0</v>
      </c>
      <c r="N312" t="n">
        <v>0</v>
      </c>
      <c r="O312" t="n">
        <v>0</v>
      </c>
      <c r="P312" t="n">
        <v>0</v>
      </c>
      <c r="Q312" t="n">
        <v>0</v>
      </c>
      <c r="R312" s="2" t="inlineStr"/>
    </row>
    <row r="313" ht="15" customHeight="1">
      <c r="A313" t="inlineStr">
        <is>
          <t>A 1870-2026</t>
        </is>
      </c>
      <c r="B313" s="1" t="n">
        <v>46035.45893518518</v>
      </c>
      <c r="C313" s="1" t="n">
        <v>46074</v>
      </c>
      <c r="D313" t="inlineStr">
        <is>
          <t>VÄSTRA GÖTALANDS LÄN</t>
        </is>
      </c>
      <c r="E313" t="inlineStr">
        <is>
          <t>DALS-ED</t>
        </is>
      </c>
      <c r="G313" t="n">
        <v>2.9</v>
      </c>
      <c r="H313" t="n">
        <v>0</v>
      </c>
      <c r="I313" t="n">
        <v>0</v>
      </c>
      <c r="J313" t="n">
        <v>0</v>
      </c>
      <c r="K313" t="n">
        <v>0</v>
      </c>
      <c r="L313" t="n">
        <v>0</v>
      </c>
      <c r="M313" t="n">
        <v>0</v>
      </c>
      <c r="N313" t="n">
        <v>0</v>
      </c>
      <c r="O313" t="n">
        <v>0</v>
      </c>
      <c r="P313" t="n">
        <v>0</v>
      </c>
      <c r="Q313" t="n">
        <v>0</v>
      </c>
      <c r="R313" s="2" t="inlineStr"/>
    </row>
    <row r="314" ht="15" customHeight="1">
      <c r="A314" t="inlineStr">
        <is>
          <t>A 59878-2025</t>
        </is>
      </c>
      <c r="B314" s="1" t="n">
        <v>45993.29204861111</v>
      </c>
      <c r="C314" s="1" t="n">
        <v>46074</v>
      </c>
      <c r="D314" t="inlineStr">
        <is>
          <t>VÄSTRA GÖTALANDS LÄN</t>
        </is>
      </c>
      <c r="E314" t="inlineStr">
        <is>
          <t>DALS-ED</t>
        </is>
      </c>
      <c r="G314" t="n">
        <v>5.9</v>
      </c>
      <c r="H314" t="n">
        <v>0</v>
      </c>
      <c r="I314" t="n">
        <v>0</v>
      </c>
      <c r="J314" t="n">
        <v>0</v>
      </c>
      <c r="K314" t="n">
        <v>0</v>
      </c>
      <c r="L314" t="n">
        <v>0</v>
      </c>
      <c r="M314" t="n">
        <v>0</v>
      </c>
      <c r="N314" t="n">
        <v>0</v>
      </c>
      <c r="O314" t="n">
        <v>0</v>
      </c>
      <c r="P314" t="n">
        <v>0</v>
      </c>
      <c r="Q314" t="n">
        <v>0</v>
      </c>
      <c r="R314" s="2" t="inlineStr"/>
    </row>
    <row r="315" ht="15" customHeight="1">
      <c r="A315" t="inlineStr">
        <is>
          <t>A 10873-2025</t>
        </is>
      </c>
      <c r="B315" s="1" t="n">
        <v>45722.63233796296</v>
      </c>
      <c r="C315" s="1" t="n">
        <v>46074</v>
      </c>
      <c r="D315" t="inlineStr">
        <is>
          <t>VÄSTRA GÖTALANDS LÄN</t>
        </is>
      </c>
      <c r="E315" t="inlineStr">
        <is>
          <t>DALS-ED</t>
        </is>
      </c>
      <c r="G315" t="n">
        <v>6.1</v>
      </c>
      <c r="H315" t="n">
        <v>0</v>
      </c>
      <c r="I315" t="n">
        <v>0</v>
      </c>
      <c r="J315" t="n">
        <v>0</v>
      </c>
      <c r="K315" t="n">
        <v>0</v>
      </c>
      <c r="L315" t="n">
        <v>0</v>
      </c>
      <c r="M315" t="n">
        <v>0</v>
      </c>
      <c r="N315" t="n">
        <v>0</v>
      </c>
      <c r="O315" t="n">
        <v>0</v>
      </c>
      <c r="P315" t="n">
        <v>0</v>
      </c>
      <c r="Q315" t="n">
        <v>0</v>
      </c>
      <c r="R315" s="2" t="inlineStr"/>
    </row>
    <row r="316" ht="15" customHeight="1">
      <c r="A316" t="inlineStr">
        <is>
          <t>A 60538-2025</t>
        </is>
      </c>
      <c r="B316" s="1" t="n">
        <v>45995.67278935185</v>
      </c>
      <c r="C316" s="1" t="n">
        <v>46074</v>
      </c>
      <c r="D316" t="inlineStr">
        <is>
          <t>VÄSTRA GÖTALANDS LÄN</t>
        </is>
      </c>
      <c r="E316" t="inlineStr">
        <is>
          <t>DALS-ED</t>
        </is>
      </c>
      <c r="G316" t="n">
        <v>14</v>
      </c>
      <c r="H316" t="n">
        <v>0</v>
      </c>
      <c r="I316" t="n">
        <v>0</v>
      </c>
      <c r="J316" t="n">
        <v>0</v>
      </c>
      <c r="K316" t="n">
        <v>0</v>
      </c>
      <c r="L316" t="n">
        <v>0</v>
      </c>
      <c r="M316" t="n">
        <v>0</v>
      </c>
      <c r="N316" t="n">
        <v>0</v>
      </c>
      <c r="O316" t="n">
        <v>0</v>
      </c>
      <c r="P316" t="n">
        <v>0</v>
      </c>
      <c r="Q316" t="n">
        <v>0</v>
      </c>
      <c r="R316" s="2" t="inlineStr"/>
    </row>
    <row r="317" ht="15" customHeight="1">
      <c r="A317" t="inlineStr">
        <is>
          <t>A 60542-2025</t>
        </is>
      </c>
      <c r="B317" s="1" t="n">
        <v>45995.68126157407</v>
      </c>
      <c r="C317" s="1" t="n">
        <v>46074</v>
      </c>
      <c r="D317" t="inlineStr">
        <is>
          <t>VÄSTRA GÖTALANDS LÄN</t>
        </is>
      </c>
      <c r="E317" t="inlineStr">
        <is>
          <t>DALS-ED</t>
        </is>
      </c>
      <c r="G317" t="n">
        <v>6.1</v>
      </c>
      <c r="H317" t="n">
        <v>0</v>
      </c>
      <c r="I317" t="n">
        <v>0</v>
      </c>
      <c r="J317" t="n">
        <v>0</v>
      </c>
      <c r="K317" t="n">
        <v>0</v>
      </c>
      <c r="L317" t="n">
        <v>0</v>
      </c>
      <c r="M317" t="n">
        <v>0</v>
      </c>
      <c r="N317" t="n">
        <v>0</v>
      </c>
      <c r="O317" t="n">
        <v>0</v>
      </c>
      <c r="P317" t="n">
        <v>0</v>
      </c>
      <c r="Q317" t="n">
        <v>0</v>
      </c>
      <c r="R317" s="2" t="inlineStr"/>
    </row>
    <row r="318" ht="15" customHeight="1">
      <c r="A318" t="inlineStr">
        <is>
          <t>A 60543-2025</t>
        </is>
      </c>
      <c r="B318" s="1" t="n">
        <v>45995.68282407407</v>
      </c>
      <c r="C318" s="1" t="n">
        <v>46074</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60177-2025</t>
        </is>
      </c>
      <c r="B319" s="1" t="n">
        <v>45994.45475694445</v>
      </c>
      <c r="C319" s="1" t="n">
        <v>46074</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60197-2025</t>
        </is>
      </c>
      <c r="B320" s="1" t="n">
        <v>45994.48671296296</v>
      </c>
      <c r="C320" s="1" t="n">
        <v>46074</v>
      </c>
      <c r="D320" t="inlineStr">
        <is>
          <t>VÄSTRA GÖTALANDS LÄN</t>
        </is>
      </c>
      <c r="E320" t="inlineStr">
        <is>
          <t>DALS-ED</t>
        </is>
      </c>
      <c r="G320" t="n">
        <v>7.5</v>
      </c>
      <c r="H320" t="n">
        <v>0</v>
      </c>
      <c r="I320" t="n">
        <v>0</v>
      </c>
      <c r="J320" t="n">
        <v>0</v>
      </c>
      <c r="K320" t="n">
        <v>0</v>
      </c>
      <c r="L320" t="n">
        <v>0</v>
      </c>
      <c r="M320" t="n">
        <v>0</v>
      </c>
      <c r="N320" t="n">
        <v>0</v>
      </c>
      <c r="O320" t="n">
        <v>0</v>
      </c>
      <c r="P320" t="n">
        <v>0</v>
      </c>
      <c r="Q320" t="n">
        <v>0</v>
      </c>
      <c r="R320" s="2" t="inlineStr"/>
    </row>
    <row r="321" ht="15" customHeight="1">
      <c r="A321" t="inlineStr">
        <is>
          <t>A 60198-2025</t>
        </is>
      </c>
      <c r="B321" s="1" t="n">
        <v>45994.48840277778</v>
      </c>
      <c r="C321" s="1" t="n">
        <v>46074</v>
      </c>
      <c r="D321" t="inlineStr">
        <is>
          <t>VÄSTRA GÖTALANDS LÄN</t>
        </is>
      </c>
      <c r="E321" t="inlineStr">
        <is>
          <t>DALS-ED</t>
        </is>
      </c>
      <c r="G321" t="n">
        <v>3.6</v>
      </c>
      <c r="H321" t="n">
        <v>0</v>
      </c>
      <c r="I321" t="n">
        <v>0</v>
      </c>
      <c r="J321" t="n">
        <v>0</v>
      </c>
      <c r="K321" t="n">
        <v>0</v>
      </c>
      <c r="L321" t="n">
        <v>0</v>
      </c>
      <c r="M321" t="n">
        <v>0</v>
      </c>
      <c r="N321" t="n">
        <v>0</v>
      </c>
      <c r="O321" t="n">
        <v>0</v>
      </c>
      <c r="P321" t="n">
        <v>0</v>
      </c>
      <c r="Q321" t="n">
        <v>0</v>
      </c>
      <c r="R321" s="2" t="inlineStr"/>
    </row>
    <row r="322" ht="15" customHeight="1">
      <c r="A322" t="inlineStr">
        <is>
          <t>A 58584-2024</t>
        </is>
      </c>
      <c r="B322" s="1" t="n">
        <v>45632</v>
      </c>
      <c r="C322" s="1" t="n">
        <v>46074</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42588-2021</t>
        </is>
      </c>
      <c r="B323" s="1" t="n">
        <v>44428</v>
      </c>
      <c r="C323" s="1" t="n">
        <v>46074</v>
      </c>
      <c r="D323" t="inlineStr">
        <is>
          <t>VÄSTRA GÖTALANDS LÄN</t>
        </is>
      </c>
      <c r="E323" t="inlineStr">
        <is>
          <t>DALS-ED</t>
        </is>
      </c>
      <c r="G323" t="n">
        <v>5.7</v>
      </c>
      <c r="H323" t="n">
        <v>0</v>
      </c>
      <c r="I323" t="n">
        <v>0</v>
      </c>
      <c r="J323" t="n">
        <v>0</v>
      </c>
      <c r="K323" t="n">
        <v>0</v>
      </c>
      <c r="L323" t="n">
        <v>0</v>
      </c>
      <c r="M323" t="n">
        <v>0</v>
      </c>
      <c r="N323" t="n">
        <v>0</v>
      </c>
      <c r="O323" t="n">
        <v>0</v>
      </c>
      <c r="P323" t="n">
        <v>0</v>
      </c>
      <c r="Q323" t="n">
        <v>0</v>
      </c>
      <c r="R323" s="2" t="inlineStr"/>
    </row>
    <row r="324" ht="15" customHeight="1">
      <c r="A324" t="inlineStr">
        <is>
          <t>A 2915-2026</t>
        </is>
      </c>
      <c r="B324" s="1" t="n">
        <v>46037</v>
      </c>
      <c r="C324" s="1" t="n">
        <v>46074</v>
      </c>
      <c r="D324" t="inlineStr">
        <is>
          <t>VÄSTRA GÖTALANDS LÄN</t>
        </is>
      </c>
      <c r="E324" t="inlineStr">
        <is>
          <t>DALS-ED</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4369-2024</t>
        </is>
      </c>
      <c r="B325" s="1" t="n">
        <v>45326.67398148148</v>
      </c>
      <c r="C325" s="1" t="n">
        <v>46074</v>
      </c>
      <c r="D325" t="inlineStr">
        <is>
          <t>VÄSTRA GÖTALANDS LÄN</t>
        </is>
      </c>
      <c r="E325" t="inlineStr">
        <is>
          <t>DALS-ED</t>
        </is>
      </c>
      <c r="G325" t="n">
        <v>4.2</v>
      </c>
      <c r="H325" t="n">
        <v>0</v>
      </c>
      <c r="I325" t="n">
        <v>0</v>
      </c>
      <c r="J325" t="n">
        <v>0</v>
      </c>
      <c r="K325" t="n">
        <v>0</v>
      </c>
      <c r="L325" t="n">
        <v>0</v>
      </c>
      <c r="M325" t="n">
        <v>0</v>
      </c>
      <c r="N325" t="n">
        <v>0</v>
      </c>
      <c r="O325" t="n">
        <v>0</v>
      </c>
      <c r="P325" t="n">
        <v>0</v>
      </c>
      <c r="Q325" t="n">
        <v>0</v>
      </c>
      <c r="R325" s="2" t="inlineStr"/>
    </row>
    <row r="326" ht="15" customHeight="1">
      <c r="A326" t="inlineStr">
        <is>
          <t>A 60590-2024</t>
        </is>
      </c>
      <c r="B326" s="1" t="n">
        <v>45644.35127314815</v>
      </c>
      <c r="C326" s="1" t="n">
        <v>46074</v>
      </c>
      <c r="D326" t="inlineStr">
        <is>
          <t>VÄSTRA GÖTALANDS LÄN</t>
        </is>
      </c>
      <c r="E326" t="inlineStr">
        <is>
          <t>DALS-ED</t>
        </is>
      </c>
      <c r="G326" t="n">
        <v>2.2</v>
      </c>
      <c r="H326" t="n">
        <v>0</v>
      </c>
      <c r="I326" t="n">
        <v>0</v>
      </c>
      <c r="J326" t="n">
        <v>0</v>
      </c>
      <c r="K326" t="n">
        <v>0</v>
      </c>
      <c r="L326" t="n">
        <v>0</v>
      </c>
      <c r="M326" t="n">
        <v>0</v>
      </c>
      <c r="N326" t="n">
        <v>0</v>
      </c>
      <c r="O326" t="n">
        <v>0</v>
      </c>
      <c r="P326" t="n">
        <v>0</v>
      </c>
      <c r="Q326" t="n">
        <v>0</v>
      </c>
      <c r="R326" s="2" t="inlineStr"/>
    </row>
    <row r="327" ht="15" customHeight="1">
      <c r="A327" t="inlineStr">
        <is>
          <t>A 16952-2025</t>
        </is>
      </c>
      <c r="B327" s="1" t="n">
        <v>45755.44237268518</v>
      </c>
      <c r="C327" s="1" t="n">
        <v>46074</v>
      </c>
      <c r="D327" t="inlineStr">
        <is>
          <t>VÄSTRA GÖTALANDS LÄN</t>
        </is>
      </c>
      <c r="E327" t="inlineStr">
        <is>
          <t>DALS-ED</t>
        </is>
      </c>
      <c r="G327" t="n">
        <v>1</v>
      </c>
      <c r="H327" t="n">
        <v>0</v>
      </c>
      <c r="I327" t="n">
        <v>0</v>
      </c>
      <c r="J327" t="n">
        <v>0</v>
      </c>
      <c r="K327" t="n">
        <v>0</v>
      </c>
      <c r="L327" t="n">
        <v>0</v>
      </c>
      <c r="M327" t="n">
        <v>0</v>
      </c>
      <c r="N327" t="n">
        <v>0</v>
      </c>
      <c r="O327" t="n">
        <v>0</v>
      </c>
      <c r="P327" t="n">
        <v>0</v>
      </c>
      <c r="Q327" t="n">
        <v>0</v>
      </c>
      <c r="R327" s="2" t="inlineStr"/>
    </row>
    <row r="328" ht="15" customHeight="1">
      <c r="A328" t="inlineStr">
        <is>
          <t>A 61305-2025</t>
        </is>
      </c>
      <c r="B328" s="1" t="n">
        <v>46000</v>
      </c>
      <c r="C328" s="1" t="n">
        <v>46074</v>
      </c>
      <c r="D328" t="inlineStr">
        <is>
          <t>VÄSTRA GÖTALANDS LÄN</t>
        </is>
      </c>
      <c r="E328" t="inlineStr">
        <is>
          <t>DALS-ED</t>
        </is>
      </c>
      <c r="F328" t="inlineStr">
        <is>
          <t>Bergvik skog väst AB</t>
        </is>
      </c>
      <c r="G328" t="n">
        <v>6.5</v>
      </c>
      <c r="H328" t="n">
        <v>0</v>
      </c>
      <c r="I328" t="n">
        <v>0</v>
      </c>
      <c r="J328" t="n">
        <v>0</v>
      </c>
      <c r="K328" t="n">
        <v>0</v>
      </c>
      <c r="L328" t="n">
        <v>0</v>
      </c>
      <c r="M328" t="n">
        <v>0</v>
      </c>
      <c r="N328" t="n">
        <v>0</v>
      </c>
      <c r="O328" t="n">
        <v>0</v>
      </c>
      <c r="P328" t="n">
        <v>0</v>
      </c>
      <c r="Q328" t="n">
        <v>0</v>
      </c>
      <c r="R328" s="2" t="inlineStr"/>
    </row>
    <row r="329" ht="15" customHeight="1">
      <c r="A329" t="inlineStr">
        <is>
          <t>A 61306-2025</t>
        </is>
      </c>
      <c r="B329" s="1" t="n">
        <v>46000</v>
      </c>
      <c r="C329" s="1" t="n">
        <v>46074</v>
      </c>
      <c r="D329" t="inlineStr">
        <is>
          <t>VÄSTRA GÖTALANDS LÄN</t>
        </is>
      </c>
      <c r="E329" t="inlineStr">
        <is>
          <t>DALS-ED</t>
        </is>
      </c>
      <c r="F329" t="inlineStr">
        <is>
          <t>Bergvik skog väst AB</t>
        </is>
      </c>
      <c r="G329" t="n">
        <v>14.5</v>
      </c>
      <c r="H329" t="n">
        <v>0</v>
      </c>
      <c r="I329" t="n">
        <v>0</v>
      </c>
      <c r="J329" t="n">
        <v>0</v>
      </c>
      <c r="K329" t="n">
        <v>0</v>
      </c>
      <c r="L329" t="n">
        <v>0</v>
      </c>
      <c r="M329" t="n">
        <v>0</v>
      </c>
      <c r="N329" t="n">
        <v>0</v>
      </c>
      <c r="O329" t="n">
        <v>0</v>
      </c>
      <c r="P329" t="n">
        <v>0</v>
      </c>
      <c r="Q329" t="n">
        <v>0</v>
      </c>
      <c r="R329" s="2" t="inlineStr"/>
    </row>
    <row r="330" ht="15" customHeight="1">
      <c r="A330" t="inlineStr">
        <is>
          <t>A 3465-2026</t>
        </is>
      </c>
      <c r="B330" s="1" t="n">
        <v>46042.52597222223</v>
      </c>
      <c r="C330" s="1" t="n">
        <v>46074</v>
      </c>
      <c r="D330" t="inlineStr">
        <is>
          <t>VÄSTRA GÖTALANDS LÄN</t>
        </is>
      </c>
      <c r="E330" t="inlineStr">
        <is>
          <t>DALS-ED</t>
        </is>
      </c>
      <c r="F330" t="inlineStr">
        <is>
          <t>Övriga Aktiebolag</t>
        </is>
      </c>
      <c r="G330" t="n">
        <v>10.9</v>
      </c>
      <c r="H330" t="n">
        <v>0</v>
      </c>
      <c r="I330" t="n">
        <v>0</v>
      </c>
      <c r="J330" t="n">
        <v>0</v>
      </c>
      <c r="K330" t="n">
        <v>0</v>
      </c>
      <c r="L330" t="n">
        <v>0</v>
      </c>
      <c r="M330" t="n">
        <v>0</v>
      </c>
      <c r="N330" t="n">
        <v>0</v>
      </c>
      <c r="O330" t="n">
        <v>0</v>
      </c>
      <c r="P330" t="n">
        <v>0</v>
      </c>
      <c r="Q330" t="n">
        <v>0</v>
      </c>
      <c r="R330" s="2" t="inlineStr"/>
    </row>
    <row r="331" ht="15" customHeight="1">
      <c r="A331" t="inlineStr">
        <is>
          <t>A 61307-2025</t>
        </is>
      </c>
      <c r="B331" s="1" t="n">
        <v>46000</v>
      </c>
      <c r="C331" s="1" t="n">
        <v>46074</v>
      </c>
      <c r="D331" t="inlineStr">
        <is>
          <t>VÄSTRA GÖTALANDS LÄN</t>
        </is>
      </c>
      <c r="E331" t="inlineStr">
        <is>
          <t>DALS-ED</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42777-2024</t>
        </is>
      </c>
      <c r="B332" s="1" t="n">
        <v>45566.51762731482</v>
      </c>
      <c r="C332" s="1" t="n">
        <v>46074</v>
      </c>
      <c r="D332" t="inlineStr">
        <is>
          <t>VÄSTRA GÖTALANDS LÄN</t>
        </is>
      </c>
      <c r="E332" t="inlineStr">
        <is>
          <t>DALS-ED</t>
        </is>
      </c>
      <c r="G332" t="n">
        <v>9.4</v>
      </c>
      <c r="H332" t="n">
        <v>0</v>
      </c>
      <c r="I332" t="n">
        <v>0</v>
      </c>
      <c r="J332" t="n">
        <v>0</v>
      </c>
      <c r="K332" t="n">
        <v>0</v>
      </c>
      <c r="L332" t="n">
        <v>0</v>
      </c>
      <c r="M332" t="n">
        <v>0</v>
      </c>
      <c r="N332" t="n">
        <v>0</v>
      </c>
      <c r="O332" t="n">
        <v>0</v>
      </c>
      <c r="P332" t="n">
        <v>0</v>
      </c>
      <c r="Q332" t="n">
        <v>0</v>
      </c>
      <c r="R332" s="2" t="inlineStr"/>
    </row>
    <row r="333" ht="15" customHeight="1">
      <c r="A333" t="inlineStr">
        <is>
          <t>A 62303-2021</t>
        </is>
      </c>
      <c r="B333" s="1" t="n">
        <v>44503</v>
      </c>
      <c r="C333" s="1" t="n">
        <v>46074</v>
      </c>
      <c r="D333" t="inlineStr">
        <is>
          <t>VÄSTRA GÖTALANDS LÄN</t>
        </is>
      </c>
      <c r="E333" t="inlineStr">
        <is>
          <t>DALS-ED</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41804-2024</t>
        </is>
      </c>
      <c r="B334" s="1" t="n">
        <v>45561.36818287037</v>
      </c>
      <c r="C334" s="1" t="n">
        <v>46074</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61281-2025</t>
        </is>
      </c>
      <c r="B335" s="1" t="n">
        <v>46000.70355324074</v>
      </c>
      <c r="C335" s="1" t="n">
        <v>46074</v>
      </c>
      <c r="D335" t="inlineStr">
        <is>
          <t>VÄSTRA GÖTALANDS LÄN</t>
        </is>
      </c>
      <c r="E335" t="inlineStr">
        <is>
          <t>DALS-ED</t>
        </is>
      </c>
      <c r="G335" t="n">
        <v>9.1</v>
      </c>
      <c r="H335" t="n">
        <v>0</v>
      </c>
      <c r="I335" t="n">
        <v>0</v>
      </c>
      <c r="J335" t="n">
        <v>0</v>
      </c>
      <c r="K335" t="n">
        <v>0</v>
      </c>
      <c r="L335" t="n">
        <v>0</v>
      </c>
      <c r="M335" t="n">
        <v>0</v>
      </c>
      <c r="N335" t="n">
        <v>0</v>
      </c>
      <c r="O335" t="n">
        <v>0</v>
      </c>
      <c r="P335" t="n">
        <v>0</v>
      </c>
      <c r="Q335" t="n">
        <v>0</v>
      </c>
      <c r="R335" s="2" t="inlineStr"/>
    </row>
    <row r="336" ht="15" customHeight="1">
      <c r="A336" t="inlineStr">
        <is>
          <t>A 56344-2024</t>
        </is>
      </c>
      <c r="B336" s="1" t="n">
        <v>45624.84674768519</v>
      </c>
      <c r="C336" s="1" t="n">
        <v>46074</v>
      </c>
      <c r="D336" t="inlineStr">
        <is>
          <t>VÄSTRA GÖTALANDS LÄN</t>
        </is>
      </c>
      <c r="E336" t="inlineStr">
        <is>
          <t>DALS-ED</t>
        </is>
      </c>
      <c r="G336" t="n">
        <v>1.7</v>
      </c>
      <c r="H336" t="n">
        <v>0</v>
      </c>
      <c r="I336" t="n">
        <v>0</v>
      </c>
      <c r="J336" t="n">
        <v>0</v>
      </c>
      <c r="K336" t="n">
        <v>0</v>
      </c>
      <c r="L336" t="n">
        <v>0</v>
      </c>
      <c r="M336" t="n">
        <v>0</v>
      </c>
      <c r="N336" t="n">
        <v>0</v>
      </c>
      <c r="O336" t="n">
        <v>0</v>
      </c>
      <c r="P336" t="n">
        <v>0</v>
      </c>
      <c r="Q336" t="n">
        <v>0</v>
      </c>
      <c r="R336" s="2" t="inlineStr"/>
    </row>
    <row r="337" ht="15" customHeight="1">
      <c r="A337" t="inlineStr">
        <is>
          <t>A 64177-2023</t>
        </is>
      </c>
      <c r="B337" s="1" t="n">
        <v>45279</v>
      </c>
      <c r="C337" s="1" t="n">
        <v>46074</v>
      </c>
      <c r="D337" t="inlineStr">
        <is>
          <t>VÄSTRA GÖTALANDS LÄN</t>
        </is>
      </c>
      <c r="E337" t="inlineStr">
        <is>
          <t>DALS-ED</t>
        </is>
      </c>
      <c r="F337" t="inlineStr">
        <is>
          <t>Bergvik skog väst AB</t>
        </is>
      </c>
      <c r="G337" t="n">
        <v>18.6</v>
      </c>
      <c r="H337" t="n">
        <v>0</v>
      </c>
      <c r="I337" t="n">
        <v>0</v>
      </c>
      <c r="J337" t="n">
        <v>0</v>
      </c>
      <c r="K337" t="n">
        <v>0</v>
      </c>
      <c r="L337" t="n">
        <v>0</v>
      </c>
      <c r="M337" t="n">
        <v>0</v>
      </c>
      <c r="N337" t="n">
        <v>0</v>
      </c>
      <c r="O337" t="n">
        <v>0</v>
      </c>
      <c r="P337" t="n">
        <v>0</v>
      </c>
      <c r="Q337" t="n">
        <v>0</v>
      </c>
      <c r="R337" s="2" t="inlineStr"/>
    </row>
    <row r="338" ht="15" customHeight="1">
      <c r="A338" t="inlineStr">
        <is>
          <t>A 61840-2025</t>
        </is>
      </c>
      <c r="B338" s="1" t="n">
        <v>46003</v>
      </c>
      <c r="C338" s="1" t="n">
        <v>46074</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60185-2025</t>
        </is>
      </c>
      <c r="B339" s="1" t="n">
        <v>45994</v>
      </c>
      <c r="C339" s="1" t="n">
        <v>46074</v>
      </c>
      <c r="D339" t="inlineStr">
        <is>
          <t>VÄSTRA GÖTALANDS LÄN</t>
        </is>
      </c>
      <c r="E339" t="inlineStr">
        <is>
          <t>DALS-ED</t>
        </is>
      </c>
      <c r="G339" t="n">
        <v>5.3</v>
      </c>
      <c r="H339" t="n">
        <v>0</v>
      </c>
      <c r="I339" t="n">
        <v>0</v>
      </c>
      <c r="J339" t="n">
        <v>0</v>
      </c>
      <c r="K339" t="n">
        <v>0</v>
      </c>
      <c r="L339" t="n">
        <v>0</v>
      </c>
      <c r="M339" t="n">
        <v>0</v>
      </c>
      <c r="N339" t="n">
        <v>0</v>
      </c>
      <c r="O339" t="n">
        <v>0</v>
      </c>
      <c r="P339" t="n">
        <v>0</v>
      </c>
      <c r="Q339" t="n">
        <v>0</v>
      </c>
      <c r="R339" s="2" t="inlineStr"/>
    </row>
    <row r="340" ht="15" customHeight="1">
      <c r="A340" t="inlineStr">
        <is>
          <t>A 60188-2025</t>
        </is>
      </c>
      <c r="B340" s="1" t="n">
        <v>45994</v>
      </c>
      <c r="C340" s="1" t="n">
        <v>46074</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10092-2022</t>
        </is>
      </c>
      <c r="B341" s="1" t="n">
        <v>44621</v>
      </c>
      <c r="C341" s="1" t="n">
        <v>46074</v>
      </c>
      <c r="D341" t="inlineStr">
        <is>
          <t>VÄSTRA GÖTALANDS LÄN</t>
        </is>
      </c>
      <c r="E341" t="inlineStr">
        <is>
          <t>DALS-ED</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4094-2026</t>
        </is>
      </c>
      <c r="B342" s="1" t="n">
        <v>46044.56547453703</v>
      </c>
      <c r="C342" s="1" t="n">
        <v>46074</v>
      </c>
      <c r="D342" t="inlineStr">
        <is>
          <t>VÄSTRA GÖTALANDS LÄN</t>
        </is>
      </c>
      <c r="E342" t="inlineStr">
        <is>
          <t>DALS-ED</t>
        </is>
      </c>
      <c r="G342" t="n">
        <v>0.6</v>
      </c>
      <c r="H342" t="n">
        <v>0</v>
      </c>
      <c r="I342" t="n">
        <v>0</v>
      </c>
      <c r="J342" t="n">
        <v>0</v>
      </c>
      <c r="K342" t="n">
        <v>0</v>
      </c>
      <c r="L342" t="n">
        <v>0</v>
      </c>
      <c r="M342" t="n">
        <v>0</v>
      </c>
      <c r="N342" t="n">
        <v>0</v>
      </c>
      <c r="O342" t="n">
        <v>0</v>
      </c>
      <c r="P342" t="n">
        <v>0</v>
      </c>
      <c r="Q342" t="n">
        <v>0</v>
      </c>
      <c r="R342" s="2" t="inlineStr"/>
    </row>
    <row r="343" ht="15" customHeight="1">
      <c r="A343" t="inlineStr">
        <is>
          <t>A 43380-2021</t>
        </is>
      </c>
      <c r="B343" s="1" t="n">
        <v>44432.57885416667</v>
      </c>
      <c r="C343" s="1" t="n">
        <v>46074</v>
      </c>
      <c r="D343" t="inlineStr">
        <is>
          <t>VÄSTRA GÖTALANDS LÄN</t>
        </is>
      </c>
      <c r="E343" t="inlineStr">
        <is>
          <t>DALS-ED</t>
        </is>
      </c>
      <c r="G343" t="n">
        <v>3.2</v>
      </c>
      <c r="H343" t="n">
        <v>0</v>
      </c>
      <c r="I343" t="n">
        <v>0</v>
      </c>
      <c r="J343" t="n">
        <v>0</v>
      </c>
      <c r="K343" t="n">
        <v>0</v>
      </c>
      <c r="L343" t="n">
        <v>0</v>
      </c>
      <c r="M343" t="n">
        <v>0</v>
      </c>
      <c r="N343" t="n">
        <v>0</v>
      </c>
      <c r="O343" t="n">
        <v>0</v>
      </c>
      <c r="P343" t="n">
        <v>0</v>
      </c>
      <c r="Q343" t="n">
        <v>0</v>
      </c>
      <c r="R343" s="2" t="inlineStr"/>
    </row>
    <row r="344" ht="15" customHeight="1">
      <c r="A344" t="inlineStr">
        <is>
          <t>A 61948-2025</t>
        </is>
      </c>
      <c r="B344" s="1" t="n">
        <v>46003.5702662037</v>
      </c>
      <c r="C344" s="1" t="n">
        <v>46074</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53819-2024</t>
        </is>
      </c>
      <c r="B345" s="1" t="n">
        <v>45615.60525462963</v>
      </c>
      <c r="C345" s="1" t="n">
        <v>46074</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54206-2024</t>
        </is>
      </c>
      <c r="B346" s="1" t="n">
        <v>45616.65384259259</v>
      </c>
      <c r="C346" s="1" t="n">
        <v>46074</v>
      </c>
      <c r="D346" t="inlineStr">
        <is>
          <t>VÄSTRA GÖTALANDS LÄN</t>
        </is>
      </c>
      <c r="E346" t="inlineStr">
        <is>
          <t>DALS-ED</t>
        </is>
      </c>
      <c r="G346" t="n">
        <v>5</v>
      </c>
      <c r="H346" t="n">
        <v>0</v>
      </c>
      <c r="I346" t="n">
        <v>0</v>
      </c>
      <c r="J346" t="n">
        <v>0</v>
      </c>
      <c r="K346" t="n">
        <v>0</v>
      </c>
      <c r="L346" t="n">
        <v>0</v>
      </c>
      <c r="M346" t="n">
        <v>0</v>
      </c>
      <c r="N346" t="n">
        <v>0</v>
      </c>
      <c r="O346" t="n">
        <v>0</v>
      </c>
      <c r="P346" t="n">
        <v>0</v>
      </c>
      <c r="Q346" t="n">
        <v>0</v>
      </c>
      <c r="R346" s="2" t="inlineStr"/>
    </row>
    <row r="347" ht="15" customHeight="1">
      <c r="A347" t="inlineStr">
        <is>
          <t>A 4666-2026</t>
        </is>
      </c>
      <c r="B347" s="1" t="n">
        <v>46048.41366898148</v>
      </c>
      <c r="C347" s="1" t="n">
        <v>46074</v>
      </c>
      <c r="D347" t="inlineStr">
        <is>
          <t>VÄSTRA GÖTALANDS LÄN</t>
        </is>
      </c>
      <c r="E347" t="inlineStr">
        <is>
          <t>DALS-ED</t>
        </is>
      </c>
      <c r="G347" t="n">
        <v>0.4</v>
      </c>
      <c r="H347" t="n">
        <v>0</v>
      </c>
      <c r="I347" t="n">
        <v>0</v>
      </c>
      <c r="J347" t="n">
        <v>0</v>
      </c>
      <c r="K347" t="n">
        <v>0</v>
      </c>
      <c r="L347" t="n">
        <v>0</v>
      </c>
      <c r="M347" t="n">
        <v>0</v>
      </c>
      <c r="N347" t="n">
        <v>0</v>
      </c>
      <c r="O347" t="n">
        <v>0</v>
      </c>
      <c r="P347" t="n">
        <v>0</v>
      </c>
      <c r="Q347" t="n">
        <v>0</v>
      </c>
      <c r="R347" s="2" t="inlineStr"/>
    </row>
    <row r="348" ht="15" customHeight="1">
      <c r="A348" t="inlineStr">
        <is>
          <t>A 4653-2026</t>
        </is>
      </c>
      <c r="B348" s="1" t="n">
        <v>46048</v>
      </c>
      <c r="C348" s="1" t="n">
        <v>46074</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38412-2024</t>
        </is>
      </c>
      <c r="B349" s="1" t="n">
        <v>45546.34902777777</v>
      </c>
      <c r="C349" s="1" t="n">
        <v>46074</v>
      </c>
      <c r="D349" t="inlineStr">
        <is>
          <t>VÄSTRA GÖTALANDS LÄN</t>
        </is>
      </c>
      <c r="E349" t="inlineStr">
        <is>
          <t>DALS-ED</t>
        </is>
      </c>
      <c r="G349" t="n">
        <v>3</v>
      </c>
      <c r="H349" t="n">
        <v>0</v>
      </c>
      <c r="I349" t="n">
        <v>0</v>
      </c>
      <c r="J349" t="n">
        <v>0</v>
      </c>
      <c r="K349" t="n">
        <v>0</v>
      </c>
      <c r="L349" t="n">
        <v>0</v>
      </c>
      <c r="M349" t="n">
        <v>0</v>
      </c>
      <c r="N349" t="n">
        <v>0</v>
      </c>
      <c r="O349" t="n">
        <v>0</v>
      </c>
      <c r="P349" t="n">
        <v>0</v>
      </c>
      <c r="Q349" t="n">
        <v>0</v>
      </c>
      <c r="R349" s="2" t="inlineStr"/>
    </row>
    <row r="350" ht="15" customHeight="1">
      <c r="A350" t="inlineStr">
        <is>
          <t>A 8180-2024</t>
        </is>
      </c>
      <c r="B350" s="1" t="n">
        <v>45351.63478009259</v>
      </c>
      <c r="C350" s="1" t="n">
        <v>46074</v>
      </c>
      <c r="D350" t="inlineStr">
        <is>
          <t>VÄSTRA GÖTALANDS LÄN</t>
        </is>
      </c>
      <c r="E350" t="inlineStr">
        <is>
          <t>DALS-ED</t>
        </is>
      </c>
      <c r="F350" t="inlineStr">
        <is>
          <t>Övriga Aktiebolag</t>
        </is>
      </c>
      <c r="G350" t="n">
        <v>3.2</v>
      </c>
      <c r="H350" t="n">
        <v>0</v>
      </c>
      <c r="I350" t="n">
        <v>0</v>
      </c>
      <c r="J350" t="n">
        <v>0</v>
      </c>
      <c r="K350" t="n">
        <v>0</v>
      </c>
      <c r="L350" t="n">
        <v>0</v>
      </c>
      <c r="M350" t="n">
        <v>0</v>
      </c>
      <c r="N350" t="n">
        <v>0</v>
      </c>
      <c r="O350" t="n">
        <v>0</v>
      </c>
      <c r="P350" t="n">
        <v>0</v>
      </c>
      <c r="Q350" t="n">
        <v>0</v>
      </c>
      <c r="R350" s="2" t="inlineStr"/>
    </row>
    <row r="351" ht="15" customHeight="1">
      <c r="A351" t="inlineStr">
        <is>
          <t>A 4645-2026</t>
        </is>
      </c>
      <c r="B351" s="1" t="n">
        <v>46048.40251157407</v>
      </c>
      <c r="C351" s="1" t="n">
        <v>46074</v>
      </c>
      <c r="D351" t="inlineStr">
        <is>
          <t>VÄSTRA GÖTALANDS LÄN</t>
        </is>
      </c>
      <c r="E351" t="inlineStr">
        <is>
          <t>DALS-ED</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62216-2025</t>
        </is>
      </c>
      <c r="B352" s="1" t="n">
        <v>46006.57706018518</v>
      </c>
      <c r="C352" s="1" t="n">
        <v>46074</v>
      </c>
      <c r="D352" t="inlineStr">
        <is>
          <t>VÄSTRA GÖTALANDS LÄN</t>
        </is>
      </c>
      <c r="E352" t="inlineStr">
        <is>
          <t>DALS-ED</t>
        </is>
      </c>
      <c r="G352" t="n">
        <v>1.7</v>
      </c>
      <c r="H352" t="n">
        <v>0</v>
      </c>
      <c r="I352" t="n">
        <v>0</v>
      </c>
      <c r="J352" t="n">
        <v>0</v>
      </c>
      <c r="K352" t="n">
        <v>0</v>
      </c>
      <c r="L352" t="n">
        <v>0</v>
      </c>
      <c r="M352" t="n">
        <v>0</v>
      </c>
      <c r="N352" t="n">
        <v>0</v>
      </c>
      <c r="O352" t="n">
        <v>0</v>
      </c>
      <c r="P352" t="n">
        <v>0</v>
      </c>
      <c r="Q352" t="n">
        <v>0</v>
      </c>
      <c r="R352" s="2" t="inlineStr"/>
    </row>
    <row r="353" ht="15" customHeight="1">
      <c r="A353" t="inlineStr">
        <is>
          <t>A 62212-2025</t>
        </is>
      </c>
      <c r="B353" s="1" t="n">
        <v>46006.57251157407</v>
      </c>
      <c r="C353" s="1" t="n">
        <v>46074</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54018-2021</t>
        </is>
      </c>
      <c r="B354" s="1" t="n">
        <v>44468</v>
      </c>
      <c r="C354" s="1" t="n">
        <v>46074</v>
      </c>
      <c r="D354" t="inlineStr">
        <is>
          <t>VÄSTRA GÖTALANDS LÄN</t>
        </is>
      </c>
      <c r="E354" t="inlineStr">
        <is>
          <t>DALS-ED</t>
        </is>
      </c>
      <c r="G354" t="n">
        <v>6</v>
      </c>
      <c r="H354" t="n">
        <v>0</v>
      </c>
      <c r="I354" t="n">
        <v>0</v>
      </c>
      <c r="J354" t="n">
        <v>0</v>
      </c>
      <c r="K354" t="n">
        <v>0</v>
      </c>
      <c r="L354" t="n">
        <v>0</v>
      </c>
      <c r="M354" t="n">
        <v>0</v>
      </c>
      <c r="N354" t="n">
        <v>0</v>
      </c>
      <c r="O354" t="n">
        <v>0</v>
      </c>
      <c r="P354" t="n">
        <v>0</v>
      </c>
      <c r="Q354" t="n">
        <v>0</v>
      </c>
      <c r="R354" s="2" t="inlineStr"/>
    </row>
    <row r="355" ht="15" customHeight="1">
      <c r="A355" t="inlineStr">
        <is>
          <t>A 52350-2024</t>
        </is>
      </c>
      <c r="B355" s="1" t="n">
        <v>45609.35231481482</v>
      </c>
      <c r="C355" s="1" t="n">
        <v>46074</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4574-2026</t>
        </is>
      </c>
      <c r="B356" s="1" t="n">
        <v>46048.31030092593</v>
      </c>
      <c r="C356" s="1" t="n">
        <v>46074</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21915-2024</t>
        </is>
      </c>
      <c r="B357" s="1" t="n">
        <v>45443</v>
      </c>
      <c r="C357" s="1" t="n">
        <v>46074</v>
      </c>
      <c r="D357" t="inlineStr">
        <is>
          <t>VÄSTRA GÖTALANDS LÄN</t>
        </is>
      </c>
      <c r="E357" t="inlineStr">
        <is>
          <t>DALS-ED</t>
        </is>
      </c>
      <c r="F357" t="inlineStr">
        <is>
          <t>Kyrkan</t>
        </is>
      </c>
      <c r="G357" t="n">
        <v>2.2</v>
      </c>
      <c r="H357" t="n">
        <v>0</v>
      </c>
      <c r="I357" t="n">
        <v>0</v>
      </c>
      <c r="J357" t="n">
        <v>0</v>
      </c>
      <c r="K357" t="n">
        <v>0</v>
      </c>
      <c r="L357" t="n">
        <v>0</v>
      </c>
      <c r="M357" t="n">
        <v>0</v>
      </c>
      <c r="N357" t="n">
        <v>0</v>
      </c>
      <c r="O357" t="n">
        <v>0</v>
      </c>
      <c r="P357" t="n">
        <v>0</v>
      </c>
      <c r="Q357" t="n">
        <v>0</v>
      </c>
      <c r="R357" s="2" t="inlineStr"/>
    </row>
    <row r="358" ht="15" customHeight="1">
      <c r="A358" t="inlineStr">
        <is>
          <t>A 32672-2023</t>
        </is>
      </c>
      <c r="B358" s="1" t="n">
        <v>45121</v>
      </c>
      <c r="C358" s="1" t="n">
        <v>46074</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32683-2023</t>
        </is>
      </c>
      <c r="B359" s="1" t="n">
        <v>45112</v>
      </c>
      <c r="C359" s="1" t="n">
        <v>46074</v>
      </c>
      <c r="D359" t="inlineStr">
        <is>
          <t>VÄSTRA GÖTALANDS LÄN</t>
        </is>
      </c>
      <c r="E359" t="inlineStr">
        <is>
          <t>DALS-ED</t>
        </is>
      </c>
      <c r="G359" t="n">
        <v>0.9</v>
      </c>
      <c r="H359" t="n">
        <v>0</v>
      </c>
      <c r="I359" t="n">
        <v>0</v>
      </c>
      <c r="J359" t="n">
        <v>0</v>
      </c>
      <c r="K359" t="n">
        <v>0</v>
      </c>
      <c r="L359" t="n">
        <v>0</v>
      </c>
      <c r="M359" t="n">
        <v>0</v>
      </c>
      <c r="N359" t="n">
        <v>0</v>
      </c>
      <c r="O359" t="n">
        <v>0</v>
      </c>
      <c r="P359" t="n">
        <v>0</v>
      </c>
      <c r="Q359" t="n">
        <v>0</v>
      </c>
      <c r="R359" s="2" t="inlineStr"/>
    </row>
    <row r="360" ht="15" customHeight="1">
      <c r="A360" t="inlineStr">
        <is>
          <t>A 15849-2024</t>
        </is>
      </c>
      <c r="B360" s="1" t="n">
        <v>45404</v>
      </c>
      <c r="C360" s="1" t="n">
        <v>46074</v>
      </c>
      <c r="D360" t="inlineStr">
        <is>
          <t>VÄSTRA GÖTALANDS LÄN</t>
        </is>
      </c>
      <c r="E360" t="inlineStr">
        <is>
          <t>DALS-ED</t>
        </is>
      </c>
      <c r="G360" t="n">
        <v>1.3</v>
      </c>
      <c r="H360" t="n">
        <v>0</v>
      </c>
      <c r="I360" t="n">
        <v>0</v>
      </c>
      <c r="J360" t="n">
        <v>0</v>
      </c>
      <c r="K360" t="n">
        <v>0</v>
      </c>
      <c r="L360" t="n">
        <v>0</v>
      </c>
      <c r="M360" t="n">
        <v>0</v>
      </c>
      <c r="N360" t="n">
        <v>0</v>
      </c>
      <c r="O360" t="n">
        <v>0</v>
      </c>
      <c r="P360" t="n">
        <v>0</v>
      </c>
      <c r="Q360" t="n">
        <v>0</v>
      </c>
      <c r="R360" s="2" t="inlineStr"/>
    </row>
    <row r="361" ht="15" customHeight="1">
      <c r="A361" t="inlineStr">
        <is>
          <t>A 60106-2022</t>
        </is>
      </c>
      <c r="B361" s="1" t="n">
        <v>44909.63509259259</v>
      </c>
      <c r="C361" s="1" t="n">
        <v>46074</v>
      </c>
      <c r="D361" t="inlineStr">
        <is>
          <t>VÄSTRA GÖTALANDS LÄN</t>
        </is>
      </c>
      <c r="E361" t="inlineStr">
        <is>
          <t>DALS-ED</t>
        </is>
      </c>
      <c r="G361" t="n">
        <v>3.7</v>
      </c>
      <c r="H361" t="n">
        <v>0</v>
      </c>
      <c r="I361" t="n">
        <v>0</v>
      </c>
      <c r="J361" t="n">
        <v>0</v>
      </c>
      <c r="K361" t="n">
        <v>0</v>
      </c>
      <c r="L361" t="n">
        <v>0</v>
      </c>
      <c r="M361" t="n">
        <v>0</v>
      </c>
      <c r="N361" t="n">
        <v>0</v>
      </c>
      <c r="O361" t="n">
        <v>0</v>
      </c>
      <c r="P361" t="n">
        <v>0</v>
      </c>
      <c r="Q361" t="n">
        <v>0</v>
      </c>
      <c r="R361" s="2" t="inlineStr"/>
    </row>
    <row r="362" ht="15" customHeight="1">
      <c r="A362" t="inlineStr">
        <is>
          <t>A 13581-2022</t>
        </is>
      </c>
      <c r="B362" s="1" t="n">
        <v>44648.46975694445</v>
      </c>
      <c r="C362" s="1" t="n">
        <v>46074</v>
      </c>
      <c r="D362" t="inlineStr">
        <is>
          <t>VÄSTRA GÖTALANDS LÄN</t>
        </is>
      </c>
      <c r="E362" t="inlineStr">
        <is>
          <t>DALS-ED</t>
        </is>
      </c>
      <c r="G362" t="n">
        <v>3.8</v>
      </c>
      <c r="H362" t="n">
        <v>0</v>
      </c>
      <c r="I362" t="n">
        <v>0</v>
      </c>
      <c r="J362" t="n">
        <v>0</v>
      </c>
      <c r="K362" t="n">
        <v>0</v>
      </c>
      <c r="L362" t="n">
        <v>0</v>
      </c>
      <c r="M362" t="n">
        <v>0</v>
      </c>
      <c r="N362" t="n">
        <v>0</v>
      </c>
      <c r="O362" t="n">
        <v>0</v>
      </c>
      <c r="P362" t="n">
        <v>0</v>
      </c>
      <c r="Q362" t="n">
        <v>0</v>
      </c>
      <c r="R362" s="2" t="inlineStr"/>
    </row>
    <row r="363" ht="15" customHeight="1">
      <c r="A363" t="inlineStr">
        <is>
          <t>A 41151-2022</t>
        </is>
      </c>
      <c r="B363" s="1" t="n">
        <v>44825.8475</v>
      </c>
      <c r="C363" s="1" t="n">
        <v>46074</v>
      </c>
      <c r="D363" t="inlineStr">
        <is>
          <t>VÄSTRA GÖTALANDS LÄN</t>
        </is>
      </c>
      <c r="E363" t="inlineStr">
        <is>
          <t>DALS-ED</t>
        </is>
      </c>
      <c r="G363" t="n">
        <v>3.4</v>
      </c>
      <c r="H363" t="n">
        <v>0</v>
      </c>
      <c r="I363" t="n">
        <v>0</v>
      </c>
      <c r="J363" t="n">
        <v>0</v>
      </c>
      <c r="K363" t="n">
        <v>0</v>
      </c>
      <c r="L363" t="n">
        <v>0</v>
      </c>
      <c r="M363" t="n">
        <v>0</v>
      </c>
      <c r="N363" t="n">
        <v>0</v>
      </c>
      <c r="O363" t="n">
        <v>0</v>
      </c>
      <c r="P363" t="n">
        <v>0</v>
      </c>
      <c r="Q363" t="n">
        <v>0</v>
      </c>
      <c r="R363" s="2" t="inlineStr"/>
    </row>
    <row r="364" ht="15" customHeight="1">
      <c r="A364" t="inlineStr">
        <is>
          <t>A 47650-2024</t>
        </is>
      </c>
      <c r="B364" s="1" t="n">
        <v>45588.38049768518</v>
      </c>
      <c r="C364" s="1" t="n">
        <v>46074</v>
      </c>
      <c r="D364" t="inlineStr">
        <is>
          <t>VÄSTRA GÖTALANDS LÄN</t>
        </is>
      </c>
      <c r="E364" t="inlineStr">
        <is>
          <t>DALS-ED</t>
        </is>
      </c>
      <c r="G364" t="n">
        <v>3.6</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44966.38423611111</v>
      </c>
      <c r="C365" s="1" t="n">
        <v>46074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50665-2021</t>
        </is>
      </c>
      <c r="B366" s="1" t="n">
        <v>44460</v>
      </c>
      <c r="C366" s="1" t="n">
        <v>46074</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52860-2022</t>
        </is>
      </c>
      <c r="B367" s="1" t="n">
        <v>44875.48599537037</v>
      </c>
      <c r="C367" s="1" t="n">
        <v>46074</v>
      </c>
      <c r="D367" t="inlineStr">
        <is>
          <t>VÄSTRA GÖTALANDS LÄN</t>
        </is>
      </c>
      <c r="E367" t="inlineStr">
        <is>
          <t>DALS-ED</t>
        </is>
      </c>
      <c r="G367" t="n">
        <v>2.8</v>
      </c>
      <c r="H367" t="n">
        <v>0</v>
      </c>
      <c r="I367" t="n">
        <v>0</v>
      </c>
      <c r="J367" t="n">
        <v>0</v>
      </c>
      <c r="K367" t="n">
        <v>0</v>
      </c>
      <c r="L367" t="n">
        <v>0</v>
      </c>
      <c r="M367" t="n">
        <v>0</v>
      </c>
      <c r="N367" t="n">
        <v>0</v>
      </c>
      <c r="O367" t="n">
        <v>0</v>
      </c>
      <c r="P367" t="n">
        <v>0</v>
      </c>
      <c r="Q367" t="n">
        <v>0</v>
      </c>
      <c r="R367" s="2" t="inlineStr"/>
    </row>
    <row r="368" ht="15" customHeight="1">
      <c r="A368" t="inlineStr">
        <is>
          <t>A 24021-2023</t>
        </is>
      </c>
      <c r="B368" s="1" t="n">
        <v>45078</v>
      </c>
      <c r="C368" s="1" t="n">
        <v>46074</v>
      </c>
      <c r="D368" t="inlineStr">
        <is>
          <t>VÄSTRA GÖTALANDS LÄN</t>
        </is>
      </c>
      <c r="E368" t="inlineStr">
        <is>
          <t>DALS-ED</t>
        </is>
      </c>
      <c r="G368" t="n">
        <v>6</v>
      </c>
      <c r="H368" t="n">
        <v>0</v>
      </c>
      <c r="I368" t="n">
        <v>0</v>
      </c>
      <c r="J368" t="n">
        <v>0</v>
      </c>
      <c r="K368" t="n">
        <v>0</v>
      </c>
      <c r="L368" t="n">
        <v>0</v>
      </c>
      <c r="M368" t="n">
        <v>0</v>
      </c>
      <c r="N368" t="n">
        <v>0</v>
      </c>
      <c r="O368" t="n">
        <v>0</v>
      </c>
      <c r="P368" t="n">
        <v>0</v>
      </c>
      <c r="Q368" t="n">
        <v>0</v>
      </c>
      <c r="R368" s="2" t="inlineStr"/>
    </row>
    <row r="369" ht="15" customHeight="1">
      <c r="A369" t="inlineStr">
        <is>
          <t>A 38578-2023</t>
        </is>
      </c>
      <c r="B369" s="1" t="n">
        <v>45162.62353009259</v>
      </c>
      <c r="C369" s="1" t="n">
        <v>46074</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46074</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55912-2024</t>
        </is>
      </c>
      <c r="B371" s="1" t="n">
        <v>45623.59274305555</v>
      </c>
      <c r="C371" s="1" t="n">
        <v>46074</v>
      </c>
      <c r="D371" t="inlineStr">
        <is>
          <t>VÄSTRA GÖTALANDS LÄN</t>
        </is>
      </c>
      <c r="E371" t="inlineStr">
        <is>
          <t>DALS-ED</t>
        </is>
      </c>
      <c r="G371" t="n">
        <v>7.7</v>
      </c>
      <c r="H371" t="n">
        <v>0</v>
      </c>
      <c r="I371" t="n">
        <v>0</v>
      </c>
      <c r="J371" t="n">
        <v>0</v>
      </c>
      <c r="K371" t="n">
        <v>0</v>
      </c>
      <c r="L371" t="n">
        <v>0</v>
      </c>
      <c r="M371" t="n">
        <v>0</v>
      </c>
      <c r="N371" t="n">
        <v>0</v>
      </c>
      <c r="O371" t="n">
        <v>0</v>
      </c>
      <c r="P371" t="n">
        <v>0</v>
      </c>
      <c r="Q371" t="n">
        <v>0</v>
      </c>
      <c r="R371" s="2" t="inlineStr"/>
    </row>
    <row r="372" ht="15" customHeight="1">
      <c r="A372" t="inlineStr">
        <is>
          <t>A 6551-2026</t>
        </is>
      </c>
      <c r="B372" s="1" t="n">
        <v>46056.42912037037</v>
      </c>
      <c r="C372" s="1" t="n">
        <v>46074</v>
      </c>
      <c r="D372" t="inlineStr">
        <is>
          <t>VÄSTRA GÖTALANDS LÄN</t>
        </is>
      </c>
      <c r="E372" t="inlineStr">
        <is>
          <t>DALS-ED</t>
        </is>
      </c>
      <c r="G372" t="n">
        <v>1.8</v>
      </c>
      <c r="H372" t="n">
        <v>0</v>
      </c>
      <c r="I372" t="n">
        <v>0</v>
      </c>
      <c r="J372" t="n">
        <v>0</v>
      </c>
      <c r="K372" t="n">
        <v>0</v>
      </c>
      <c r="L372" t="n">
        <v>0</v>
      </c>
      <c r="M372" t="n">
        <v>0</v>
      </c>
      <c r="N372" t="n">
        <v>0</v>
      </c>
      <c r="O372" t="n">
        <v>0</v>
      </c>
      <c r="P372" t="n">
        <v>0</v>
      </c>
      <c r="Q372" t="n">
        <v>0</v>
      </c>
      <c r="R372" s="2" t="inlineStr"/>
    </row>
    <row r="373" ht="15" customHeight="1">
      <c r="A373" t="inlineStr">
        <is>
          <t>A 32195-2022</t>
        </is>
      </c>
      <c r="B373" s="1" t="n">
        <v>44781.39569444444</v>
      </c>
      <c r="C373" s="1" t="n">
        <v>46074</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46074</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36803-2024</t>
        </is>
      </c>
      <c r="B375" s="1" t="n">
        <v>45538.46005787037</v>
      </c>
      <c r="C375" s="1" t="n">
        <v>46074</v>
      </c>
      <c r="D375" t="inlineStr">
        <is>
          <t>VÄSTRA GÖTALANDS LÄN</t>
        </is>
      </c>
      <c r="E375" t="inlineStr">
        <is>
          <t>DALS-ED</t>
        </is>
      </c>
      <c r="G375" t="n">
        <v>2.3</v>
      </c>
      <c r="H375" t="n">
        <v>0</v>
      </c>
      <c r="I375" t="n">
        <v>0</v>
      </c>
      <c r="J375" t="n">
        <v>0</v>
      </c>
      <c r="K375" t="n">
        <v>0</v>
      </c>
      <c r="L375" t="n">
        <v>0</v>
      </c>
      <c r="M375" t="n">
        <v>0</v>
      </c>
      <c r="N375" t="n">
        <v>0</v>
      </c>
      <c r="O375" t="n">
        <v>0</v>
      </c>
      <c r="P375" t="n">
        <v>0</v>
      </c>
      <c r="Q375" t="n">
        <v>0</v>
      </c>
      <c r="R375" s="2" t="inlineStr"/>
    </row>
    <row r="376" ht="15" customHeight="1">
      <c r="A376" t="inlineStr">
        <is>
          <t>A 36342-2023</t>
        </is>
      </c>
      <c r="B376" s="1" t="n">
        <v>45152.45721064815</v>
      </c>
      <c r="C376" s="1" t="n">
        <v>46074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50732-2024</t>
        </is>
      </c>
      <c r="B377" s="1" t="n">
        <v>45602.38895833334</v>
      </c>
      <c r="C377" s="1" t="n">
        <v>46074</v>
      </c>
      <c r="D377" t="inlineStr">
        <is>
          <t>VÄSTRA GÖTALANDS LÄN</t>
        </is>
      </c>
      <c r="E377" t="inlineStr">
        <is>
          <t>DALS-ED</t>
        </is>
      </c>
      <c r="G377" t="n">
        <v>3.8</v>
      </c>
      <c r="H377" t="n">
        <v>0</v>
      </c>
      <c r="I377" t="n">
        <v>0</v>
      </c>
      <c r="J377" t="n">
        <v>0</v>
      </c>
      <c r="K377" t="n">
        <v>0</v>
      </c>
      <c r="L377" t="n">
        <v>0</v>
      </c>
      <c r="M377" t="n">
        <v>0</v>
      </c>
      <c r="N377" t="n">
        <v>0</v>
      </c>
      <c r="O377" t="n">
        <v>0</v>
      </c>
      <c r="P377" t="n">
        <v>0</v>
      </c>
      <c r="Q377" t="n">
        <v>0</v>
      </c>
      <c r="R377" s="2" t="inlineStr"/>
    </row>
    <row r="378" ht="15" customHeight="1">
      <c r="A378" t="inlineStr">
        <is>
          <t>A 7482-2024</t>
        </is>
      </c>
      <c r="B378" s="1" t="n">
        <v>45346.61512731481</v>
      </c>
      <c r="C378" s="1" t="n">
        <v>46074</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7507-2026</t>
        </is>
      </c>
      <c r="B379" s="1" t="n">
        <v>46059.57670138889</v>
      </c>
      <c r="C379" s="1" t="n">
        <v>46074</v>
      </c>
      <c r="D379" t="inlineStr">
        <is>
          <t>VÄSTRA GÖTALANDS LÄN</t>
        </is>
      </c>
      <c r="E379" t="inlineStr">
        <is>
          <t>DALS-ED</t>
        </is>
      </c>
      <c r="G379" t="n">
        <v>1.6</v>
      </c>
      <c r="H379" t="n">
        <v>0</v>
      </c>
      <c r="I379" t="n">
        <v>0</v>
      </c>
      <c r="J379" t="n">
        <v>0</v>
      </c>
      <c r="K379" t="n">
        <v>0</v>
      </c>
      <c r="L379" t="n">
        <v>0</v>
      </c>
      <c r="M379" t="n">
        <v>0</v>
      </c>
      <c r="N379" t="n">
        <v>0</v>
      </c>
      <c r="O379" t="n">
        <v>0</v>
      </c>
      <c r="P379" t="n">
        <v>0</v>
      </c>
      <c r="Q379" t="n">
        <v>0</v>
      </c>
      <c r="R379" s="2" t="inlineStr"/>
    </row>
    <row r="380" ht="15" customHeight="1">
      <c r="A380" t="inlineStr">
        <is>
          <t>A 55088-2024</t>
        </is>
      </c>
      <c r="B380" s="1" t="n">
        <v>45621.43332175926</v>
      </c>
      <c r="C380" s="1" t="n">
        <v>46074</v>
      </c>
      <c r="D380" t="inlineStr">
        <is>
          <t>VÄSTRA GÖTALANDS LÄN</t>
        </is>
      </c>
      <c r="E380" t="inlineStr">
        <is>
          <t>DALS-ED</t>
        </is>
      </c>
      <c r="G380" t="n">
        <v>0.3</v>
      </c>
      <c r="H380" t="n">
        <v>0</v>
      </c>
      <c r="I380" t="n">
        <v>0</v>
      </c>
      <c r="J380" t="n">
        <v>0</v>
      </c>
      <c r="K380" t="n">
        <v>0</v>
      </c>
      <c r="L380" t="n">
        <v>0</v>
      </c>
      <c r="M380" t="n">
        <v>0</v>
      </c>
      <c r="N380" t="n">
        <v>0</v>
      </c>
      <c r="O380" t="n">
        <v>0</v>
      </c>
      <c r="P380" t="n">
        <v>0</v>
      </c>
      <c r="Q380" t="n">
        <v>0</v>
      </c>
      <c r="R380" s="2" t="inlineStr"/>
    </row>
    <row r="381" ht="15" customHeight="1">
      <c r="A381" t="inlineStr">
        <is>
          <t>A 40372-2022</t>
        </is>
      </c>
      <c r="B381" s="1" t="n">
        <v>44823</v>
      </c>
      <c r="C381" s="1" t="n">
        <v>46074</v>
      </c>
      <c r="D381" t="inlineStr">
        <is>
          <t>VÄSTRA GÖTALANDS LÄN</t>
        </is>
      </c>
      <c r="E381" t="inlineStr">
        <is>
          <t>DALS-ED</t>
        </is>
      </c>
      <c r="G381" t="n">
        <v>4.1</v>
      </c>
      <c r="H381" t="n">
        <v>0</v>
      </c>
      <c r="I381" t="n">
        <v>0</v>
      </c>
      <c r="J381" t="n">
        <v>0</v>
      </c>
      <c r="K381" t="n">
        <v>0</v>
      </c>
      <c r="L381" t="n">
        <v>0</v>
      </c>
      <c r="M381" t="n">
        <v>0</v>
      </c>
      <c r="N381" t="n">
        <v>0</v>
      </c>
      <c r="O381" t="n">
        <v>0</v>
      </c>
      <c r="P381" t="n">
        <v>0</v>
      </c>
      <c r="Q381" t="n">
        <v>0</v>
      </c>
      <c r="R381" s="2" t="inlineStr"/>
    </row>
    <row r="382" ht="15" customHeight="1">
      <c r="A382" t="inlineStr">
        <is>
          <t>A 27876-2024</t>
        </is>
      </c>
      <c r="B382" s="1" t="n">
        <v>45475.72972222222</v>
      </c>
      <c r="C382" s="1" t="n">
        <v>46074</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27877-2024</t>
        </is>
      </c>
      <c r="B383" s="1" t="n">
        <v>45475.73616898148</v>
      </c>
      <c r="C383" s="1" t="n">
        <v>46074</v>
      </c>
      <c r="D383" t="inlineStr">
        <is>
          <t>VÄSTRA GÖTALANDS LÄN</t>
        </is>
      </c>
      <c r="E383" t="inlineStr">
        <is>
          <t>DALS-ED</t>
        </is>
      </c>
      <c r="G383" t="n">
        <v>0.7</v>
      </c>
      <c r="H383" t="n">
        <v>0</v>
      </c>
      <c r="I383" t="n">
        <v>0</v>
      </c>
      <c r="J383" t="n">
        <v>0</v>
      </c>
      <c r="K383" t="n">
        <v>0</v>
      </c>
      <c r="L383" t="n">
        <v>0</v>
      </c>
      <c r="M383" t="n">
        <v>0</v>
      </c>
      <c r="N383" t="n">
        <v>0</v>
      </c>
      <c r="O383" t="n">
        <v>0</v>
      </c>
      <c r="P383" t="n">
        <v>0</v>
      </c>
      <c r="Q383" t="n">
        <v>0</v>
      </c>
      <c r="R383" s="2" t="inlineStr"/>
    </row>
    <row r="384" ht="15" customHeight="1">
      <c r="A384" t="inlineStr">
        <is>
          <t>A 58855-2024</t>
        </is>
      </c>
      <c r="B384" s="1" t="n">
        <v>45636.39221064815</v>
      </c>
      <c r="C384" s="1" t="n">
        <v>46074</v>
      </c>
      <c r="D384" t="inlineStr">
        <is>
          <t>VÄSTRA GÖTALANDS LÄN</t>
        </is>
      </c>
      <c r="E384" t="inlineStr">
        <is>
          <t>DALS-ED</t>
        </is>
      </c>
      <c r="G384" t="n">
        <v>0.3</v>
      </c>
      <c r="H384" t="n">
        <v>0</v>
      </c>
      <c r="I384" t="n">
        <v>0</v>
      </c>
      <c r="J384" t="n">
        <v>0</v>
      </c>
      <c r="K384" t="n">
        <v>0</v>
      </c>
      <c r="L384" t="n">
        <v>0</v>
      </c>
      <c r="M384" t="n">
        <v>0</v>
      </c>
      <c r="N384" t="n">
        <v>0</v>
      </c>
      <c r="O384" t="n">
        <v>0</v>
      </c>
      <c r="P384" t="n">
        <v>0</v>
      </c>
      <c r="Q384" t="n">
        <v>0</v>
      </c>
      <c r="R384" s="2" t="inlineStr"/>
    </row>
    <row r="385" ht="15" customHeight="1">
      <c r="A385" t="inlineStr">
        <is>
          <t>A 7561-2026</t>
        </is>
      </c>
      <c r="B385" s="1" t="n">
        <v>46060.41461805555</v>
      </c>
      <c r="C385" s="1" t="n">
        <v>46074</v>
      </c>
      <c r="D385" t="inlineStr">
        <is>
          <t>VÄSTRA GÖTALANDS LÄN</t>
        </is>
      </c>
      <c r="E385" t="inlineStr">
        <is>
          <t>DALS-ED</t>
        </is>
      </c>
      <c r="G385" t="n">
        <v>0.7</v>
      </c>
      <c r="H385" t="n">
        <v>0</v>
      </c>
      <c r="I385" t="n">
        <v>0</v>
      </c>
      <c r="J385" t="n">
        <v>0</v>
      </c>
      <c r="K385" t="n">
        <v>0</v>
      </c>
      <c r="L385" t="n">
        <v>0</v>
      </c>
      <c r="M385" t="n">
        <v>0</v>
      </c>
      <c r="N385" t="n">
        <v>0</v>
      </c>
      <c r="O385" t="n">
        <v>0</v>
      </c>
      <c r="P385" t="n">
        <v>0</v>
      </c>
      <c r="Q385" t="n">
        <v>0</v>
      </c>
      <c r="R385" s="2" t="inlineStr"/>
    </row>
    <row r="386" ht="15" customHeight="1">
      <c r="A386" t="inlineStr">
        <is>
          <t>A 63865-2025</t>
        </is>
      </c>
      <c r="B386" s="1" t="n">
        <v>46020.5050462963</v>
      </c>
      <c r="C386" s="1" t="n">
        <v>46074</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4724-2022</t>
        </is>
      </c>
      <c r="B387" s="1" t="n">
        <v>44592</v>
      </c>
      <c r="C387" s="1" t="n">
        <v>46074</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52277-2023</t>
        </is>
      </c>
      <c r="B388" s="1" t="n">
        <v>45217</v>
      </c>
      <c r="C388" s="1" t="n">
        <v>46074</v>
      </c>
      <c r="D388" t="inlineStr">
        <is>
          <t>VÄSTRA GÖTALANDS LÄN</t>
        </is>
      </c>
      <c r="E388" t="inlineStr">
        <is>
          <t>DALS-ED</t>
        </is>
      </c>
      <c r="F388" t="inlineStr">
        <is>
          <t>Kyrkan</t>
        </is>
      </c>
      <c r="G388" t="n">
        <v>1.5</v>
      </c>
      <c r="H388" t="n">
        <v>0</v>
      </c>
      <c r="I388" t="n">
        <v>0</v>
      </c>
      <c r="J388" t="n">
        <v>0</v>
      </c>
      <c r="K388" t="n">
        <v>0</v>
      </c>
      <c r="L388" t="n">
        <v>0</v>
      </c>
      <c r="M388" t="n">
        <v>0</v>
      </c>
      <c r="N388" t="n">
        <v>0</v>
      </c>
      <c r="O388" t="n">
        <v>0</v>
      </c>
      <c r="P388" t="n">
        <v>0</v>
      </c>
      <c r="Q388" t="n">
        <v>0</v>
      </c>
      <c r="R388" s="2" t="inlineStr"/>
    </row>
    <row r="389" ht="15" customHeight="1">
      <c r="A389" t="inlineStr">
        <is>
          <t>A 18456-2025</t>
        </is>
      </c>
      <c r="B389" s="1" t="n">
        <v>45762.67017361111</v>
      </c>
      <c r="C389" s="1" t="n">
        <v>46074</v>
      </c>
      <c r="D389" t="inlineStr">
        <is>
          <t>VÄSTRA GÖTALANDS LÄN</t>
        </is>
      </c>
      <c r="E389" t="inlineStr">
        <is>
          <t>DALS-ED</t>
        </is>
      </c>
      <c r="G389" t="n">
        <v>3.7</v>
      </c>
      <c r="H389" t="n">
        <v>0</v>
      </c>
      <c r="I389" t="n">
        <v>0</v>
      </c>
      <c r="J389" t="n">
        <v>0</v>
      </c>
      <c r="K389" t="n">
        <v>0</v>
      </c>
      <c r="L389" t="n">
        <v>0</v>
      </c>
      <c r="M389" t="n">
        <v>0</v>
      </c>
      <c r="N389" t="n">
        <v>0</v>
      </c>
      <c r="O389" t="n">
        <v>0</v>
      </c>
      <c r="P389" t="n">
        <v>0</v>
      </c>
      <c r="Q389" t="n">
        <v>0</v>
      </c>
      <c r="R389" s="2" t="inlineStr"/>
    </row>
    <row r="390" ht="15" customHeight="1">
      <c r="A390" t="inlineStr">
        <is>
          <t>A 18520-2025</t>
        </is>
      </c>
      <c r="B390" s="1" t="n">
        <v>45763.39306712963</v>
      </c>
      <c r="C390" s="1" t="n">
        <v>46074</v>
      </c>
      <c r="D390" t="inlineStr">
        <is>
          <t>VÄSTRA GÖTALANDS LÄN</t>
        </is>
      </c>
      <c r="E390" t="inlineStr">
        <is>
          <t>DALS-ED</t>
        </is>
      </c>
      <c r="G390" t="n">
        <v>1.8</v>
      </c>
      <c r="H390" t="n">
        <v>0</v>
      </c>
      <c r="I390" t="n">
        <v>0</v>
      </c>
      <c r="J390" t="n">
        <v>0</v>
      </c>
      <c r="K390" t="n">
        <v>0</v>
      </c>
      <c r="L390" t="n">
        <v>0</v>
      </c>
      <c r="M390" t="n">
        <v>0</v>
      </c>
      <c r="N390" t="n">
        <v>0</v>
      </c>
      <c r="O390" t="n">
        <v>0</v>
      </c>
      <c r="P390" t="n">
        <v>0</v>
      </c>
      <c r="Q390" t="n">
        <v>0</v>
      </c>
      <c r="R390" s="2" t="inlineStr"/>
    </row>
    <row r="391" ht="15" customHeight="1">
      <c r="A391" t="inlineStr">
        <is>
          <t>A 18523-2025</t>
        </is>
      </c>
      <c r="B391" s="1" t="n">
        <v>45763.39765046296</v>
      </c>
      <c r="C391" s="1" t="n">
        <v>46074</v>
      </c>
      <c r="D391" t="inlineStr">
        <is>
          <t>VÄSTRA GÖTALANDS LÄN</t>
        </is>
      </c>
      <c r="E391" t="inlineStr">
        <is>
          <t>DALS-ED</t>
        </is>
      </c>
      <c r="G391" t="n">
        <v>2.1</v>
      </c>
      <c r="H391" t="n">
        <v>0</v>
      </c>
      <c r="I391" t="n">
        <v>0</v>
      </c>
      <c r="J391" t="n">
        <v>0</v>
      </c>
      <c r="K391" t="n">
        <v>0</v>
      </c>
      <c r="L391" t="n">
        <v>0</v>
      </c>
      <c r="M391" t="n">
        <v>0</v>
      </c>
      <c r="N391" t="n">
        <v>0</v>
      </c>
      <c r="O391" t="n">
        <v>0</v>
      </c>
      <c r="P391" t="n">
        <v>0</v>
      </c>
      <c r="Q391" t="n">
        <v>0</v>
      </c>
      <c r="R391" s="2" t="inlineStr"/>
    </row>
    <row r="392" ht="15" customHeight="1">
      <c r="A392" t="inlineStr">
        <is>
          <t>A 2632-2025</t>
        </is>
      </c>
      <c r="B392" s="1" t="n">
        <v>45675.8675</v>
      </c>
      <c r="C392" s="1" t="n">
        <v>46074</v>
      </c>
      <c r="D392" t="inlineStr">
        <is>
          <t>VÄSTRA GÖTALANDS LÄN</t>
        </is>
      </c>
      <c r="E392" t="inlineStr">
        <is>
          <t>DALS-ED</t>
        </is>
      </c>
      <c r="G392" t="n">
        <v>1.4</v>
      </c>
      <c r="H392" t="n">
        <v>0</v>
      </c>
      <c r="I392" t="n">
        <v>0</v>
      </c>
      <c r="J392" t="n">
        <v>0</v>
      </c>
      <c r="K392" t="n">
        <v>0</v>
      </c>
      <c r="L392" t="n">
        <v>0</v>
      </c>
      <c r="M392" t="n">
        <v>0</v>
      </c>
      <c r="N392" t="n">
        <v>0</v>
      </c>
      <c r="O392" t="n">
        <v>0</v>
      </c>
      <c r="P392" t="n">
        <v>0</v>
      </c>
      <c r="Q392" t="n">
        <v>0</v>
      </c>
      <c r="R392" s="2" t="inlineStr"/>
    </row>
    <row r="393" ht="15" customHeight="1">
      <c r="A393" t="inlineStr">
        <is>
          <t>A 5114-2023</t>
        </is>
      </c>
      <c r="B393" s="1" t="n">
        <v>44958.66506944445</v>
      </c>
      <c r="C393" s="1" t="n">
        <v>46074</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29047-2023</t>
        </is>
      </c>
      <c r="B394" s="1" t="n">
        <v>45104</v>
      </c>
      <c r="C394" s="1" t="n">
        <v>46074</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12988-2022</t>
        </is>
      </c>
      <c r="B395" s="1" t="n">
        <v>44643</v>
      </c>
      <c r="C395" s="1" t="n">
        <v>46074</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40972-2023</t>
        </is>
      </c>
      <c r="B396" s="1" t="n">
        <v>45173.48878472222</v>
      </c>
      <c r="C396" s="1" t="n">
        <v>46074</v>
      </c>
      <c r="D396" t="inlineStr">
        <is>
          <t>VÄSTRA GÖTALANDS LÄN</t>
        </is>
      </c>
      <c r="E396" t="inlineStr">
        <is>
          <t>DALS-ED</t>
        </is>
      </c>
      <c r="G396" t="n">
        <v>4.7</v>
      </c>
      <c r="H396" t="n">
        <v>0</v>
      </c>
      <c r="I396" t="n">
        <v>0</v>
      </c>
      <c r="J396" t="n">
        <v>0</v>
      </c>
      <c r="K396" t="n">
        <v>0</v>
      </c>
      <c r="L396" t="n">
        <v>0</v>
      </c>
      <c r="M396" t="n">
        <v>0</v>
      </c>
      <c r="N396" t="n">
        <v>0</v>
      </c>
      <c r="O396" t="n">
        <v>0</v>
      </c>
      <c r="P396" t="n">
        <v>0</v>
      </c>
      <c r="Q396" t="n">
        <v>0</v>
      </c>
      <c r="R396" s="2" t="inlineStr"/>
    </row>
    <row r="397" ht="15" customHeight="1">
      <c r="A397" t="inlineStr">
        <is>
          <t>A 18228-2025</t>
        </is>
      </c>
      <c r="B397" s="1" t="n">
        <v>45761.83359953704</v>
      </c>
      <c r="C397" s="1" t="n">
        <v>46074</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56341-2024</t>
        </is>
      </c>
      <c r="B398" s="1" t="n">
        <v>45624.8387037037</v>
      </c>
      <c r="C398" s="1" t="n">
        <v>46074</v>
      </c>
      <c r="D398" t="inlineStr">
        <is>
          <t>VÄSTRA GÖTALANDS LÄN</t>
        </is>
      </c>
      <c r="E398" t="inlineStr">
        <is>
          <t>DALS-ED</t>
        </is>
      </c>
      <c r="G398" t="n">
        <v>3</v>
      </c>
      <c r="H398" t="n">
        <v>0</v>
      </c>
      <c r="I398" t="n">
        <v>0</v>
      </c>
      <c r="J398" t="n">
        <v>0</v>
      </c>
      <c r="K398" t="n">
        <v>0</v>
      </c>
      <c r="L398" t="n">
        <v>0</v>
      </c>
      <c r="M398" t="n">
        <v>0</v>
      </c>
      <c r="N398" t="n">
        <v>0</v>
      </c>
      <c r="O398" t="n">
        <v>0</v>
      </c>
      <c r="P398" t="n">
        <v>0</v>
      </c>
      <c r="Q398" t="n">
        <v>0</v>
      </c>
      <c r="R398" s="2" t="inlineStr"/>
    </row>
    <row r="399" ht="15" customHeight="1">
      <c r="A399" t="inlineStr">
        <is>
          <t>A 8621-2024</t>
        </is>
      </c>
      <c r="B399" s="1" t="n">
        <v>45355.76253472222</v>
      </c>
      <c r="C399" s="1" t="n">
        <v>46074</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9423-2026</t>
        </is>
      </c>
      <c r="B400" s="1" t="n">
        <v>46071.44307870371</v>
      </c>
      <c r="C400" s="1" t="n">
        <v>46074</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52349-2024</t>
        </is>
      </c>
      <c r="B401" s="1" t="n">
        <v>45609.34872685185</v>
      </c>
      <c r="C401" s="1" t="n">
        <v>46074</v>
      </c>
      <c r="D401" t="inlineStr">
        <is>
          <t>VÄSTRA GÖTALANDS LÄN</t>
        </is>
      </c>
      <c r="E401" t="inlineStr">
        <is>
          <t>DALS-ED</t>
        </is>
      </c>
      <c r="G401" t="n">
        <v>6.1</v>
      </c>
      <c r="H401" t="n">
        <v>0</v>
      </c>
      <c r="I401" t="n">
        <v>0</v>
      </c>
      <c r="J401" t="n">
        <v>0</v>
      </c>
      <c r="K401" t="n">
        <v>0</v>
      </c>
      <c r="L401" t="n">
        <v>0</v>
      </c>
      <c r="M401" t="n">
        <v>0</v>
      </c>
      <c r="N401" t="n">
        <v>0</v>
      </c>
      <c r="O401" t="n">
        <v>0</v>
      </c>
      <c r="P401" t="n">
        <v>0</v>
      </c>
      <c r="Q401" t="n">
        <v>0</v>
      </c>
      <c r="R401" s="2" t="inlineStr"/>
    </row>
    <row r="402" ht="15" customHeight="1">
      <c r="A402" t="inlineStr">
        <is>
          <t>A 52373-2024</t>
        </is>
      </c>
      <c r="B402" s="1" t="n">
        <v>45609.39646990741</v>
      </c>
      <c r="C402" s="1" t="n">
        <v>46074</v>
      </c>
      <c r="D402" t="inlineStr">
        <is>
          <t>VÄSTRA GÖTALANDS LÄN</t>
        </is>
      </c>
      <c r="E402" t="inlineStr">
        <is>
          <t>DALS-ED</t>
        </is>
      </c>
      <c r="G402" t="n">
        <v>4.5</v>
      </c>
      <c r="H402" t="n">
        <v>0</v>
      </c>
      <c r="I402" t="n">
        <v>0</v>
      </c>
      <c r="J402" t="n">
        <v>0</v>
      </c>
      <c r="K402" t="n">
        <v>0</v>
      </c>
      <c r="L402" t="n">
        <v>0</v>
      </c>
      <c r="M402" t="n">
        <v>0</v>
      </c>
      <c r="N402" t="n">
        <v>0</v>
      </c>
      <c r="O402" t="n">
        <v>0</v>
      </c>
      <c r="P402" t="n">
        <v>0</v>
      </c>
      <c r="Q402" t="n">
        <v>0</v>
      </c>
      <c r="R402" s="2" t="inlineStr"/>
    </row>
    <row r="403" ht="15" customHeight="1">
      <c r="A403" t="inlineStr">
        <is>
          <t>A 54183-2024</t>
        </is>
      </c>
      <c r="B403" s="1" t="n">
        <v>45616.63967592592</v>
      </c>
      <c r="C403" s="1" t="n">
        <v>46074</v>
      </c>
      <c r="D403" t="inlineStr">
        <is>
          <t>VÄSTRA GÖTALANDS LÄN</t>
        </is>
      </c>
      <c r="E403" t="inlineStr">
        <is>
          <t>DALS-ED</t>
        </is>
      </c>
      <c r="G403" t="n">
        <v>1.6</v>
      </c>
      <c r="H403" t="n">
        <v>0</v>
      </c>
      <c r="I403" t="n">
        <v>0</v>
      </c>
      <c r="J403" t="n">
        <v>0</v>
      </c>
      <c r="K403" t="n">
        <v>0</v>
      </c>
      <c r="L403" t="n">
        <v>0</v>
      </c>
      <c r="M403" t="n">
        <v>0</v>
      </c>
      <c r="N403" t="n">
        <v>0</v>
      </c>
      <c r="O403" t="n">
        <v>0</v>
      </c>
      <c r="P403" t="n">
        <v>0</v>
      </c>
      <c r="Q403" t="n">
        <v>0</v>
      </c>
      <c r="R403" s="2" t="inlineStr"/>
    </row>
    <row r="404" ht="15" customHeight="1">
      <c r="A404" t="inlineStr">
        <is>
          <t>A 56442-2023</t>
        </is>
      </c>
      <c r="B404" s="1" t="n">
        <v>45237</v>
      </c>
      <c r="C404" s="1" t="n">
        <v>46074</v>
      </c>
      <c r="D404" t="inlineStr">
        <is>
          <t>VÄSTRA GÖTALANDS LÄN</t>
        </is>
      </c>
      <c r="E404" t="inlineStr">
        <is>
          <t>DALS-ED</t>
        </is>
      </c>
      <c r="F404" t="inlineStr">
        <is>
          <t>Kyrkan</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17142-2024</t>
        </is>
      </c>
      <c r="B405" s="1" t="n">
        <v>45412.63640046296</v>
      </c>
      <c r="C405" s="1" t="n">
        <v>46074</v>
      </c>
      <c r="D405" t="inlineStr">
        <is>
          <t>VÄSTRA GÖTALANDS LÄN</t>
        </is>
      </c>
      <c r="E405" t="inlineStr">
        <is>
          <t>DALS-ED</t>
        </is>
      </c>
      <c r="G405" t="n">
        <v>2</v>
      </c>
      <c r="H405" t="n">
        <v>0</v>
      </c>
      <c r="I405" t="n">
        <v>0</v>
      </c>
      <c r="J405" t="n">
        <v>0</v>
      </c>
      <c r="K405" t="n">
        <v>0</v>
      </c>
      <c r="L405" t="n">
        <v>0</v>
      </c>
      <c r="M405" t="n">
        <v>0</v>
      </c>
      <c r="N405" t="n">
        <v>0</v>
      </c>
      <c r="O405" t="n">
        <v>0</v>
      </c>
      <c r="P405" t="n">
        <v>0</v>
      </c>
      <c r="Q405" t="n">
        <v>0</v>
      </c>
      <c r="R405" s="2" t="inlineStr"/>
    </row>
    <row r="406" ht="15" customHeight="1">
      <c r="A406" t="inlineStr">
        <is>
          <t>A 1305-2026</t>
        </is>
      </c>
      <c r="B406" s="1" t="n">
        <v>46031.53226851852</v>
      </c>
      <c r="C406" s="1" t="n">
        <v>46074</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1309-2026</t>
        </is>
      </c>
      <c r="B407" s="1" t="n">
        <v>46031.53541666667</v>
      </c>
      <c r="C407" s="1" t="n">
        <v>46074</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899-2026</t>
        </is>
      </c>
      <c r="B408" s="1" t="n">
        <v>46028</v>
      </c>
      <c r="C408" s="1" t="n">
        <v>46074</v>
      </c>
      <c r="D408" t="inlineStr">
        <is>
          <t>VÄSTRA GÖTALANDS LÄN</t>
        </is>
      </c>
      <c r="E408" t="inlineStr">
        <is>
          <t>DALS-ED</t>
        </is>
      </c>
      <c r="G408" t="n">
        <v>3.4</v>
      </c>
      <c r="H408" t="n">
        <v>0</v>
      </c>
      <c r="I408" t="n">
        <v>0</v>
      </c>
      <c r="J408" t="n">
        <v>0</v>
      </c>
      <c r="K408" t="n">
        <v>0</v>
      </c>
      <c r="L408" t="n">
        <v>0</v>
      </c>
      <c r="M408" t="n">
        <v>0</v>
      </c>
      <c r="N408" t="n">
        <v>0</v>
      </c>
      <c r="O408" t="n">
        <v>0</v>
      </c>
      <c r="P408" t="n">
        <v>0</v>
      </c>
      <c r="Q408" t="n">
        <v>0</v>
      </c>
      <c r="R408" s="2" t="inlineStr"/>
    </row>
    <row r="409" ht="15" customHeight="1">
      <c r="A409" t="inlineStr">
        <is>
          <t>A 970-2026</t>
        </is>
      </c>
      <c r="B409" s="1" t="n">
        <v>46030.56324074074</v>
      </c>
      <c r="C409" s="1" t="n">
        <v>46074</v>
      </c>
      <c r="D409" t="inlineStr">
        <is>
          <t>VÄSTRA GÖTALANDS LÄN</t>
        </is>
      </c>
      <c r="E409" t="inlineStr">
        <is>
          <t>DALS-ED</t>
        </is>
      </c>
      <c r="G409" t="n">
        <v>1.5</v>
      </c>
      <c r="H409" t="n">
        <v>0</v>
      </c>
      <c r="I409" t="n">
        <v>0</v>
      </c>
      <c r="J409" t="n">
        <v>0</v>
      </c>
      <c r="K409" t="n">
        <v>0</v>
      </c>
      <c r="L409" t="n">
        <v>0</v>
      </c>
      <c r="M409" t="n">
        <v>0</v>
      </c>
      <c r="N409" t="n">
        <v>0</v>
      </c>
      <c r="O409" t="n">
        <v>0</v>
      </c>
      <c r="P409" t="n">
        <v>0</v>
      </c>
      <c r="Q409" t="n">
        <v>0</v>
      </c>
      <c r="R409" s="2" t="inlineStr"/>
    </row>
    <row r="410" ht="15" customHeight="1">
      <c r="A410" t="inlineStr">
        <is>
          <t>A 43841-2024</t>
        </is>
      </c>
      <c r="B410" s="1" t="n">
        <v>45572.34341435185</v>
      </c>
      <c r="C410" s="1" t="n">
        <v>46074</v>
      </c>
      <c r="D410" t="inlineStr">
        <is>
          <t>VÄSTRA GÖTALANDS LÄN</t>
        </is>
      </c>
      <c r="E410" t="inlineStr">
        <is>
          <t>DALS-ED</t>
        </is>
      </c>
      <c r="G410" t="n">
        <v>2.4</v>
      </c>
      <c r="H410" t="n">
        <v>0</v>
      </c>
      <c r="I410" t="n">
        <v>0</v>
      </c>
      <c r="J410" t="n">
        <v>0</v>
      </c>
      <c r="K410" t="n">
        <v>0</v>
      </c>
      <c r="L410" t="n">
        <v>0</v>
      </c>
      <c r="M410" t="n">
        <v>0</v>
      </c>
      <c r="N410" t="n">
        <v>0</v>
      </c>
      <c r="O410" t="n">
        <v>0</v>
      </c>
      <c r="P410" t="n">
        <v>0</v>
      </c>
      <c r="Q410" t="n">
        <v>0</v>
      </c>
      <c r="R410" s="2" t="inlineStr"/>
    </row>
    <row r="411" ht="15" customHeight="1">
      <c r="A411" t="inlineStr">
        <is>
          <t>A 9884-2026</t>
        </is>
      </c>
      <c r="B411" s="1" t="n">
        <v>46073.34993055555</v>
      </c>
      <c r="C411" s="1" t="n">
        <v>46074</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21370-2022</t>
        </is>
      </c>
      <c r="B412" s="1" t="n">
        <v>44705.70888888889</v>
      </c>
      <c r="C412" s="1" t="n">
        <v>46074</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926-2026</t>
        </is>
      </c>
      <c r="B413" s="1" t="n">
        <v>46030.50331018519</v>
      </c>
      <c r="C413" s="1" t="n">
        <v>46074</v>
      </c>
      <c r="D413" t="inlineStr">
        <is>
          <t>VÄSTRA GÖTALANDS LÄN</t>
        </is>
      </c>
      <c r="E413" t="inlineStr">
        <is>
          <t>DALS-ED</t>
        </is>
      </c>
      <c r="G413" t="n">
        <v>2.3</v>
      </c>
      <c r="H413" t="n">
        <v>0</v>
      </c>
      <c r="I413" t="n">
        <v>0</v>
      </c>
      <c r="J413" t="n">
        <v>0</v>
      </c>
      <c r="K413" t="n">
        <v>0</v>
      </c>
      <c r="L413" t="n">
        <v>0</v>
      </c>
      <c r="M413" t="n">
        <v>0</v>
      </c>
      <c r="N413" t="n">
        <v>0</v>
      </c>
      <c r="O413" t="n">
        <v>0</v>
      </c>
      <c r="P413" t="n">
        <v>0</v>
      </c>
      <c r="Q413" t="n">
        <v>0</v>
      </c>
      <c r="R413" s="2" t="inlineStr"/>
    </row>
    <row r="414" ht="15" customHeight="1">
      <c r="A414" t="inlineStr">
        <is>
          <t>A 11656-2021</t>
        </is>
      </c>
      <c r="B414" s="1" t="n">
        <v>44264</v>
      </c>
      <c r="C414" s="1" t="n">
        <v>46074</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23695-2024</t>
        </is>
      </c>
      <c r="B415" s="1" t="n">
        <v>45454.66747685185</v>
      </c>
      <c r="C415" s="1" t="n">
        <v>46074</v>
      </c>
      <c r="D415" t="inlineStr">
        <is>
          <t>VÄSTRA GÖTALANDS LÄN</t>
        </is>
      </c>
      <c r="E415" t="inlineStr">
        <is>
          <t>DALS-ED</t>
        </is>
      </c>
      <c r="F415" t="inlineStr">
        <is>
          <t>Kyrkan</t>
        </is>
      </c>
      <c r="G415" t="n">
        <v>2.9</v>
      </c>
      <c r="H415" t="n">
        <v>0</v>
      </c>
      <c r="I415" t="n">
        <v>0</v>
      </c>
      <c r="J415" t="n">
        <v>0</v>
      </c>
      <c r="K415" t="n">
        <v>0</v>
      </c>
      <c r="L415" t="n">
        <v>0</v>
      </c>
      <c r="M415" t="n">
        <v>0</v>
      </c>
      <c r="N415" t="n">
        <v>0</v>
      </c>
      <c r="O415" t="n">
        <v>0</v>
      </c>
      <c r="P415" t="n">
        <v>0</v>
      </c>
      <c r="Q415" t="n">
        <v>0</v>
      </c>
      <c r="R415" s="2" t="inlineStr"/>
    </row>
    <row r="416" ht="15" customHeight="1">
      <c r="A416" t="inlineStr">
        <is>
          <t>A 1302-2026</t>
        </is>
      </c>
      <c r="B416" s="1" t="n">
        <v>46031.52755787037</v>
      </c>
      <c r="C416" s="1" t="n">
        <v>46074</v>
      </c>
      <c r="D416" t="inlineStr">
        <is>
          <t>VÄSTRA GÖTALANDS LÄN</t>
        </is>
      </c>
      <c r="E416" t="inlineStr">
        <is>
          <t>DALS-ED</t>
        </is>
      </c>
      <c r="G416" t="n">
        <v>2.3</v>
      </c>
      <c r="H416" t="n">
        <v>0</v>
      </c>
      <c r="I416" t="n">
        <v>0</v>
      </c>
      <c r="J416" t="n">
        <v>0</v>
      </c>
      <c r="K416" t="n">
        <v>0</v>
      </c>
      <c r="L416" t="n">
        <v>0</v>
      </c>
      <c r="M416" t="n">
        <v>0</v>
      </c>
      <c r="N416" t="n">
        <v>0</v>
      </c>
      <c r="O416" t="n">
        <v>0</v>
      </c>
      <c r="P416" t="n">
        <v>0</v>
      </c>
      <c r="Q416" t="n">
        <v>0</v>
      </c>
      <c r="R416" s="2" t="inlineStr"/>
    </row>
    <row r="417" ht="15" customHeight="1">
      <c r="A417" t="inlineStr">
        <is>
          <t>A 9886-2026</t>
        </is>
      </c>
      <c r="B417" s="1" t="n">
        <v>46073.35717592593</v>
      </c>
      <c r="C417" s="1" t="n">
        <v>46074</v>
      </c>
      <c r="D417" t="inlineStr">
        <is>
          <t>VÄSTRA GÖTALANDS LÄN</t>
        </is>
      </c>
      <c r="E417" t="inlineStr">
        <is>
          <t>DALS-ED</t>
        </is>
      </c>
      <c r="G417" t="n">
        <v>1.6</v>
      </c>
      <c r="H417" t="n">
        <v>0</v>
      </c>
      <c r="I417" t="n">
        <v>0</v>
      </c>
      <c r="J417" t="n">
        <v>0</v>
      </c>
      <c r="K417" t="n">
        <v>0</v>
      </c>
      <c r="L417" t="n">
        <v>0</v>
      </c>
      <c r="M417" t="n">
        <v>0</v>
      </c>
      <c r="N417" t="n">
        <v>0</v>
      </c>
      <c r="O417" t="n">
        <v>0</v>
      </c>
      <c r="P417" t="n">
        <v>0</v>
      </c>
      <c r="Q417" t="n">
        <v>0</v>
      </c>
      <c r="R417" s="2" t="inlineStr"/>
    </row>
    <row r="418" ht="15" customHeight="1">
      <c r="A418" t="inlineStr">
        <is>
          <t>A 9885-2026</t>
        </is>
      </c>
      <c r="B418" s="1" t="n">
        <v>46073.35402777778</v>
      </c>
      <c r="C418" s="1" t="n">
        <v>46074</v>
      </c>
      <c r="D418" t="inlineStr">
        <is>
          <t>VÄSTRA GÖTALANDS LÄN</t>
        </is>
      </c>
      <c r="E418" t="inlineStr">
        <is>
          <t>DALS-ED</t>
        </is>
      </c>
      <c r="G418" t="n">
        <v>1.2</v>
      </c>
      <c r="H418" t="n">
        <v>0</v>
      </c>
      <c r="I418" t="n">
        <v>0</v>
      </c>
      <c r="J418" t="n">
        <v>0</v>
      </c>
      <c r="K418" t="n">
        <v>0</v>
      </c>
      <c r="L418" t="n">
        <v>0</v>
      </c>
      <c r="M418" t="n">
        <v>0</v>
      </c>
      <c r="N418" t="n">
        <v>0</v>
      </c>
      <c r="O418" t="n">
        <v>0</v>
      </c>
      <c r="P418" t="n">
        <v>0</v>
      </c>
      <c r="Q418" t="n">
        <v>0</v>
      </c>
      <c r="R418" s="2" t="inlineStr"/>
    </row>
    <row r="419" ht="15" customHeight="1">
      <c r="A419" t="inlineStr">
        <is>
          <t>A 9888-2026</t>
        </is>
      </c>
      <c r="B419" s="1" t="n">
        <v>46073.35965277778</v>
      </c>
      <c r="C419" s="1" t="n">
        <v>46074</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53910-2024</t>
        </is>
      </c>
      <c r="B420" s="1" t="n">
        <v>45615.72082175926</v>
      </c>
      <c r="C420" s="1" t="n">
        <v>46074</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6368-2022</t>
        </is>
      </c>
      <c r="B421" s="1" t="n">
        <v>44600</v>
      </c>
      <c r="C421" s="1" t="n">
        <v>46074</v>
      </c>
      <c r="D421" t="inlineStr">
        <is>
          <t>VÄSTRA GÖTALANDS LÄN</t>
        </is>
      </c>
      <c r="E421" t="inlineStr">
        <is>
          <t>DALS-ED</t>
        </is>
      </c>
      <c r="F421" t="inlineStr">
        <is>
          <t>Kyrkan</t>
        </is>
      </c>
      <c r="G421" t="n">
        <v>7</v>
      </c>
      <c r="H421" t="n">
        <v>0</v>
      </c>
      <c r="I421" t="n">
        <v>0</v>
      </c>
      <c r="J421" t="n">
        <v>0</v>
      </c>
      <c r="K421" t="n">
        <v>0</v>
      </c>
      <c r="L421" t="n">
        <v>0</v>
      </c>
      <c r="M421" t="n">
        <v>0</v>
      </c>
      <c r="N421" t="n">
        <v>0</v>
      </c>
      <c r="O421" t="n">
        <v>0</v>
      </c>
      <c r="P421" t="n">
        <v>0</v>
      </c>
      <c r="Q421" t="n">
        <v>0</v>
      </c>
      <c r="R421" s="2" t="inlineStr"/>
    </row>
    <row r="422" ht="15" customHeight="1">
      <c r="A422" t="inlineStr">
        <is>
          <t>A 20889-2022</t>
        </is>
      </c>
      <c r="B422" s="1" t="n">
        <v>44701</v>
      </c>
      <c r="C422" s="1" t="n">
        <v>46074</v>
      </c>
      <c r="D422" t="inlineStr">
        <is>
          <t>VÄSTRA GÖTALANDS LÄN</t>
        </is>
      </c>
      <c r="E422" t="inlineStr">
        <is>
          <t>DALS-ED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18453-2024</t>
        </is>
      </c>
      <c r="B423" s="1" t="n">
        <v>45425.4653587963</v>
      </c>
      <c r="C423" s="1" t="n">
        <v>46074</v>
      </c>
      <c r="D423" t="inlineStr">
        <is>
          <t>VÄSTRA GÖTALANDS LÄN</t>
        </is>
      </c>
      <c r="E423" t="inlineStr">
        <is>
          <t>DALS-ED</t>
        </is>
      </c>
      <c r="G423" t="n">
        <v>1.9</v>
      </c>
      <c r="H423" t="n">
        <v>0</v>
      </c>
      <c r="I423" t="n">
        <v>0</v>
      </c>
      <c r="J423" t="n">
        <v>0</v>
      </c>
      <c r="K423" t="n">
        <v>0</v>
      </c>
      <c r="L423" t="n">
        <v>0</v>
      </c>
      <c r="M423" t="n">
        <v>0</v>
      </c>
      <c r="N423" t="n">
        <v>0</v>
      </c>
      <c r="O423" t="n">
        <v>0</v>
      </c>
      <c r="P423" t="n">
        <v>0</v>
      </c>
      <c r="Q423" t="n">
        <v>0</v>
      </c>
      <c r="R423" s="2" t="inlineStr"/>
    </row>
    <row r="424" ht="15" customHeight="1">
      <c r="A424" t="inlineStr">
        <is>
          <t>A 5569-2023</t>
        </is>
      </c>
      <c r="B424" s="1" t="n">
        <v>44960.48239583334</v>
      </c>
      <c r="C424" s="1" t="n">
        <v>46074</v>
      </c>
      <c r="D424" t="inlineStr">
        <is>
          <t>VÄSTRA GÖTALANDS LÄN</t>
        </is>
      </c>
      <c r="E424" t="inlineStr">
        <is>
          <t>DALS-ED</t>
        </is>
      </c>
      <c r="G424" t="n">
        <v>10.4</v>
      </c>
      <c r="H424" t="n">
        <v>0</v>
      </c>
      <c r="I424" t="n">
        <v>0</v>
      </c>
      <c r="J424" t="n">
        <v>0</v>
      </c>
      <c r="K424" t="n">
        <v>0</v>
      </c>
      <c r="L424" t="n">
        <v>0</v>
      </c>
      <c r="M424" t="n">
        <v>0</v>
      </c>
      <c r="N424" t="n">
        <v>0</v>
      </c>
      <c r="O424" t="n">
        <v>0</v>
      </c>
      <c r="P424" t="n">
        <v>0</v>
      </c>
      <c r="Q424" t="n">
        <v>0</v>
      </c>
      <c r="R424" s="2" t="inlineStr"/>
    </row>
    <row r="425" ht="15" customHeight="1">
      <c r="A425" t="inlineStr">
        <is>
          <t>A 25924-2024</t>
        </is>
      </c>
      <c r="B425" s="1" t="n">
        <v>45467.61216435185</v>
      </c>
      <c r="C425" s="1" t="n">
        <v>46074</v>
      </c>
      <c r="D425" t="inlineStr">
        <is>
          <t>VÄSTRA GÖTALANDS LÄN</t>
        </is>
      </c>
      <c r="E425" t="inlineStr">
        <is>
          <t>DALS-ED</t>
        </is>
      </c>
      <c r="G425" t="n">
        <v>0.9</v>
      </c>
      <c r="H425" t="n">
        <v>0</v>
      </c>
      <c r="I425" t="n">
        <v>0</v>
      </c>
      <c r="J425" t="n">
        <v>0</v>
      </c>
      <c r="K425" t="n">
        <v>0</v>
      </c>
      <c r="L425" t="n">
        <v>0</v>
      </c>
      <c r="M425" t="n">
        <v>0</v>
      </c>
      <c r="N425" t="n">
        <v>0</v>
      </c>
      <c r="O425" t="n">
        <v>0</v>
      </c>
      <c r="P425" t="n">
        <v>0</v>
      </c>
      <c r="Q425" t="n">
        <v>0</v>
      </c>
      <c r="R425" s="2" t="inlineStr"/>
    </row>
    <row r="426" ht="15" customHeight="1">
      <c r="A426" t="inlineStr">
        <is>
          <t>A 8892-2022</t>
        </is>
      </c>
      <c r="B426" s="1" t="n">
        <v>44614</v>
      </c>
      <c r="C426" s="1" t="n">
        <v>46074</v>
      </c>
      <c r="D426" t="inlineStr">
        <is>
          <t>VÄSTRA GÖTALANDS LÄN</t>
        </is>
      </c>
      <c r="E426" t="inlineStr">
        <is>
          <t>DALS-ED</t>
        </is>
      </c>
      <c r="G426" t="n">
        <v>0.2</v>
      </c>
      <c r="H426" t="n">
        <v>0</v>
      </c>
      <c r="I426" t="n">
        <v>0</v>
      </c>
      <c r="J426" t="n">
        <v>0</v>
      </c>
      <c r="K426" t="n">
        <v>0</v>
      </c>
      <c r="L426" t="n">
        <v>0</v>
      </c>
      <c r="M426" t="n">
        <v>0</v>
      </c>
      <c r="N426" t="n">
        <v>0</v>
      </c>
      <c r="O426" t="n">
        <v>0</v>
      </c>
      <c r="P426" t="n">
        <v>0</v>
      </c>
      <c r="Q426" t="n">
        <v>0</v>
      </c>
      <c r="R426" s="2" t="inlineStr"/>
    </row>
    <row r="427" ht="15" customHeight="1">
      <c r="A427" t="inlineStr">
        <is>
          <t>A 6570-2022</t>
        </is>
      </c>
      <c r="B427" s="1" t="n">
        <v>44601.60956018518</v>
      </c>
      <c r="C427" s="1" t="n">
        <v>46074</v>
      </c>
      <c r="D427" t="inlineStr">
        <is>
          <t>VÄSTRA GÖTALANDS LÄN</t>
        </is>
      </c>
      <c r="E427" t="inlineStr">
        <is>
          <t>DALS-ED</t>
        </is>
      </c>
      <c r="G427" t="n">
        <v>2.9</v>
      </c>
      <c r="H427" t="n">
        <v>0</v>
      </c>
      <c r="I427" t="n">
        <v>0</v>
      </c>
      <c r="J427" t="n">
        <v>0</v>
      </c>
      <c r="K427" t="n">
        <v>0</v>
      </c>
      <c r="L427" t="n">
        <v>0</v>
      </c>
      <c r="M427" t="n">
        <v>0</v>
      </c>
      <c r="N427" t="n">
        <v>0</v>
      </c>
      <c r="O427" t="n">
        <v>0</v>
      </c>
      <c r="P427" t="n">
        <v>0</v>
      </c>
      <c r="Q427" t="n">
        <v>0</v>
      </c>
      <c r="R427" s="2" t="inlineStr"/>
    </row>
    <row r="428" ht="15" customHeight="1">
      <c r="A428" t="inlineStr">
        <is>
          <t>A 35466-2024</t>
        </is>
      </c>
      <c r="B428" s="1" t="n">
        <v>45531.46454861111</v>
      </c>
      <c r="C428" s="1" t="n">
        <v>46074</v>
      </c>
      <c r="D428" t="inlineStr">
        <is>
          <t>VÄSTRA GÖTALANDS LÄN</t>
        </is>
      </c>
      <c r="E428" t="inlineStr">
        <is>
          <t>DALS-ED</t>
        </is>
      </c>
      <c r="G428" t="n">
        <v>4.7</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46074</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4107-2023</t>
        </is>
      </c>
      <c r="B430" s="1" t="n">
        <v>44952</v>
      </c>
      <c r="C430" s="1" t="n">
        <v>46074</v>
      </c>
      <c r="D430" t="inlineStr">
        <is>
          <t>VÄSTRA GÖTALANDS LÄN</t>
        </is>
      </c>
      <c r="E430" t="inlineStr">
        <is>
          <t>DALS-ED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4110-2023</t>
        </is>
      </c>
      <c r="B431" s="1" t="n">
        <v>44952</v>
      </c>
      <c r="C431" s="1" t="n">
        <v>46074</v>
      </c>
      <c r="D431" t="inlineStr">
        <is>
          <t>VÄSTRA GÖTALANDS LÄN</t>
        </is>
      </c>
      <c r="E431" t="inlineStr">
        <is>
          <t>DALS-ED</t>
        </is>
      </c>
      <c r="G431" t="n">
        <v>27.4</v>
      </c>
      <c r="H431" t="n">
        <v>0</v>
      </c>
      <c r="I431" t="n">
        <v>0</v>
      </c>
      <c r="J431" t="n">
        <v>0</v>
      </c>
      <c r="K431" t="n">
        <v>0</v>
      </c>
      <c r="L431" t="n">
        <v>0</v>
      </c>
      <c r="M431" t="n">
        <v>0</v>
      </c>
      <c r="N431" t="n">
        <v>0</v>
      </c>
      <c r="O431" t="n">
        <v>0</v>
      </c>
      <c r="P431" t="n">
        <v>0</v>
      </c>
      <c r="Q431" t="n">
        <v>0</v>
      </c>
      <c r="R431" s="2" t="inlineStr"/>
    </row>
    <row r="432" ht="15" customHeight="1">
      <c r="A432" t="inlineStr">
        <is>
          <t>A 4112-2023</t>
        </is>
      </c>
      <c r="B432" s="1" t="n">
        <v>44952</v>
      </c>
      <c r="C432" s="1" t="n">
        <v>46074</v>
      </c>
      <c r="D432" t="inlineStr">
        <is>
          <t>VÄSTRA GÖTALANDS LÄN</t>
        </is>
      </c>
      <c r="E432" t="inlineStr">
        <is>
          <t>DALS-ED</t>
        </is>
      </c>
      <c r="G432" t="n">
        <v>7.4</v>
      </c>
      <c r="H432" t="n">
        <v>0</v>
      </c>
      <c r="I432" t="n">
        <v>0</v>
      </c>
      <c r="J432" t="n">
        <v>0</v>
      </c>
      <c r="K432" t="n">
        <v>0</v>
      </c>
      <c r="L432" t="n">
        <v>0</v>
      </c>
      <c r="M432" t="n">
        <v>0</v>
      </c>
      <c r="N432" t="n">
        <v>0</v>
      </c>
      <c r="O432" t="n">
        <v>0</v>
      </c>
      <c r="P432" t="n">
        <v>0</v>
      </c>
      <c r="Q432" t="n">
        <v>0</v>
      </c>
      <c r="R432" s="2" t="inlineStr"/>
    </row>
    <row r="433" ht="15" customHeight="1">
      <c r="A433" t="inlineStr">
        <is>
          <t>A 42434-2024</t>
        </is>
      </c>
      <c r="B433" s="1" t="n">
        <v>45565.41542824074</v>
      </c>
      <c r="C433" s="1" t="n">
        <v>46074</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15841-2024</t>
        </is>
      </c>
      <c r="B434" s="1" t="n">
        <v>45404.72262731481</v>
      </c>
      <c r="C434" s="1" t="n">
        <v>46074</v>
      </c>
      <c r="D434" t="inlineStr">
        <is>
          <t>VÄSTRA GÖTALANDS LÄN</t>
        </is>
      </c>
      <c r="E434" t="inlineStr">
        <is>
          <t>DALS-ED</t>
        </is>
      </c>
      <c r="G434" t="n">
        <v>4.4</v>
      </c>
      <c r="H434" t="n">
        <v>0</v>
      </c>
      <c r="I434" t="n">
        <v>0</v>
      </c>
      <c r="J434" t="n">
        <v>0</v>
      </c>
      <c r="K434" t="n">
        <v>0</v>
      </c>
      <c r="L434" t="n">
        <v>0</v>
      </c>
      <c r="M434" t="n">
        <v>0</v>
      </c>
      <c r="N434" t="n">
        <v>0</v>
      </c>
      <c r="O434" t="n">
        <v>0</v>
      </c>
      <c r="P434" t="n">
        <v>0</v>
      </c>
      <c r="Q434" t="n">
        <v>0</v>
      </c>
      <c r="R434" s="2" t="inlineStr"/>
    </row>
    <row r="435" ht="15" customHeight="1">
      <c r="A435" t="inlineStr">
        <is>
          <t>A 4043-2023</t>
        </is>
      </c>
      <c r="B435" s="1" t="n">
        <v>44952.60282407407</v>
      </c>
      <c r="C435" s="1" t="n">
        <v>46074</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61626-2022</t>
        </is>
      </c>
      <c r="B436" s="1" t="n">
        <v>44916.6887037037</v>
      </c>
      <c r="C436" s="1" t="n">
        <v>46074</v>
      </c>
      <c r="D436" t="inlineStr">
        <is>
          <t>VÄSTRA GÖTALANDS LÄN</t>
        </is>
      </c>
      <c r="E436" t="inlineStr">
        <is>
          <t>DALS-ED</t>
        </is>
      </c>
      <c r="G436" t="n">
        <v>0.5</v>
      </c>
      <c r="H436" t="n">
        <v>0</v>
      </c>
      <c r="I436" t="n">
        <v>0</v>
      </c>
      <c r="J436" t="n">
        <v>0</v>
      </c>
      <c r="K436" t="n">
        <v>0</v>
      </c>
      <c r="L436" t="n">
        <v>0</v>
      </c>
      <c r="M436" t="n">
        <v>0</v>
      </c>
      <c r="N436" t="n">
        <v>0</v>
      </c>
      <c r="O436" t="n">
        <v>0</v>
      </c>
      <c r="P436" t="n">
        <v>0</v>
      </c>
      <c r="Q436" t="n">
        <v>0</v>
      </c>
      <c r="R436" s="2" t="inlineStr"/>
    </row>
    <row r="437" ht="15" customHeight="1">
      <c r="A437" t="inlineStr">
        <is>
          <t>A 42821-2023</t>
        </is>
      </c>
      <c r="B437" s="1" t="n">
        <v>45182.36564814814</v>
      </c>
      <c r="C437" s="1" t="n">
        <v>46074</v>
      </c>
      <c r="D437" t="inlineStr">
        <is>
          <t>VÄSTRA GÖTALANDS LÄN</t>
        </is>
      </c>
      <c r="E437" t="inlineStr">
        <is>
          <t>DALS-ED</t>
        </is>
      </c>
      <c r="G437" t="n">
        <v>1.1</v>
      </c>
      <c r="H437" t="n">
        <v>0</v>
      </c>
      <c r="I437" t="n">
        <v>0</v>
      </c>
      <c r="J437" t="n">
        <v>0</v>
      </c>
      <c r="K437" t="n">
        <v>0</v>
      </c>
      <c r="L437" t="n">
        <v>0</v>
      </c>
      <c r="M437" t="n">
        <v>0</v>
      </c>
      <c r="N437" t="n">
        <v>0</v>
      </c>
      <c r="O437" t="n">
        <v>0</v>
      </c>
      <c r="P437" t="n">
        <v>0</v>
      </c>
      <c r="Q437" t="n">
        <v>0</v>
      </c>
      <c r="R437" s="2" t="inlineStr"/>
    </row>
    <row r="438" ht="15" customHeight="1">
      <c r="A438" t="inlineStr">
        <is>
          <t>A 18529-2025</t>
        </is>
      </c>
      <c r="B438" s="1" t="n">
        <v>45763.40197916667</v>
      </c>
      <c r="C438" s="1" t="n">
        <v>46074</v>
      </c>
      <c r="D438" t="inlineStr">
        <is>
          <t>VÄSTRA GÖTALANDS LÄN</t>
        </is>
      </c>
      <c r="E438" t="inlineStr">
        <is>
          <t>DALS-ED</t>
        </is>
      </c>
      <c r="G438" t="n">
        <v>3.9</v>
      </c>
      <c r="H438" t="n">
        <v>0</v>
      </c>
      <c r="I438" t="n">
        <v>0</v>
      </c>
      <c r="J438" t="n">
        <v>0</v>
      </c>
      <c r="K438" t="n">
        <v>0</v>
      </c>
      <c r="L438" t="n">
        <v>0</v>
      </c>
      <c r="M438" t="n">
        <v>0</v>
      </c>
      <c r="N438" t="n">
        <v>0</v>
      </c>
      <c r="O438" t="n">
        <v>0</v>
      </c>
      <c r="P438" t="n">
        <v>0</v>
      </c>
      <c r="Q438" t="n">
        <v>0</v>
      </c>
      <c r="R438" s="2" t="inlineStr"/>
    </row>
    <row r="439" ht="15" customHeight="1">
      <c r="A439" t="inlineStr">
        <is>
          <t>A 18536-2025</t>
        </is>
      </c>
      <c r="B439" s="1" t="n">
        <v>45763.40989583333</v>
      </c>
      <c r="C439" s="1" t="n">
        <v>46074</v>
      </c>
      <c r="D439" t="inlineStr">
        <is>
          <t>VÄSTRA GÖTALANDS LÄN</t>
        </is>
      </c>
      <c r="E439" t="inlineStr">
        <is>
          <t>DALS-ED</t>
        </is>
      </c>
      <c r="G439" t="n">
        <v>4.3</v>
      </c>
      <c r="H439" t="n">
        <v>0</v>
      </c>
      <c r="I439" t="n">
        <v>0</v>
      </c>
      <c r="J439" t="n">
        <v>0</v>
      </c>
      <c r="K439" t="n">
        <v>0</v>
      </c>
      <c r="L439" t="n">
        <v>0</v>
      </c>
      <c r="M439" t="n">
        <v>0</v>
      </c>
      <c r="N439" t="n">
        <v>0</v>
      </c>
      <c r="O439" t="n">
        <v>0</v>
      </c>
      <c r="P439" t="n">
        <v>0</v>
      </c>
      <c r="Q439" t="n">
        <v>0</v>
      </c>
      <c r="R439" s="2" t="inlineStr"/>
    </row>
    <row r="440" ht="15" customHeight="1">
      <c r="A440" t="inlineStr">
        <is>
          <t>A 4105-2023</t>
        </is>
      </c>
      <c r="B440" s="1" t="n">
        <v>44952</v>
      </c>
      <c r="C440" s="1" t="n">
        <v>46074</v>
      </c>
      <c r="D440" t="inlineStr">
        <is>
          <t>VÄSTRA GÖTALANDS LÄN</t>
        </is>
      </c>
      <c r="E440" t="inlineStr">
        <is>
          <t>DALS-ED</t>
        </is>
      </c>
      <c r="G440" t="n">
        <v>3.9</v>
      </c>
      <c r="H440" t="n">
        <v>0</v>
      </c>
      <c r="I440" t="n">
        <v>0</v>
      </c>
      <c r="J440" t="n">
        <v>0</v>
      </c>
      <c r="K440" t="n">
        <v>0</v>
      </c>
      <c r="L440" t="n">
        <v>0</v>
      </c>
      <c r="M440" t="n">
        <v>0</v>
      </c>
      <c r="N440" t="n">
        <v>0</v>
      </c>
      <c r="O440" t="n">
        <v>0</v>
      </c>
      <c r="P440" t="n">
        <v>0</v>
      </c>
      <c r="Q440" t="n">
        <v>0</v>
      </c>
      <c r="R440" s="2" t="inlineStr"/>
    </row>
    <row r="441" ht="15" customHeight="1">
      <c r="A441" t="inlineStr">
        <is>
          <t>A 4108-2023</t>
        </is>
      </c>
      <c r="B441" s="1" t="n">
        <v>44952</v>
      </c>
      <c r="C441" s="1" t="n">
        <v>46074</v>
      </c>
      <c r="D441" t="inlineStr">
        <is>
          <t>VÄSTRA GÖTALANDS LÄN</t>
        </is>
      </c>
      <c r="E441" t="inlineStr">
        <is>
          <t>DALS-ED</t>
        </is>
      </c>
      <c r="G441" t="n">
        <v>4</v>
      </c>
      <c r="H441" t="n">
        <v>0</v>
      </c>
      <c r="I441" t="n">
        <v>0</v>
      </c>
      <c r="J441" t="n">
        <v>0</v>
      </c>
      <c r="K441" t="n">
        <v>0</v>
      </c>
      <c r="L441" t="n">
        <v>0</v>
      </c>
      <c r="M441" t="n">
        <v>0</v>
      </c>
      <c r="N441" t="n">
        <v>0</v>
      </c>
      <c r="O441" t="n">
        <v>0</v>
      </c>
      <c r="P441" t="n">
        <v>0</v>
      </c>
      <c r="Q441" t="n">
        <v>0</v>
      </c>
      <c r="R441" s="2" t="inlineStr"/>
    </row>
    <row r="442" ht="15" customHeight="1">
      <c r="A442" t="inlineStr">
        <is>
          <t>A 51701-2021</t>
        </is>
      </c>
      <c r="B442" s="1" t="n">
        <v>44462</v>
      </c>
      <c r="C442" s="1" t="n">
        <v>46074</v>
      </c>
      <c r="D442" t="inlineStr">
        <is>
          <t>VÄSTRA GÖTALANDS LÄN</t>
        </is>
      </c>
      <c r="E442" t="inlineStr">
        <is>
          <t>DALS-ED</t>
        </is>
      </c>
      <c r="G442" t="n">
        <v>3.5</v>
      </c>
      <c r="H442" t="n">
        <v>0</v>
      </c>
      <c r="I442" t="n">
        <v>0</v>
      </c>
      <c r="J442" t="n">
        <v>0</v>
      </c>
      <c r="K442" t="n">
        <v>0</v>
      </c>
      <c r="L442" t="n">
        <v>0</v>
      </c>
      <c r="M442" t="n">
        <v>0</v>
      </c>
      <c r="N442" t="n">
        <v>0</v>
      </c>
      <c r="O442" t="n">
        <v>0</v>
      </c>
      <c r="P442" t="n">
        <v>0</v>
      </c>
      <c r="Q442" t="n">
        <v>0</v>
      </c>
      <c r="R442" s="2" t="inlineStr"/>
    </row>
    <row r="443" ht="15" customHeight="1">
      <c r="A443" t="inlineStr">
        <is>
          <t>A 5388-2023</t>
        </is>
      </c>
      <c r="B443" s="1" t="n">
        <v>44959</v>
      </c>
      <c r="C443" s="1" t="n">
        <v>46074</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18437-2025</t>
        </is>
      </c>
      <c r="B444" s="1" t="n">
        <v>45762.65144675926</v>
      </c>
      <c r="C444" s="1" t="n">
        <v>46074</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60139-2022</t>
        </is>
      </c>
      <c r="B445" s="1" t="n">
        <v>44902</v>
      </c>
      <c r="C445" s="1" t="n">
        <v>46074</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36095-2024</t>
        </is>
      </c>
      <c r="B446" s="1" t="n">
        <v>45533</v>
      </c>
      <c r="C446" s="1" t="n">
        <v>46074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47444-2024</t>
        </is>
      </c>
      <c r="B447" s="1" t="n">
        <v>45587.53412037037</v>
      </c>
      <c r="C447" s="1" t="n">
        <v>46074</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7207-2025</t>
        </is>
      </c>
      <c r="B448" s="1" t="n">
        <v>45702.47100694444</v>
      </c>
      <c r="C448" s="1" t="n">
        <v>46074</v>
      </c>
      <c r="D448" t="inlineStr">
        <is>
          <t>VÄSTRA GÖTALANDS LÄN</t>
        </is>
      </c>
      <c r="E448" t="inlineStr">
        <is>
          <t>DALS-ED</t>
        </is>
      </c>
      <c r="G448" t="n">
        <v>3.3</v>
      </c>
      <c r="H448" t="n">
        <v>0</v>
      </c>
      <c r="I448" t="n">
        <v>0</v>
      </c>
      <c r="J448" t="n">
        <v>0</v>
      </c>
      <c r="K448" t="n">
        <v>0</v>
      </c>
      <c r="L448" t="n">
        <v>0</v>
      </c>
      <c r="M448" t="n">
        <v>0</v>
      </c>
      <c r="N448" t="n">
        <v>0</v>
      </c>
      <c r="O448" t="n">
        <v>0</v>
      </c>
      <c r="P448" t="n">
        <v>0</v>
      </c>
      <c r="Q448" t="n">
        <v>0</v>
      </c>
      <c r="R448" s="2" t="inlineStr"/>
    </row>
    <row r="449" ht="15" customHeight="1">
      <c r="A449" t="inlineStr">
        <is>
          <t>A 43747-2023</t>
        </is>
      </c>
      <c r="B449" s="1" t="n">
        <v>45187.47217592593</v>
      </c>
      <c r="C449" s="1" t="n">
        <v>46074</v>
      </c>
      <c r="D449" t="inlineStr">
        <is>
          <t>VÄSTRA GÖTALANDS LÄN</t>
        </is>
      </c>
      <c r="E449" t="inlineStr">
        <is>
          <t>DALS-ED</t>
        </is>
      </c>
      <c r="G449" t="n">
        <v>1.6</v>
      </c>
      <c r="H449" t="n">
        <v>0</v>
      </c>
      <c r="I449" t="n">
        <v>0</v>
      </c>
      <c r="J449" t="n">
        <v>0</v>
      </c>
      <c r="K449" t="n">
        <v>0</v>
      </c>
      <c r="L449" t="n">
        <v>0</v>
      </c>
      <c r="M449" t="n">
        <v>0</v>
      </c>
      <c r="N449" t="n">
        <v>0</v>
      </c>
      <c r="O449" t="n">
        <v>0</v>
      </c>
      <c r="P449" t="n">
        <v>0</v>
      </c>
      <c r="Q449" t="n">
        <v>0</v>
      </c>
      <c r="R449" s="2" t="inlineStr"/>
    </row>
    <row r="450" ht="15" customHeight="1">
      <c r="A450" t="inlineStr">
        <is>
          <t>A 4489-2025</t>
        </is>
      </c>
      <c r="B450" s="1" t="n">
        <v>45686.6608912037</v>
      </c>
      <c r="C450" s="1" t="n">
        <v>46074</v>
      </c>
      <c r="D450" t="inlineStr">
        <is>
          <t>VÄSTRA GÖTALANDS LÄN</t>
        </is>
      </c>
      <c r="E450" t="inlineStr">
        <is>
          <t>DALS-ED</t>
        </is>
      </c>
      <c r="G450" t="n">
        <v>0.8</v>
      </c>
      <c r="H450" t="n">
        <v>0</v>
      </c>
      <c r="I450" t="n">
        <v>0</v>
      </c>
      <c r="J450" t="n">
        <v>0</v>
      </c>
      <c r="K450" t="n">
        <v>0</v>
      </c>
      <c r="L450" t="n">
        <v>0</v>
      </c>
      <c r="M450" t="n">
        <v>0</v>
      </c>
      <c r="N450" t="n">
        <v>0</v>
      </c>
      <c r="O450" t="n">
        <v>0</v>
      </c>
      <c r="P450" t="n">
        <v>0</v>
      </c>
      <c r="Q450" t="n">
        <v>0</v>
      </c>
      <c r="R450" s="2" t="inlineStr"/>
    </row>
    <row r="451" ht="15" customHeight="1">
      <c r="A451" t="inlineStr">
        <is>
          <t>A 10095-2022</t>
        </is>
      </c>
      <c r="B451" s="1" t="n">
        <v>44621.69106481481</v>
      </c>
      <c r="C451" s="1" t="n">
        <v>46074</v>
      </c>
      <c r="D451" t="inlineStr">
        <is>
          <t>VÄSTRA GÖTALANDS LÄN</t>
        </is>
      </c>
      <c r="E451" t="inlineStr">
        <is>
          <t>DALS-ED</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45150.39050925926</v>
      </c>
      <c r="C452" s="1" t="n">
        <v>46074</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48281-2022</t>
        </is>
      </c>
      <c r="B453" s="1" t="n">
        <v>44858.49765046296</v>
      </c>
      <c r="C453" s="1" t="n">
        <v>46074</v>
      </c>
      <c r="D453" t="inlineStr">
        <is>
          <t>VÄSTRA GÖTALANDS LÄN</t>
        </is>
      </c>
      <c r="E453" t="inlineStr">
        <is>
          <t>DALS-ED</t>
        </is>
      </c>
      <c r="G453" t="n">
        <v>0.7</v>
      </c>
      <c r="H453" t="n">
        <v>0</v>
      </c>
      <c r="I453" t="n">
        <v>0</v>
      </c>
      <c r="J453" t="n">
        <v>0</v>
      </c>
      <c r="K453" t="n">
        <v>0</v>
      </c>
      <c r="L453" t="n">
        <v>0</v>
      </c>
      <c r="M453" t="n">
        <v>0</v>
      </c>
      <c r="N453" t="n">
        <v>0</v>
      </c>
      <c r="O453" t="n">
        <v>0</v>
      </c>
      <c r="P453" t="n">
        <v>0</v>
      </c>
      <c r="Q453" t="n">
        <v>0</v>
      </c>
      <c r="R453" s="2" t="inlineStr"/>
    </row>
    <row r="454" ht="15" customHeight="1">
      <c r="A454" t="inlineStr">
        <is>
          <t>A 32082-2023</t>
        </is>
      </c>
      <c r="B454" s="1" t="n">
        <v>45119.59131944444</v>
      </c>
      <c r="C454" s="1" t="n">
        <v>46074</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17503-2024</t>
        </is>
      </c>
      <c r="B455" s="1" t="n">
        <v>45415.5575925926</v>
      </c>
      <c r="C455" s="1" t="n">
        <v>46074</v>
      </c>
      <c r="D455" t="inlineStr">
        <is>
          <t>VÄSTRA GÖTALANDS LÄN</t>
        </is>
      </c>
      <c r="E455" t="inlineStr">
        <is>
          <t>DALS-ED</t>
        </is>
      </c>
      <c r="G455" t="n">
        <v>1.9</v>
      </c>
      <c r="H455" t="n">
        <v>0</v>
      </c>
      <c r="I455" t="n">
        <v>0</v>
      </c>
      <c r="J455" t="n">
        <v>0</v>
      </c>
      <c r="K455" t="n">
        <v>0</v>
      </c>
      <c r="L455" t="n">
        <v>0</v>
      </c>
      <c r="M455" t="n">
        <v>0</v>
      </c>
      <c r="N455" t="n">
        <v>0</v>
      </c>
      <c r="O455" t="n">
        <v>0</v>
      </c>
      <c r="P455" t="n">
        <v>0</v>
      </c>
      <c r="Q455" t="n">
        <v>0</v>
      </c>
      <c r="R455" s="2" t="inlineStr"/>
    </row>
    <row r="456" ht="15" customHeight="1">
      <c r="A456" t="inlineStr">
        <is>
          <t>A 19370-2023</t>
        </is>
      </c>
      <c r="B456" s="1" t="n">
        <v>45049</v>
      </c>
      <c r="C456" s="1" t="n">
        <v>46074</v>
      </c>
      <c r="D456" t="inlineStr">
        <is>
          <t>VÄSTRA GÖTALANDS LÄN</t>
        </is>
      </c>
      <c r="E456" t="inlineStr">
        <is>
          <t>DALS-ED</t>
        </is>
      </c>
      <c r="G456" t="n">
        <v>1.9</v>
      </c>
      <c r="H456" t="n">
        <v>0</v>
      </c>
      <c r="I456" t="n">
        <v>0</v>
      </c>
      <c r="J456" t="n">
        <v>0</v>
      </c>
      <c r="K456" t="n">
        <v>0</v>
      </c>
      <c r="L456" t="n">
        <v>0</v>
      </c>
      <c r="M456" t="n">
        <v>0</v>
      </c>
      <c r="N456" t="n">
        <v>0</v>
      </c>
      <c r="O456" t="n">
        <v>0</v>
      </c>
      <c r="P456" t="n">
        <v>0</v>
      </c>
      <c r="Q456" t="n">
        <v>0</v>
      </c>
      <c r="R456" s="2" t="inlineStr"/>
    </row>
    <row r="457" ht="15" customHeight="1">
      <c r="A457" t="inlineStr">
        <is>
          <t>A 19373-2023</t>
        </is>
      </c>
      <c r="B457" s="1" t="n">
        <v>45049.6524537037</v>
      </c>
      <c r="C457" s="1" t="n">
        <v>46074</v>
      </c>
      <c r="D457" t="inlineStr">
        <is>
          <t>VÄSTRA GÖTALANDS LÄN</t>
        </is>
      </c>
      <c r="E457" t="inlineStr">
        <is>
          <t>DALS-ED</t>
        </is>
      </c>
      <c r="G457" t="n">
        <v>3.5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46074</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28714-2024</t>
        </is>
      </c>
      <c r="B459" s="1" t="n">
        <v>45478.53525462963</v>
      </c>
      <c r="C459" s="1" t="n">
        <v>46074</v>
      </c>
      <c r="D459" t="inlineStr">
        <is>
          <t>VÄSTRA GÖTALANDS LÄN</t>
        </is>
      </c>
      <c r="E459" t="inlineStr">
        <is>
          <t>DALS-ED</t>
        </is>
      </c>
      <c r="F459" t="inlineStr">
        <is>
          <t>Kyrkan</t>
        </is>
      </c>
      <c r="G459" t="n">
        <v>1.4</v>
      </c>
      <c r="H459" t="n">
        <v>0</v>
      </c>
      <c r="I459" t="n">
        <v>0</v>
      </c>
      <c r="J459" t="n">
        <v>0</v>
      </c>
      <c r="K459" t="n">
        <v>0</v>
      </c>
      <c r="L459" t="n">
        <v>0</v>
      </c>
      <c r="M459" t="n">
        <v>0</v>
      </c>
      <c r="N459" t="n">
        <v>0</v>
      </c>
      <c r="O459" t="n">
        <v>0</v>
      </c>
      <c r="P459" t="n">
        <v>0</v>
      </c>
      <c r="Q459" t="n">
        <v>0</v>
      </c>
      <c r="R459" s="2" t="inlineStr"/>
    </row>
    <row r="460" ht="15" customHeight="1">
      <c r="A460" t="inlineStr">
        <is>
          <t>A 41696-2021</t>
        </is>
      </c>
      <c r="B460" s="1" t="n">
        <v>44425.5575</v>
      </c>
      <c r="C460" s="1" t="n">
        <v>46074</v>
      </c>
      <c r="D460" t="inlineStr">
        <is>
          <t>VÄSTRA GÖTALANDS LÄN</t>
        </is>
      </c>
      <c r="E460" t="inlineStr">
        <is>
          <t>DALS-ED</t>
        </is>
      </c>
      <c r="G460" t="n">
        <v>6</v>
      </c>
      <c r="H460" t="n">
        <v>0</v>
      </c>
      <c r="I460" t="n">
        <v>0</v>
      </c>
      <c r="J460" t="n">
        <v>0</v>
      </c>
      <c r="K460" t="n">
        <v>0</v>
      </c>
      <c r="L460" t="n">
        <v>0</v>
      </c>
      <c r="M460" t="n">
        <v>0</v>
      </c>
      <c r="N460" t="n">
        <v>0</v>
      </c>
      <c r="O460" t="n">
        <v>0</v>
      </c>
      <c r="P460" t="n">
        <v>0</v>
      </c>
      <c r="Q460" t="n">
        <v>0</v>
      </c>
      <c r="R460" s="2" t="inlineStr"/>
    </row>
    <row r="461" ht="15" customHeight="1">
      <c r="A461" t="inlineStr">
        <is>
          <t>A 5660-2025</t>
        </is>
      </c>
      <c r="B461" s="1" t="n">
        <v>45693.74730324074</v>
      </c>
      <c r="C461" s="1" t="n">
        <v>46074</v>
      </c>
      <c r="D461" t="inlineStr">
        <is>
          <t>VÄSTRA GÖTALANDS LÄN</t>
        </is>
      </c>
      <c r="E461" t="inlineStr">
        <is>
          <t>DALS-ED</t>
        </is>
      </c>
      <c r="G461" t="n">
        <v>4.5</v>
      </c>
      <c r="H461" t="n">
        <v>0</v>
      </c>
      <c r="I461" t="n">
        <v>0</v>
      </c>
      <c r="J461" t="n">
        <v>0</v>
      </c>
      <c r="K461" t="n">
        <v>0</v>
      </c>
      <c r="L461" t="n">
        <v>0</v>
      </c>
      <c r="M461" t="n">
        <v>0</v>
      </c>
      <c r="N461" t="n">
        <v>0</v>
      </c>
      <c r="O461" t="n">
        <v>0</v>
      </c>
      <c r="P461" t="n">
        <v>0</v>
      </c>
      <c r="Q461" t="n">
        <v>0</v>
      </c>
      <c r="R461" s="2" t="inlineStr"/>
    </row>
    <row r="462" ht="15" customHeight="1">
      <c r="A462" t="inlineStr">
        <is>
          <t>A 19049-2023</t>
        </is>
      </c>
      <c r="B462" s="1" t="n">
        <v>45047</v>
      </c>
      <c r="C462" s="1" t="n">
        <v>46074</v>
      </c>
      <c r="D462" t="inlineStr">
        <is>
          <t>VÄSTRA GÖTALANDS LÄN</t>
        </is>
      </c>
      <c r="E462" t="inlineStr">
        <is>
          <t>DALS-ED</t>
        </is>
      </c>
      <c r="G462" t="n">
        <v>0.9</v>
      </c>
      <c r="H462" t="n">
        <v>0</v>
      </c>
      <c r="I462" t="n">
        <v>0</v>
      </c>
      <c r="J462" t="n">
        <v>0</v>
      </c>
      <c r="K462" t="n">
        <v>0</v>
      </c>
      <c r="L462" t="n">
        <v>0</v>
      </c>
      <c r="M462" t="n">
        <v>0</v>
      </c>
      <c r="N462" t="n">
        <v>0</v>
      </c>
      <c r="O462" t="n">
        <v>0</v>
      </c>
      <c r="P462" t="n">
        <v>0</v>
      </c>
      <c r="Q462" t="n">
        <v>0</v>
      </c>
      <c r="R462" s="2" t="inlineStr"/>
    </row>
    <row r="463" ht="15" customHeight="1">
      <c r="A463" t="inlineStr">
        <is>
          <t>A 50298-2024</t>
        </is>
      </c>
      <c r="B463" s="1" t="n">
        <v>45600.62725694444</v>
      </c>
      <c r="C463" s="1" t="n">
        <v>46074</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50303-2024</t>
        </is>
      </c>
      <c r="B464" s="1" t="n">
        <v>45600.63454861111</v>
      </c>
      <c r="C464" s="1" t="n">
        <v>46074</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33616-2023</t>
        </is>
      </c>
      <c r="B465" s="1" t="n">
        <v>45132</v>
      </c>
      <c r="C465" s="1" t="n">
        <v>46074</v>
      </c>
      <c r="D465" t="inlineStr">
        <is>
          <t>VÄSTRA GÖTALANDS LÄN</t>
        </is>
      </c>
      <c r="E465" t="inlineStr">
        <is>
          <t>DALS-ED</t>
        </is>
      </c>
      <c r="G465" t="n">
        <v>26.5</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45181.86436342593</v>
      </c>
      <c r="C466" s="1" t="n">
        <v>46074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52254-2023</t>
        </is>
      </c>
      <c r="B467" s="1" t="n">
        <v>45217</v>
      </c>
      <c r="C467" s="1" t="n">
        <v>46074</v>
      </c>
      <c r="D467" t="inlineStr">
        <is>
          <t>VÄSTRA GÖTALANDS LÄN</t>
        </is>
      </c>
      <c r="E467" t="inlineStr">
        <is>
          <t>DALS-ED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26534-2023</t>
        </is>
      </c>
      <c r="B468" s="1" t="n">
        <v>45092.58068287037</v>
      </c>
      <c r="C468" s="1" t="n">
        <v>46074</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5312-2023</t>
        </is>
      </c>
      <c r="B469" s="1" t="n">
        <v>44959.56513888889</v>
      </c>
      <c r="C469" s="1" t="n">
        <v>46074</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63162-2023</t>
        </is>
      </c>
      <c r="B470" s="1" t="n">
        <v>45273</v>
      </c>
      <c r="C470" s="1" t="n">
        <v>46074</v>
      </c>
      <c r="D470" t="inlineStr">
        <is>
          <t>VÄSTRA GÖTALANDS LÄN</t>
        </is>
      </c>
      <c r="E470" t="inlineStr">
        <is>
          <t>DALS-ED</t>
        </is>
      </c>
      <c r="G470" t="n">
        <v>11.8</v>
      </c>
      <c r="H470" t="n">
        <v>0</v>
      </c>
      <c r="I470" t="n">
        <v>0</v>
      </c>
      <c r="J470" t="n">
        <v>0</v>
      </c>
      <c r="K470" t="n">
        <v>0</v>
      </c>
      <c r="L470" t="n">
        <v>0</v>
      </c>
      <c r="M470" t="n">
        <v>0</v>
      </c>
      <c r="N470" t="n">
        <v>0</v>
      </c>
      <c r="O470" t="n">
        <v>0</v>
      </c>
      <c r="P470" t="n">
        <v>0</v>
      </c>
      <c r="Q470" t="n">
        <v>0</v>
      </c>
      <c r="R470" s="2" t="inlineStr"/>
    </row>
    <row r="471" ht="15" customHeight="1">
      <c r="A471" t="inlineStr">
        <is>
          <t>A 13940-2021</t>
        </is>
      </c>
      <c r="B471" s="1" t="n">
        <v>44277</v>
      </c>
      <c r="C471" s="1" t="n">
        <v>46074</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18360-2022</t>
        </is>
      </c>
      <c r="B472" s="1" t="n">
        <v>44685</v>
      </c>
      <c r="C472" s="1" t="n">
        <v>46074</v>
      </c>
      <c r="D472" t="inlineStr">
        <is>
          <t>VÄSTRA GÖTALANDS LÄN</t>
        </is>
      </c>
      <c r="E472" t="inlineStr">
        <is>
          <t>DALS-ED</t>
        </is>
      </c>
      <c r="G472" t="n">
        <v>1.5</v>
      </c>
      <c r="H472" t="n">
        <v>0</v>
      </c>
      <c r="I472" t="n">
        <v>0</v>
      </c>
      <c r="J472" t="n">
        <v>0</v>
      </c>
      <c r="K472" t="n">
        <v>0</v>
      </c>
      <c r="L472" t="n">
        <v>0</v>
      </c>
      <c r="M472" t="n">
        <v>0</v>
      </c>
      <c r="N472" t="n">
        <v>0</v>
      </c>
      <c r="O472" t="n">
        <v>0</v>
      </c>
      <c r="P472" t="n">
        <v>0</v>
      </c>
      <c r="Q472" t="n">
        <v>0</v>
      </c>
      <c r="R472" s="2" t="inlineStr"/>
    </row>
    <row r="473" ht="15" customHeight="1">
      <c r="A473" t="inlineStr">
        <is>
          <t>A 35295-2024</t>
        </is>
      </c>
      <c r="B473" s="1" t="n">
        <v>45530.66170138889</v>
      </c>
      <c r="C473" s="1" t="n">
        <v>46074</v>
      </c>
      <c r="D473" t="inlineStr">
        <is>
          <t>VÄSTRA GÖTALANDS LÄN</t>
        </is>
      </c>
      <c r="E473" t="inlineStr">
        <is>
          <t>DALS-ED</t>
        </is>
      </c>
      <c r="G473" t="n">
        <v>0.3</v>
      </c>
      <c r="H473" t="n">
        <v>0</v>
      </c>
      <c r="I473" t="n">
        <v>0</v>
      </c>
      <c r="J473" t="n">
        <v>0</v>
      </c>
      <c r="K473" t="n">
        <v>0</v>
      </c>
      <c r="L473" t="n">
        <v>0</v>
      </c>
      <c r="M473" t="n">
        <v>0</v>
      </c>
      <c r="N473" t="n">
        <v>0</v>
      </c>
      <c r="O473" t="n">
        <v>0</v>
      </c>
      <c r="P473" t="n">
        <v>0</v>
      </c>
      <c r="Q473" t="n">
        <v>0</v>
      </c>
      <c r="R473" s="2" t="inlineStr"/>
    </row>
    <row r="474" ht="15" customHeight="1">
      <c r="A474" t="inlineStr">
        <is>
          <t>A 49290-2024</t>
        </is>
      </c>
      <c r="B474" s="1" t="n">
        <v>45595.53287037037</v>
      </c>
      <c r="C474" s="1" t="n">
        <v>46074</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10907-2025</t>
        </is>
      </c>
      <c r="B475" s="1" t="n">
        <v>45722.70744212963</v>
      </c>
      <c r="C475" s="1" t="n">
        <v>46074</v>
      </c>
      <c r="D475" t="inlineStr">
        <is>
          <t>VÄSTRA GÖTALANDS LÄN</t>
        </is>
      </c>
      <c r="E475" t="inlineStr">
        <is>
          <t>DALS-ED</t>
        </is>
      </c>
      <c r="G475" t="n">
        <v>19.8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46074</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60146-2022</t>
        </is>
      </c>
      <c r="B477" s="1" t="n">
        <v>44902</v>
      </c>
      <c r="C477" s="1" t="n">
        <v>46074</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37526-2024</t>
        </is>
      </c>
      <c r="B478" s="1" t="n">
        <v>45541.39973379629</v>
      </c>
      <c r="C478" s="1" t="n">
        <v>46074</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36456-2023</t>
        </is>
      </c>
      <c r="B479" s="1" t="n">
        <v>45151</v>
      </c>
      <c r="C479" s="1" t="n">
        <v>46074</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33596-2024</t>
        </is>
      </c>
      <c r="B480" s="1" t="n">
        <v>45520.36324074074</v>
      </c>
      <c r="C480" s="1" t="n">
        <v>46074</v>
      </c>
      <c r="D480" t="inlineStr">
        <is>
          <t>VÄSTRA GÖTALANDS LÄN</t>
        </is>
      </c>
      <c r="E480" t="inlineStr">
        <is>
          <t>DALS-ED</t>
        </is>
      </c>
      <c r="G480" t="n">
        <v>5.8</v>
      </c>
      <c r="H480" t="n">
        <v>0</v>
      </c>
      <c r="I480" t="n">
        <v>0</v>
      </c>
      <c r="J480" t="n">
        <v>0</v>
      </c>
      <c r="K480" t="n">
        <v>0</v>
      </c>
      <c r="L480" t="n">
        <v>0</v>
      </c>
      <c r="M480" t="n">
        <v>0</v>
      </c>
      <c r="N480" t="n">
        <v>0</v>
      </c>
      <c r="O480" t="n">
        <v>0</v>
      </c>
      <c r="P480" t="n">
        <v>0</v>
      </c>
      <c r="Q480" t="n">
        <v>0</v>
      </c>
      <c r="R480" s="2" t="inlineStr"/>
    </row>
    <row r="481" ht="15" customHeight="1">
      <c r="A481" t="inlineStr">
        <is>
          <t>A 13537-2023</t>
        </is>
      </c>
      <c r="B481" s="1" t="n">
        <v>45006</v>
      </c>
      <c r="C481" s="1" t="n">
        <v>46074</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13949-2021</t>
        </is>
      </c>
      <c r="B482" s="1" t="n">
        <v>44277.50083333333</v>
      </c>
      <c r="C482" s="1" t="n">
        <v>46074</v>
      </c>
      <c r="D482" t="inlineStr">
        <is>
          <t>VÄSTRA GÖTALANDS LÄN</t>
        </is>
      </c>
      <c r="E482" t="inlineStr">
        <is>
          <t>DALS-ED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34760-2021</t>
        </is>
      </c>
      <c r="B483" s="1" t="n">
        <v>44382</v>
      </c>
      <c r="C483" s="1" t="n">
        <v>46074</v>
      </c>
      <c r="D483" t="inlineStr">
        <is>
          <t>VÄSTRA GÖTALANDS LÄN</t>
        </is>
      </c>
      <c r="E483" t="inlineStr">
        <is>
          <t>DALS-ED</t>
        </is>
      </c>
      <c r="G483" t="n">
        <v>0.2</v>
      </c>
      <c r="H483" t="n">
        <v>0</v>
      </c>
      <c r="I483" t="n">
        <v>0</v>
      </c>
      <c r="J483" t="n">
        <v>0</v>
      </c>
      <c r="K483" t="n">
        <v>0</v>
      </c>
      <c r="L483" t="n">
        <v>0</v>
      </c>
      <c r="M483" t="n">
        <v>0</v>
      </c>
      <c r="N483" t="n">
        <v>0</v>
      </c>
      <c r="O483" t="n">
        <v>0</v>
      </c>
      <c r="P483" t="n">
        <v>0</v>
      </c>
      <c r="Q483" t="n">
        <v>0</v>
      </c>
      <c r="R483" s="2" t="inlineStr"/>
    </row>
    <row r="484" ht="15" customHeight="1">
      <c r="A484" t="inlineStr">
        <is>
          <t>A 10749-2022</t>
        </is>
      </c>
      <c r="B484" s="1" t="n">
        <v>44627.37660879629</v>
      </c>
      <c r="C484" s="1" t="n">
        <v>46074</v>
      </c>
      <c r="D484" t="inlineStr">
        <is>
          <t>VÄSTRA GÖTALANDS LÄN</t>
        </is>
      </c>
      <c r="E484" t="inlineStr">
        <is>
          <t>DALS-ED</t>
        </is>
      </c>
      <c r="G484" t="n">
        <v>4.8</v>
      </c>
      <c r="H484" t="n">
        <v>0</v>
      </c>
      <c r="I484" t="n">
        <v>0</v>
      </c>
      <c r="J484" t="n">
        <v>0</v>
      </c>
      <c r="K484" t="n">
        <v>0</v>
      </c>
      <c r="L484" t="n">
        <v>0</v>
      </c>
      <c r="M484" t="n">
        <v>0</v>
      </c>
      <c r="N484" t="n">
        <v>0</v>
      </c>
      <c r="O484" t="n">
        <v>0</v>
      </c>
      <c r="P484" t="n">
        <v>0</v>
      </c>
      <c r="Q484" t="n">
        <v>0</v>
      </c>
      <c r="R484" s="2" t="inlineStr"/>
    </row>
    <row r="485" ht="15" customHeight="1">
      <c r="A485" t="inlineStr">
        <is>
          <t>A 51020-2024</t>
        </is>
      </c>
      <c r="B485" s="1" t="n">
        <v>45603.408125</v>
      </c>
      <c r="C485" s="1" t="n">
        <v>46074</v>
      </c>
      <c r="D485" t="inlineStr">
        <is>
          <t>VÄSTRA GÖTALANDS LÄN</t>
        </is>
      </c>
      <c r="E485" t="inlineStr">
        <is>
          <t>DALS-ED</t>
        </is>
      </c>
      <c r="G485" t="n">
        <v>3.1</v>
      </c>
      <c r="H485" t="n">
        <v>0</v>
      </c>
      <c r="I485" t="n">
        <v>0</v>
      </c>
      <c r="J485" t="n">
        <v>0</v>
      </c>
      <c r="K485" t="n">
        <v>0</v>
      </c>
      <c r="L485" t="n">
        <v>0</v>
      </c>
      <c r="M485" t="n">
        <v>0</v>
      </c>
      <c r="N485" t="n">
        <v>0</v>
      </c>
      <c r="O485" t="n">
        <v>0</v>
      </c>
      <c r="P485" t="n">
        <v>0</v>
      </c>
      <c r="Q485" t="n">
        <v>0</v>
      </c>
      <c r="R485" s="2" t="inlineStr"/>
    </row>
    <row r="486" ht="15" customHeight="1">
      <c r="A486" t="inlineStr">
        <is>
          <t>A 19382-2023</t>
        </is>
      </c>
      <c r="B486" s="1" t="n">
        <v>45049</v>
      </c>
      <c r="C486" s="1" t="n">
        <v>46074</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59514-2023</t>
        </is>
      </c>
      <c r="B487" s="1" t="n">
        <v>45254.48559027778</v>
      </c>
      <c r="C487" s="1" t="n">
        <v>46074</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38392-2022</t>
        </is>
      </c>
      <c r="B488" s="1" t="n">
        <v>44812</v>
      </c>
      <c r="C488" s="1" t="n">
        <v>46074</v>
      </c>
      <c r="D488" t="inlineStr">
        <is>
          <t>VÄSTRA GÖTALANDS LÄN</t>
        </is>
      </c>
      <c r="E488" t="inlineStr">
        <is>
          <t>DALS-ED</t>
        </is>
      </c>
      <c r="G488" t="n">
        <v>1.8</v>
      </c>
      <c r="H488" t="n">
        <v>0</v>
      </c>
      <c r="I488" t="n">
        <v>0</v>
      </c>
      <c r="J488" t="n">
        <v>0</v>
      </c>
      <c r="K488" t="n">
        <v>0</v>
      </c>
      <c r="L488" t="n">
        <v>0</v>
      </c>
      <c r="M488" t="n">
        <v>0</v>
      </c>
      <c r="N488" t="n">
        <v>0</v>
      </c>
      <c r="O488" t="n">
        <v>0</v>
      </c>
      <c r="P488" t="n">
        <v>0</v>
      </c>
      <c r="Q488" t="n">
        <v>0</v>
      </c>
      <c r="R488" s="2" t="inlineStr"/>
    </row>
    <row r="489" ht="15" customHeight="1">
      <c r="A489" t="inlineStr">
        <is>
          <t>A 46306-2021</t>
        </is>
      </c>
      <c r="B489" s="1" t="n">
        <v>44442</v>
      </c>
      <c r="C489" s="1" t="n">
        <v>46074</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15363-2024</t>
        </is>
      </c>
      <c r="B490" s="1" t="n">
        <v>45400.9152662037</v>
      </c>
      <c r="C490" s="1" t="n">
        <v>46074</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17842-2021</t>
        </is>
      </c>
      <c r="B491" s="1" t="n">
        <v>44300</v>
      </c>
      <c r="C491" s="1" t="n">
        <v>46074</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35887-2024</t>
        </is>
      </c>
      <c r="B492" s="1" t="n">
        <v>45533.35982638889</v>
      </c>
      <c r="C492" s="1" t="n">
        <v>46074</v>
      </c>
      <c r="D492" t="inlineStr">
        <is>
          <t>VÄSTRA GÖTALANDS LÄN</t>
        </is>
      </c>
      <c r="E492" t="inlineStr">
        <is>
          <t>DALS-ED</t>
        </is>
      </c>
      <c r="G492" t="n">
        <v>3.2</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45272.60196759259</v>
      </c>
      <c r="C493" s="1" t="n">
        <v>46074</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56765-2024</t>
        </is>
      </c>
      <c r="B494" s="1" t="n">
        <v>45628.4080787037</v>
      </c>
      <c r="C494" s="1" t="n">
        <v>46074</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56781-2024</t>
        </is>
      </c>
      <c r="B495" s="1" t="n">
        <v>45628.44436342592</v>
      </c>
      <c r="C495" s="1" t="n">
        <v>46074</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32797-2023</t>
        </is>
      </c>
      <c r="B496" s="1" t="n">
        <v>45124.4128587963</v>
      </c>
      <c r="C496" s="1" t="n">
        <v>46074</v>
      </c>
      <c r="D496" t="inlineStr">
        <is>
          <t>VÄSTRA GÖTALANDS LÄN</t>
        </is>
      </c>
      <c r="E496" t="inlineStr">
        <is>
          <t>DALS-ED</t>
        </is>
      </c>
      <c r="G496" t="n">
        <v>2.7</v>
      </c>
      <c r="H496" t="n">
        <v>0</v>
      </c>
      <c r="I496" t="n">
        <v>0</v>
      </c>
      <c r="J496" t="n">
        <v>0</v>
      </c>
      <c r="K496" t="n">
        <v>0</v>
      </c>
      <c r="L496" t="n">
        <v>0</v>
      </c>
      <c r="M496" t="n">
        <v>0</v>
      </c>
      <c r="N496" t="n">
        <v>0</v>
      </c>
      <c r="O496" t="n">
        <v>0</v>
      </c>
      <c r="P496" t="n">
        <v>0</v>
      </c>
      <c r="Q496" t="n">
        <v>0</v>
      </c>
      <c r="R496" s="2" t="inlineStr"/>
    </row>
    <row r="497" ht="15" customHeight="1">
      <c r="A497" t="inlineStr">
        <is>
          <t>A 48574-2024</t>
        </is>
      </c>
      <c r="B497" s="1" t="n">
        <v>45593.41086805556</v>
      </c>
      <c r="C497" s="1" t="n">
        <v>46074</v>
      </c>
      <c r="D497" t="inlineStr">
        <is>
          <t>VÄSTRA GÖTALANDS LÄN</t>
        </is>
      </c>
      <c r="E497" t="inlineStr">
        <is>
          <t>DALS-ED</t>
        </is>
      </c>
      <c r="G497" t="n">
        <v>3.1</v>
      </c>
      <c r="H497" t="n">
        <v>0</v>
      </c>
      <c r="I497" t="n">
        <v>0</v>
      </c>
      <c r="J497" t="n">
        <v>0</v>
      </c>
      <c r="K497" t="n">
        <v>0</v>
      </c>
      <c r="L497" t="n">
        <v>0</v>
      </c>
      <c r="M497" t="n">
        <v>0</v>
      </c>
      <c r="N497" t="n">
        <v>0</v>
      </c>
      <c r="O497" t="n">
        <v>0</v>
      </c>
      <c r="P497" t="n">
        <v>0</v>
      </c>
      <c r="Q497" t="n">
        <v>0</v>
      </c>
      <c r="R497" s="2" t="inlineStr"/>
    </row>
    <row r="498" ht="15" customHeight="1">
      <c r="A498" t="inlineStr">
        <is>
          <t>A 35948-2021</t>
        </is>
      </c>
      <c r="B498" s="1" t="n">
        <v>44388</v>
      </c>
      <c r="C498" s="1" t="n">
        <v>46074</v>
      </c>
      <c r="D498" t="inlineStr">
        <is>
          <t>VÄSTRA GÖTALANDS LÄN</t>
        </is>
      </c>
      <c r="E498" t="inlineStr">
        <is>
          <t>DALS-ED</t>
        </is>
      </c>
      <c r="G498" t="n">
        <v>2.2</v>
      </c>
      <c r="H498" t="n">
        <v>0</v>
      </c>
      <c r="I498" t="n">
        <v>0</v>
      </c>
      <c r="J498" t="n">
        <v>0</v>
      </c>
      <c r="K498" t="n">
        <v>0</v>
      </c>
      <c r="L498" t="n">
        <v>0</v>
      </c>
      <c r="M498" t="n">
        <v>0</v>
      </c>
      <c r="N498" t="n">
        <v>0</v>
      </c>
      <c r="O498" t="n">
        <v>0</v>
      </c>
      <c r="P498" t="n">
        <v>0</v>
      </c>
      <c r="Q498" t="n">
        <v>0</v>
      </c>
      <c r="R498" s="2" t="inlineStr"/>
    </row>
    <row r="499" ht="15" customHeight="1">
      <c r="A499" t="inlineStr">
        <is>
          <t>A 42676-2024</t>
        </is>
      </c>
      <c r="B499" s="1" t="n">
        <v>45566.37298611111</v>
      </c>
      <c r="C499" s="1" t="n">
        <v>46074</v>
      </c>
      <c r="D499" t="inlineStr">
        <is>
          <t>VÄSTRA GÖTALANDS LÄN</t>
        </is>
      </c>
      <c r="E499" t="inlineStr">
        <is>
          <t>DALS-ED</t>
        </is>
      </c>
      <c r="G499" t="n">
        <v>3.5</v>
      </c>
      <c r="H499" t="n">
        <v>0</v>
      </c>
      <c r="I499" t="n">
        <v>0</v>
      </c>
      <c r="J499" t="n">
        <v>0</v>
      </c>
      <c r="K499" t="n">
        <v>0</v>
      </c>
      <c r="L499" t="n">
        <v>0</v>
      </c>
      <c r="M499" t="n">
        <v>0</v>
      </c>
      <c r="N499" t="n">
        <v>0</v>
      </c>
      <c r="O499" t="n">
        <v>0</v>
      </c>
      <c r="P499" t="n">
        <v>0</v>
      </c>
      <c r="Q499" t="n">
        <v>0</v>
      </c>
      <c r="R499" s="2" t="inlineStr"/>
    </row>
    <row r="500" ht="15" customHeight="1">
      <c r="A500" t="inlineStr">
        <is>
          <t>A 2634-2025</t>
        </is>
      </c>
      <c r="B500" s="1" t="n">
        <v>45675.87553240741</v>
      </c>
      <c r="C500" s="1" t="n">
        <v>46074</v>
      </c>
      <c r="D500" t="inlineStr">
        <is>
          <t>VÄSTRA GÖTALANDS LÄN</t>
        </is>
      </c>
      <c r="E500" t="inlineStr">
        <is>
          <t>DALS-ED</t>
        </is>
      </c>
      <c r="G500" t="n">
        <v>2.4</v>
      </c>
      <c r="H500" t="n">
        <v>0</v>
      </c>
      <c r="I500" t="n">
        <v>0</v>
      </c>
      <c r="J500" t="n">
        <v>0</v>
      </c>
      <c r="K500" t="n">
        <v>0</v>
      </c>
      <c r="L500" t="n">
        <v>0</v>
      </c>
      <c r="M500" t="n">
        <v>0</v>
      </c>
      <c r="N500" t="n">
        <v>0</v>
      </c>
      <c r="O500" t="n">
        <v>0</v>
      </c>
      <c r="P500" t="n">
        <v>0</v>
      </c>
      <c r="Q500" t="n">
        <v>0</v>
      </c>
      <c r="R500" s="2" t="inlineStr"/>
    </row>
    <row r="501" ht="15" customHeight="1">
      <c r="A501" t="inlineStr">
        <is>
          <t>A 20948-2025</t>
        </is>
      </c>
      <c r="B501" s="1" t="n">
        <v>45777.435</v>
      </c>
      <c r="C501" s="1" t="n">
        <v>46074</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12561-2025</t>
        </is>
      </c>
      <c r="B502" s="1" t="n">
        <v>45731.49915509259</v>
      </c>
      <c r="C502" s="1" t="n">
        <v>46074</v>
      </c>
      <c r="D502" t="inlineStr">
        <is>
          <t>VÄSTRA GÖTALANDS LÄN</t>
        </is>
      </c>
      <c r="E502" t="inlineStr">
        <is>
          <t>DALS-ED</t>
        </is>
      </c>
      <c r="G502" t="n">
        <v>0.4</v>
      </c>
      <c r="H502" t="n">
        <v>0</v>
      </c>
      <c r="I502" t="n">
        <v>0</v>
      </c>
      <c r="J502" t="n">
        <v>0</v>
      </c>
      <c r="K502" t="n">
        <v>0</v>
      </c>
      <c r="L502" t="n">
        <v>0</v>
      </c>
      <c r="M502" t="n">
        <v>0</v>
      </c>
      <c r="N502" t="n">
        <v>0</v>
      </c>
      <c r="O502" t="n">
        <v>0</v>
      </c>
      <c r="P502" t="n">
        <v>0</v>
      </c>
      <c r="Q502" t="n">
        <v>0</v>
      </c>
      <c r="R502" s="2" t="inlineStr"/>
    </row>
    <row r="503" ht="15" customHeight="1">
      <c r="A503" t="inlineStr">
        <is>
          <t>A 21185-2025</t>
        </is>
      </c>
      <c r="B503" s="1" t="n">
        <v>45779.45350694445</v>
      </c>
      <c r="C503" s="1" t="n">
        <v>46074</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61487-2022</t>
        </is>
      </c>
      <c r="B504" s="1" t="n">
        <v>44910</v>
      </c>
      <c r="C504" s="1" t="n">
        <v>46074</v>
      </c>
      <c r="D504" t="inlineStr">
        <is>
          <t>VÄSTRA GÖTALANDS LÄN</t>
        </is>
      </c>
      <c r="E504" t="inlineStr">
        <is>
          <t>DALS-ED</t>
        </is>
      </c>
      <c r="F504" t="inlineStr">
        <is>
          <t>Kyrkan</t>
        </is>
      </c>
      <c r="G504" t="n">
        <v>9.4</v>
      </c>
      <c r="H504" t="n">
        <v>0</v>
      </c>
      <c r="I504" t="n">
        <v>0</v>
      </c>
      <c r="J504" t="n">
        <v>0</v>
      </c>
      <c r="K504" t="n">
        <v>0</v>
      </c>
      <c r="L504" t="n">
        <v>0</v>
      </c>
      <c r="M504" t="n">
        <v>0</v>
      </c>
      <c r="N504" t="n">
        <v>0</v>
      </c>
      <c r="O504" t="n">
        <v>0</v>
      </c>
      <c r="P504" t="n">
        <v>0</v>
      </c>
      <c r="Q504" t="n">
        <v>0</v>
      </c>
      <c r="R504" s="2" t="inlineStr"/>
    </row>
    <row r="505" ht="15" customHeight="1">
      <c r="A505" t="inlineStr">
        <is>
          <t>A 21571-2025</t>
        </is>
      </c>
      <c r="B505" s="1" t="n">
        <v>45782.76021990741</v>
      </c>
      <c r="C505" s="1" t="n">
        <v>46074</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22059-2025</t>
        </is>
      </c>
      <c r="B506" s="1" t="n">
        <v>45785.37339120371</v>
      </c>
      <c r="C506" s="1" t="n">
        <v>46074</v>
      </c>
      <c r="D506" t="inlineStr">
        <is>
          <t>VÄSTRA GÖTALANDS LÄN</t>
        </is>
      </c>
      <c r="E506" t="inlineStr">
        <is>
          <t>DALS-ED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22077-2025</t>
        </is>
      </c>
      <c r="B507" s="1" t="n">
        <v>45785.42474537037</v>
      </c>
      <c r="C507" s="1" t="n">
        <v>46074</v>
      </c>
      <c r="D507" t="inlineStr">
        <is>
          <t>VÄSTRA GÖTALANDS LÄN</t>
        </is>
      </c>
      <c r="E507" t="inlineStr">
        <is>
          <t>DALS-ED</t>
        </is>
      </c>
      <c r="G507" t="n">
        <v>10.9</v>
      </c>
      <c r="H507" t="n">
        <v>0</v>
      </c>
      <c r="I507" t="n">
        <v>0</v>
      </c>
      <c r="J507" t="n">
        <v>0</v>
      </c>
      <c r="K507" t="n">
        <v>0</v>
      </c>
      <c r="L507" t="n">
        <v>0</v>
      </c>
      <c r="M507" t="n">
        <v>0</v>
      </c>
      <c r="N507" t="n">
        <v>0</v>
      </c>
      <c r="O507" t="n">
        <v>0</v>
      </c>
      <c r="P507" t="n">
        <v>0</v>
      </c>
      <c r="Q507" t="n">
        <v>0</v>
      </c>
      <c r="R507" s="2" t="inlineStr"/>
    </row>
    <row r="508" ht="15" customHeight="1">
      <c r="A508" t="inlineStr">
        <is>
          <t>A 22068-2025</t>
        </is>
      </c>
      <c r="B508" s="1" t="n">
        <v>45785.39237268519</v>
      </c>
      <c r="C508" s="1" t="n">
        <v>46074</v>
      </c>
      <c r="D508" t="inlineStr">
        <is>
          <t>VÄSTRA GÖTALANDS LÄN</t>
        </is>
      </c>
      <c r="E508" t="inlineStr">
        <is>
          <t>DALS-ED</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22058-2025</t>
        </is>
      </c>
      <c r="B509" s="1" t="n">
        <v>45785.37185185185</v>
      </c>
      <c r="C509" s="1" t="n">
        <v>46074</v>
      </c>
      <c r="D509" t="inlineStr">
        <is>
          <t>VÄSTRA GÖTALANDS LÄN</t>
        </is>
      </c>
      <c r="E509" t="inlineStr">
        <is>
          <t>DALS-ED</t>
        </is>
      </c>
      <c r="F509" t="inlineStr">
        <is>
          <t>Övriga Aktiebolag</t>
        </is>
      </c>
      <c r="G509" t="n">
        <v>2</v>
      </c>
      <c r="H509" t="n">
        <v>0</v>
      </c>
      <c r="I509" t="n">
        <v>0</v>
      </c>
      <c r="J509" t="n">
        <v>0</v>
      </c>
      <c r="K509" t="n">
        <v>0</v>
      </c>
      <c r="L509" t="n">
        <v>0</v>
      </c>
      <c r="M509" t="n">
        <v>0</v>
      </c>
      <c r="N509" t="n">
        <v>0</v>
      </c>
      <c r="O509" t="n">
        <v>0</v>
      </c>
      <c r="P509" t="n">
        <v>0</v>
      </c>
      <c r="Q509" t="n">
        <v>0</v>
      </c>
      <c r="R509" s="2" t="inlineStr"/>
    </row>
    <row r="510" ht="15" customHeight="1">
      <c r="A510" t="inlineStr">
        <is>
          <t>A 12548-2023</t>
        </is>
      </c>
      <c r="B510" s="1" t="n">
        <v>45000.33078703703</v>
      </c>
      <c r="C510" s="1" t="n">
        <v>46074</v>
      </c>
      <c r="D510" t="inlineStr">
        <is>
          <t>VÄSTRA GÖTALANDS LÄN</t>
        </is>
      </c>
      <c r="E510" t="inlineStr">
        <is>
          <t>DALS-ED</t>
        </is>
      </c>
      <c r="G510" t="n">
        <v>2.7</v>
      </c>
      <c r="H510" t="n">
        <v>0</v>
      </c>
      <c r="I510" t="n">
        <v>0</v>
      </c>
      <c r="J510" t="n">
        <v>0</v>
      </c>
      <c r="K510" t="n">
        <v>0</v>
      </c>
      <c r="L510" t="n">
        <v>0</v>
      </c>
      <c r="M510" t="n">
        <v>0</v>
      </c>
      <c r="N510" t="n">
        <v>0</v>
      </c>
      <c r="O510" t="n">
        <v>0</v>
      </c>
      <c r="P510" t="n">
        <v>0</v>
      </c>
      <c r="Q510" t="n">
        <v>0</v>
      </c>
      <c r="R510" s="2" t="inlineStr"/>
    </row>
    <row r="511" ht="15" customHeight="1">
      <c r="A511" t="inlineStr">
        <is>
          <t>A 22069-2025</t>
        </is>
      </c>
      <c r="B511" s="1" t="n">
        <v>45785.40502314815</v>
      </c>
      <c r="C511" s="1" t="n">
        <v>46074</v>
      </c>
      <c r="D511" t="inlineStr">
        <is>
          <t>VÄSTRA GÖTALANDS LÄN</t>
        </is>
      </c>
      <c r="E511" t="inlineStr">
        <is>
          <t>DALS-ED</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22075-2025</t>
        </is>
      </c>
      <c r="B512" s="1" t="n">
        <v>45785.40935185185</v>
      </c>
      <c r="C512" s="1" t="n">
        <v>46074</v>
      </c>
      <c r="D512" t="inlineStr">
        <is>
          <t>VÄSTRA GÖTALANDS LÄN</t>
        </is>
      </c>
      <c r="E512" t="inlineStr">
        <is>
          <t>DALS-ED</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46074</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13667-2025</t>
        </is>
      </c>
      <c r="B514" s="1" t="n">
        <v>45736.84825231481</v>
      </c>
      <c r="C514" s="1" t="n">
        <v>46074</v>
      </c>
      <c r="D514" t="inlineStr">
        <is>
          <t>VÄSTRA GÖTALANDS LÄN</t>
        </is>
      </c>
      <c r="E514" t="inlineStr">
        <is>
          <t>DALS-ED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13684-2025</t>
        </is>
      </c>
      <c r="B515" s="1" t="n">
        <v>45737.30388888889</v>
      </c>
      <c r="C515" s="1" t="n">
        <v>46074</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10976-2025</t>
        </is>
      </c>
      <c r="B516" s="1" t="n">
        <v>45723.39030092592</v>
      </c>
      <c r="C516" s="1" t="n">
        <v>46074</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13670-2025</t>
        </is>
      </c>
      <c r="B517" s="1" t="n">
        <v>45736.8590625</v>
      </c>
      <c r="C517" s="1" t="n">
        <v>46074</v>
      </c>
      <c r="D517" t="inlineStr">
        <is>
          <t>VÄSTRA GÖTALANDS LÄN</t>
        </is>
      </c>
      <c r="E517" t="inlineStr">
        <is>
          <t>DALS-ED</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14934-2025</t>
        </is>
      </c>
      <c r="B518" s="1" t="n">
        <v>45743.55642361111</v>
      </c>
      <c r="C518" s="1" t="n">
        <v>46074</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10965-2025</t>
        </is>
      </c>
      <c r="B519" s="1" t="n">
        <v>45723.38274305555</v>
      </c>
      <c r="C519" s="1" t="n">
        <v>46074</v>
      </c>
      <c r="D519" t="inlineStr">
        <is>
          <t>VÄSTRA GÖTALANDS LÄN</t>
        </is>
      </c>
      <c r="E519" t="inlineStr">
        <is>
          <t>DALS-ED</t>
        </is>
      </c>
      <c r="G519" t="n">
        <v>13.8</v>
      </c>
      <c r="H519" t="n">
        <v>0</v>
      </c>
      <c r="I519" t="n">
        <v>0</v>
      </c>
      <c r="J519" t="n">
        <v>0</v>
      </c>
      <c r="K519" t="n">
        <v>0</v>
      </c>
      <c r="L519" t="n">
        <v>0</v>
      </c>
      <c r="M519" t="n">
        <v>0</v>
      </c>
      <c r="N519" t="n">
        <v>0</v>
      </c>
      <c r="O519" t="n">
        <v>0</v>
      </c>
      <c r="P519" t="n">
        <v>0</v>
      </c>
      <c r="Q519" t="n">
        <v>0</v>
      </c>
      <c r="R519" s="2" t="inlineStr"/>
    </row>
    <row r="520" ht="15" customHeight="1">
      <c r="A520" t="inlineStr">
        <is>
          <t>A 14914-2025</t>
        </is>
      </c>
      <c r="B520" s="1" t="n">
        <v>45743.5306712963</v>
      </c>
      <c r="C520" s="1" t="n">
        <v>46074</v>
      </c>
      <c r="D520" t="inlineStr">
        <is>
          <t>VÄSTRA GÖTALANDS LÄN</t>
        </is>
      </c>
      <c r="E520" t="inlineStr">
        <is>
          <t>DALS-ED</t>
        </is>
      </c>
      <c r="G520" t="n">
        <v>1.6</v>
      </c>
      <c r="H520" t="n">
        <v>0</v>
      </c>
      <c r="I520" t="n">
        <v>0</v>
      </c>
      <c r="J520" t="n">
        <v>0</v>
      </c>
      <c r="K520" t="n">
        <v>0</v>
      </c>
      <c r="L520" t="n">
        <v>0</v>
      </c>
      <c r="M520" t="n">
        <v>0</v>
      </c>
      <c r="N520" t="n">
        <v>0</v>
      </c>
      <c r="O520" t="n">
        <v>0</v>
      </c>
      <c r="P520" t="n">
        <v>0</v>
      </c>
      <c r="Q520" t="n">
        <v>0</v>
      </c>
      <c r="R520" s="2" t="inlineStr"/>
    </row>
    <row r="521" ht="15" customHeight="1">
      <c r="A521" t="inlineStr">
        <is>
          <t>A 22901-2025</t>
        </is>
      </c>
      <c r="B521" s="1" t="n">
        <v>45790.41216435185</v>
      </c>
      <c r="C521" s="1" t="n">
        <v>46074</v>
      </c>
      <c r="D521" t="inlineStr">
        <is>
          <t>VÄSTRA GÖTALANDS LÄN</t>
        </is>
      </c>
      <c r="E521" t="inlineStr">
        <is>
          <t>DALS-ED</t>
        </is>
      </c>
      <c r="G521" t="n">
        <v>0.5</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46074</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14924-2025</t>
        </is>
      </c>
      <c r="B523" s="1" t="n">
        <v>45743.55011574074</v>
      </c>
      <c r="C523" s="1" t="n">
        <v>46074</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22906-2025</t>
        </is>
      </c>
      <c r="B524" s="1" t="n">
        <v>45790.41703703703</v>
      </c>
      <c r="C524" s="1" t="n">
        <v>46074</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9975-2025</t>
        </is>
      </c>
      <c r="B525" s="1" t="n">
        <v>45719.39439814815</v>
      </c>
      <c r="C525" s="1" t="n">
        <v>46074</v>
      </c>
      <c r="D525" t="inlineStr">
        <is>
          <t>VÄSTRA GÖTALANDS LÄN</t>
        </is>
      </c>
      <c r="E525" t="inlineStr">
        <is>
          <t>DALS-ED</t>
        </is>
      </c>
      <c r="G525" t="n">
        <v>3.1</v>
      </c>
      <c r="H525" t="n">
        <v>0</v>
      </c>
      <c r="I525" t="n">
        <v>0</v>
      </c>
      <c r="J525" t="n">
        <v>0</v>
      </c>
      <c r="K525" t="n">
        <v>0</v>
      </c>
      <c r="L525" t="n">
        <v>0</v>
      </c>
      <c r="M525" t="n">
        <v>0</v>
      </c>
      <c r="N525" t="n">
        <v>0</v>
      </c>
      <c r="O525" t="n">
        <v>0</v>
      </c>
      <c r="P525" t="n">
        <v>0</v>
      </c>
      <c r="Q525" t="n">
        <v>0</v>
      </c>
      <c r="R525" s="2" t="inlineStr"/>
    </row>
    <row r="526" ht="15" customHeight="1">
      <c r="A526" t="inlineStr">
        <is>
          <t>A 8888-2025</t>
        </is>
      </c>
      <c r="B526" s="1" t="n">
        <v>45713.39502314815</v>
      </c>
      <c r="C526" s="1" t="n">
        <v>46074</v>
      </c>
      <c r="D526" t="inlineStr">
        <is>
          <t>VÄSTRA GÖTALANDS LÄN</t>
        </is>
      </c>
      <c r="E526" t="inlineStr">
        <is>
          <t>DALS-ED</t>
        </is>
      </c>
      <c r="G526" t="n">
        <v>6.8</v>
      </c>
      <c r="H526" t="n">
        <v>0</v>
      </c>
      <c r="I526" t="n">
        <v>0</v>
      </c>
      <c r="J526" t="n">
        <v>0</v>
      </c>
      <c r="K526" t="n">
        <v>0</v>
      </c>
      <c r="L526" t="n">
        <v>0</v>
      </c>
      <c r="M526" t="n">
        <v>0</v>
      </c>
      <c r="N526" t="n">
        <v>0</v>
      </c>
      <c r="O526" t="n">
        <v>0</v>
      </c>
      <c r="P526" t="n">
        <v>0</v>
      </c>
      <c r="Q526" t="n">
        <v>0</v>
      </c>
      <c r="R526" s="2" t="inlineStr"/>
    </row>
    <row r="527" ht="15" customHeight="1">
      <c r="A527" t="inlineStr">
        <is>
          <t>A 8875-2025</t>
        </is>
      </c>
      <c r="B527" s="1" t="n">
        <v>45713.37586805555</v>
      </c>
      <c r="C527" s="1" t="n">
        <v>46074</v>
      </c>
      <c r="D527" t="inlineStr">
        <is>
          <t>VÄSTRA GÖTALANDS LÄN</t>
        </is>
      </c>
      <c r="E527" t="inlineStr">
        <is>
          <t>DALS-ED</t>
        </is>
      </c>
      <c r="G527" t="n">
        <v>2.7</v>
      </c>
      <c r="H527" t="n">
        <v>0</v>
      </c>
      <c r="I527" t="n">
        <v>0</v>
      </c>
      <c r="J527" t="n">
        <v>0</v>
      </c>
      <c r="K527" t="n">
        <v>0</v>
      </c>
      <c r="L527" t="n">
        <v>0</v>
      </c>
      <c r="M527" t="n">
        <v>0</v>
      </c>
      <c r="N527" t="n">
        <v>0</v>
      </c>
      <c r="O527" t="n">
        <v>0</v>
      </c>
      <c r="P527" t="n">
        <v>0</v>
      </c>
      <c r="Q527" t="n">
        <v>0</v>
      </c>
      <c r="R527" s="2" t="inlineStr"/>
    </row>
    <row r="528" ht="15" customHeight="1">
      <c r="A528" t="inlineStr">
        <is>
          <t>A 13686-2025</t>
        </is>
      </c>
      <c r="B528" s="1" t="n">
        <v>45737.31084490741</v>
      </c>
      <c r="C528" s="1" t="n">
        <v>46074</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13690-2025</t>
        </is>
      </c>
      <c r="B529" s="1" t="n">
        <v>45737.31587962963</v>
      </c>
      <c r="C529" s="1" t="n">
        <v>46074</v>
      </c>
      <c r="D529" t="inlineStr">
        <is>
          <t>VÄSTRA GÖTALANDS LÄN</t>
        </is>
      </c>
      <c r="E529" t="inlineStr">
        <is>
          <t>DALS-ED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14909-2025</t>
        </is>
      </c>
      <c r="B530" s="1" t="n">
        <v>45743.52303240741</v>
      </c>
      <c r="C530" s="1" t="n">
        <v>46074</v>
      </c>
      <c r="D530" t="inlineStr">
        <is>
          <t>VÄSTRA GÖTALANDS LÄN</t>
        </is>
      </c>
      <c r="E530" t="inlineStr">
        <is>
          <t>DALS-ED</t>
        </is>
      </c>
      <c r="G530" t="n">
        <v>1.2</v>
      </c>
      <c r="H530" t="n">
        <v>0</v>
      </c>
      <c r="I530" t="n">
        <v>0</v>
      </c>
      <c r="J530" t="n">
        <v>0</v>
      </c>
      <c r="K530" t="n">
        <v>0</v>
      </c>
      <c r="L530" t="n">
        <v>0</v>
      </c>
      <c r="M530" t="n">
        <v>0</v>
      </c>
      <c r="N530" t="n">
        <v>0</v>
      </c>
      <c r="O530" t="n">
        <v>0</v>
      </c>
      <c r="P530" t="n">
        <v>0</v>
      </c>
      <c r="Q530" t="n">
        <v>0</v>
      </c>
      <c r="R530" s="2" t="inlineStr"/>
    </row>
    <row r="531" ht="15" customHeight="1">
      <c r="A531" t="inlineStr">
        <is>
          <t>A 14918-2025</t>
        </is>
      </c>
      <c r="B531" s="1" t="n">
        <v>45743.53940972222</v>
      </c>
      <c r="C531" s="1" t="n">
        <v>46074</v>
      </c>
      <c r="D531" t="inlineStr">
        <is>
          <t>VÄSTRA GÖTALANDS LÄN</t>
        </is>
      </c>
      <c r="E531" t="inlineStr">
        <is>
          <t>DALS-ED</t>
        </is>
      </c>
      <c r="G531" t="n">
        <v>1.3</v>
      </c>
      <c r="H531" t="n">
        <v>0</v>
      </c>
      <c r="I531" t="n">
        <v>0</v>
      </c>
      <c r="J531" t="n">
        <v>0</v>
      </c>
      <c r="K531" t="n">
        <v>0</v>
      </c>
      <c r="L531" t="n">
        <v>0</v>
      </c>
      <c r="M531" t="n">
        <v>0</v>
      </c>
      <c r="N531" t="n">
        <v>0</v>
      </c>
      <c r="O531" t="n">
        <v>0</v>
      </c>
      <c r="P531" t="n">
        <v>0</v>
      </c>
      <c r="Q531" t="n">
        <v>0</v>
      </c>
      <c r="R531" s="2" t="inlineStr"/>
    </row>
    <row r="532" ht="15" customHeight="1">
      <c r="A532" t="inlineStr">
        <is>
          <t>A 23636-2025</t>
        </is>
      </c>
      <c r="B532" s="1" t="n">
        <v>45792.67938657408</v>
      </c>
      <c r="C532" s="1" t="n">
        <v>46074</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23375-2025</t>
        </is>
      </c>
      <c r="B533" s="1" t="n">
        <v>45791.78855324074</v>
      </c>
      <c r="C533" s="1" t="n">
        <v>46074</v>
      </c>
      <c r="D533" t="inlineStr">
        <is>
          <t>VÄSTRA GÖTALANDS LÄN</t>
        </is>
      </c>
      <c r="E533" t="inlineStr">
        <is>
          <t>DALS-ED</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23962-2025</t>
        </is>
      </c>
      <c r="B534" s="1" t="n">
        <v>45796.36909722222</v>
      </c>
      <c r="C534" s="1" t="n">
        <v>46074</v>
      </c>
      <c r="D534" t="inlineStr">
        <is>
          <t>VÄSTRA GÖTALANDS LÄN</t>
        </is>
      </c>
      <c r="E534" t="inlineStr">
        <is>
          <t>DALS-ED</t>
        </is>
      </c>
      <c r="G534" t="n">
        <v>2.3</v>
      </c>
      <c r="H534" t="n">
        <v>0</v>
      </c>
      <c r="I534" t="n">
        <v>0</v>
      </c>
      <c r="J534" t="n">
        <v>0</v>
      </c>
      <c r="K534" t="n">
        <v>0</v>
      </c>
      <c r="L534" t="n">
        <v>0</v>
      </c>
      <c r="M534" t="n">
        <v>0</v>
      </c>
      <c r="N534" t="n">
        <v>0</v>
      </c>
      <c r="O534" t="n">
        <v>0</v>
      </c>
      <c r="P534" t="n">
        <v>0</v>
      </c>
      <c r="Q534" t="n">
        <v>0</v>
      </c>
      <c r="R534" s="2" t="inlineStr"/>
    </row>
    <row r="535" ht="15" customHeight="1">
      <c r="A535" t="inlineStr">
        <is>
          <t>A 23956-2025</t>
        </is>
      </c>
      <c r="B535" s="1" t="n">
        <v>45796.36421296297</v>
      </c>
      <c r="C535" s="1" t="n">
        <v>46074</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24788-2025</t>
        </is>
      </c>
      <c r="B536" s="1" t="n">
        <v>45799.42884259259</v>
      </c>
      <c r="C536" s="1" t="n">
        <v>46074</v>
      </c>
      <c r="D536" t="inlineStr">
        <is>
          <t>VÄSTRA GÖTALANDS LÄN</t>
        </is>
      </c>
      <c r="E536" t="inlineStr">
        <is>
          <t>DALS-ED</t>
        </is>
      </c>
      <c r="G536" t="n">
        <v>4.1</v>
      </c>
      <c r="H536" t="n">
        <v>0</v>
      </c>
      <c r="I536" t="n">
        <v>0</v>
      </c>
      <c r="J536" t="n">
        <v>0</v>
      </c>
      <c r="K536" t="n">
        <v>0</v>
      </c>
      <c r="L536" t="n">
        <v>0</v>
      </c>
      <c r="M536" t="n">
        <v>0</v>
      </c>
      <c r="N536" t="n">
        <v>0</v>
      </c>
      <c r="O536" t="n">
        <v>0</v>
      </c>
      <c r="P536" t="n">
        <v>0</v>
      </c>
      <c r="Q536" t="n">
        <v>0</v>
      </c>
      <c r="R536" s="2" t="inlineStr"/>
    </row>
    <row r="537" ht="15" customHeight="1">
      <c r="A537" t="inlineStr">
        <is>
          <t>A 1738-2025</t>
        </is>
      </c>
      <c r="B537" s="1" t="n">
        <v>45671.39305555556</v>
      </c>
      <c r="C537" s="1" t="n">
        <v>46074</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4661-2024</t>
        </is>
      </c>
      <c r="B538" s="1" t="n">
        <v>45328.46517361111</v>
      </c>
      <c r="C538" s="1" t="n">
        <v>46074</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981-2025</t>
        </is>
      </c>
      <c r="B539" s="1" t="n">
        <v>45666.41128472222</v>
      </c>
      <c r="C539" s="1" t="n">
        <v>46074</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24459-2025</t>
        </is>
      </c>
      <c r="B540" s="1" t="n">
        <v>45798.3478587963</v>
      </c>
      <c r="C540" s="1" t="n">
        <v>46074</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ht="15" customHeight="1">
      <c r="A541" t="inlineStr">
        <is>
          <t>A 24466-2025</t>
        </is>
      </c>
      <c r="B541" s="1" t="n">
        <v>45798.35645833334</v>
      </c>
      <c r="C541" s="1" t="n">
        <v>46074</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25633-2025</t>
        </is>
      </c>
      <c r="B542" s="1" t="n">
        <v>45803.59505787037</v>
      </c>
      <c r="C542" s="1" t="n">
        <v>46074</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25795-2025</t>
        </is>
      </c>
      <c r="B543" s="1" t="n">
        <v>45804.39546296297</v>
      </c>
      <c r="C543" s="1" t="n">
        <v>46074</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26899-2025</t>
        </is>
      </c>
      <c r="B544" s="1" t="n">
        <v>45811.34417824074</v>
      </c>
      <c r="C544" s="1" t="n">
        <v>46074</v>
      </c>
      <c r="D544" t="inlineStr">
        <is>
          <t>VÄSTRA GÖTALANDS LÄN</t>
        </is>
      </c>
      <c r="E544" t="inlineStr">
        <is>
          <t>DALS-ED</t>
        </is>
      </c>
      <c r="G544" t="n">
        <v>7.2</v>
      </c>
      <c r="H544" t="n">
        <v>0</v>
      </c>
      <c r="I544" t="n">
        <v>0</v>
      </c>
      <c r="J544" t="n">
        <v>0</v>
      </c>
      <c r="K544" t="n">
        <v>0</v>
      </c>
      <c r="L544" t="n">
        <v>0</v>
      </c>
      <c r="M544" t="n">
        <v>0</v>
      </c>
      <c r="N544" t="n">
        <v>0</v>
      </c>
      <c r="O544" t="n">
        <v>0</v>
      </c>
      <c r="P544" t="n">
        <v>0</v>
      </c>
      <c r="Q544" t="n">
        <v>0</v>
      </c>
      <c r="R544" s="2" t="inlineStr"/>
    </row>
    <row r="545" ht="15" customHeight="1">
      <c r="A545" t="inlineStr">
        <is>
          <t>A 26864-2024</t>
        </is>
      </c>
      <c r="B545" s="1" t="n">
        <v>45470.60967592592</v>
      </c>
      <c r="C545" s="1" t="n">
        <v>46074</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26860-2025</t>
        </is>
      </c>
      <c r="B546" s="1" t="n">
        <v>45810.68019675926</v>
      </c>
      <c r="C546" s="1" t="n">
        <v>46074</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c r="A547" t="inlineStr">
        <is>
          <t>A 27152-2025</t>
        </is>
      </c>
      <c r="B547" s="1" t="n">
        <v>45812.32118055555</v>
      </c>
      <c r="C547" s="1" t="n">
        <v>46074</v>
      </c>
      <c r="D547" t="inlineStr">
        <is>
          <t>VÄSTRA GÖTALANDS LÄN</t>
        </is>
      </c>
      <c r="E547" t="inlineStr">
        <is>
          <t>DALS-ED</t>
        </is>
      </c>
      <c r="G547" t="n">
        <v>0.3</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2026-02-21T10:59:47Z</dcterms:created>
  <dcterms:modified xmlns:dcterms="http://purl.org/dc/terms/" xmlns:xsi="http://www.w3.org/2001/XMLSchema-instance" xsi:type="dcterms:W3CDTF">2026-02-21T10:59:48Z</dcterms:modified>
</cp:coreProperties>
</file>