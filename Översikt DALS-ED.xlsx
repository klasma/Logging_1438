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45637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45637</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45637</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45637</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45637</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45637</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45637</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45637</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45637</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45637</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45637</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45637</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45637</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45637</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45637</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45637</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45637</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45637</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45637</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45637</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45637</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45637</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45637</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v>
      </c>
      <c r="C25" s="1" t="n">
        <v>45637</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910-2020</t>
        </is>
      </c>
      <c r="B26" s="1" t="n">
        <v>43839</v>
      </c>
      <c r="C26" s="1" t="n">
        <v>45637</v>
      </c>
      <c r="D26" t="inlineStr">
        <is>
          <t>VÄSTRA GÖTALANDS LÄN</t>
        </is>
      </c>
      <c r="E26" t="inlineStr">
        <is>
          <t>DALS-ED</t>
        </is>
      </c>
      <c r="G26" t="n">
        <v>21.3</v>
      </c>
      <c r="H26" t="n">
        <v>1</v>
      </c>
      <c r="I26" t="n">
        <v>0</v>
      </c>
      <c r="J26" t="n">
        <v>0</v>
      </c>
      <c r="K26" t="n">
        <v>1</v>
      </c>
      <c r="L26" t="n">
        <v>0</v>
      </c>
      <c r="M26" t="n">
        <v>0</v>
      </c>
      <c r="N26" t="n">
        <v>0</v>
      </c>
      <c r="O26" t="n">
        <v>1</v>
      </c>
      <c r="P26" t="n">
        <v>1</v>
      </c>
      <c r="Q26" t="n">
        <v>1</v>
      </c>
      <c r="R26" s="2" t="inlineStr">
        <is>
          <t>Lappuggla</t>
        </is>
      </c>
      <c r="S26">
        <f>HYPERLINK("https://klasma.github.io/Logging_1438/artfynd/A 910-2020 artfynd.xlsx", "A 910-2020")</f>
        <v/>
      </c>
      <c r="T26">
        <f>HYPERLINK("https://klasma.github.io/Logging_1438/kartor/A 910-2020 karta.png", "A 910-2020")</f>
        <v/>
      </c>
      <c r="V26">
        <f>HYPERLINK("https://klasma.github.io/Logging_1438/klagomål/A 910-2020 FSC-klagomål.docx", "A 910-2020")</f>
        <v/>
      </c>
      <c r="W26">
        <f>HYPERLINK("https://klasma.github.io/Logging_1438/klagomålsmail/A 910-2020 FSC-klagomål mail.docx", "A 910-2020")</f>
        <v/>
      </c>
      <c r="X26">
        <f>HYPERLINK("https://klasma.github.io/Logging_1438/tillsyn/A 910-2020 tillsynsbegäran.docx", "A 910-2020")</f>
        <v/>
      </c>
      <c r="Y26">
        <f>HYPERLINK("https://klasma.github.io/Logging_1438/tillsynsmail/A 910-2020 tillsynsbegäran mail.docx", "A 910-2020")</f>
        <v/>
      </c>
      <c r="Z26">
        <f>HYPERLINK("https://klasma.github.io/Logging_1438/fåglar/A 910-2020 prioriterade fågelarter.docx", "A 910-2020")</f>
        <v/>
      </c>
    </row>
    <row r="27" ht="15" customHeight="1">
      <c r="A27" t="inlineStr">
        <is>
          <t>A 67174-2020</t>
        </is>
      </c>
      <c r="B27" s="1" t="n">
        <v>44180</v>
      </c>
      <c r="C27" s="1" t="n">
        <v>45637</v>
      </c>
      <c r="D27" t="inlineStr">
        <is>
          <t>VÄSTRA GÖTALANDS LÄN</t>
        </is>
      </c>
      <c r="E27" t="inlineStr">
        <is>
          <t>DALS-ED</t>
        </is>
      </c>
      <c r="G27" t="n">
        <v>7.7</v>
      </c>
      <c r="H27" t="n">
        <v>0</v>
      </c>
      <c r="I27" t="n">
        <v>0</v>
      </c>
      <c r="J27" t="n">
        <v>1</v>
      </c>
      <c r="K27" t="n">
        <v>0</v>
      </c>
      <c r="L27" t="n">
        <v>0</v>
      </c>
      <c r="M27" t="n">
        <v>0</v>
      </c>
      <c r="N27" t="n">
        <v>0</v>
      </c>
      <c r="O27" t="n">
        <v>1</v>
      </c>
      <c r="P27" t="n">
        <v>0</v>
      </c>
      <c r="Q27" t="n">
        <v>1</v>
      </c>
      <c r="R27" s="2" t="inlineStr">
        <is>
          <t>Skrovellav</t>
        </is>
      </c>
      <c r="S27">
        <f>HYPERLINK("https://klasma.github.io/Logging_1438/artfynd/A 67174-2020 artfynd.xlsx", "A 67174-2020")</f>
        <v/>
      </c>
      <c r="T27">
        <f>HYPERLINK("https://klasma.github.io/Logging_1438/kartor/A 67174-2020 karta.png", "A 67174-2020")</f>
        <v/>
      </c>
      <c r="V27">
        <f>HYPERLINK("https://klasma.github.io/Logging_1438/klagomål/A 67174-2020 FSC-klagomål.docx", "A 67174-2020")</f>
        <v/>
      </c>
      <c r="W27">
        <f>HYPERLINK("https://klasma.github.io/Logging_1438/klagomålsmail/A 67174-2020 FSC-klagomål mail.docx", "A 67174-2020")</f>
        <v/>
      </c>
      <c r="X27">
        <f>HYPERLINK("https://klasma.github.io/Logging_1438/tillsyn/A 67174-2020 tillsynsbegäran.docx", "A 67174-2020")</f>
        <v/>
      </c>
      <c r="Y27">
        <f>HYPERLINK("https://klasma.github.io/Logging_1438/tillsynsmail/A 67174-2020 tillsynsbegäran mail.docx", "A 67174-2020")</f>
        <v/>
      </c>
    </row>
    <row r="28" ht="15" customHeight="1">
      <c r="A28" t="inlineStr">
        <is>
          <t>A 40355-2022</t>
        </is>
      </c>
      <c r="B28" s="1" t="n">
        <v>44818</v>
      </c>
      <c r="C28" s="1" t="n">
        <v>45637</v>
      </c>
      <c r="D28" t="inlineStr">
        <is>
          <t>VÄSTRA GÖTALANDS LÄN</t>
        </is>
      </c>
      <c r="E28" t="inlineStr">
        <is>
          <t>DALS-ED</t>
        </is>
      </c>
      <c r="F28" t="inlineStr">
        <is>
          <t>Kyrkan</t>
        </is>
      </c>
      <c r="G28" t="n">
        <v>4.2</v>
      </c>
      <c r="H28" t="n">
        <v>0</v>
      </c>
      <c r="I28" t="n">
        <v>0</v>
      </c>
      <c r="J28" t="n">
        <v>0</v>
      </c>
      <c r="K28" t="n">
        <v>0</v>
      </c>
      <c r="L28" t="n">
        <v>1</v>
      </c>
      <c r="M28" t="n">
        <v>0</v>
      </c>
      <c r="N28" t="n">
        <v>0</v>
      </c>
      <c r="O28" t="n">
        <v>1</v>
      </c>
      <c r="P28" t="n">
        <v>1</v>
      </c>
      <c r="Q28" t="n">
        <v>1</v>
      </c>
      <c r="R28" s="2" t="inlineStr">
        <is>
          <t>Kantlök</t>
        </is>
      </c>
      <c r="S28">
        <f>HYPERLINK("https://klasma.github.io/Logging_1438/artfynd/A 40355-2022 artfynd.xlsx", "A 40355-2022")</f>
        <v/>
      </c>
      <c r="T28">
        <f>HYPERLINK("https://klasma.github.io/Logging_1438/kartor/A 40355-2022 karta.png", "A 40355-2022")</f>
        <v/>
      </c>
      <c r="V28">
        <f>HYPERLINK("https://klasma.github.io/Logging_1438/klagomål/A 40355-2022 FSC-klagomål.docx", "A 40355-2022")</f>
        <v/>
      </c>
      <c r="W28">
        <f>HYPERLINK("https://klasma.github.io/Logging_1438/klagomålsmail/A 40355-2022 FSC-klagomål mail.docx", "A 40355-2022")</f>
        <v/>
      </c>
      <c r="X28">
        <f>HYPERLINK("https://klasma.github.io/Logging_1438/tillsyn/A 40355-2022 tillsynsbegäran.docx", "A 40355-2022")</f>
        <v/>
      </c>
      <c r="Y28">
        <f>HYPERLINK("https://klasma.github.io/Logging_1438/tillsynsmail/A 40355-2022 tillsynsbegäran mail.docx", "A 40355-2022")</f>
        <v/>
      </c>
    </row>
    <row r="29" ht="15" customHeight="1">
      <c r="A29" t="inlineStr">
        <is>
          <t>A 4113-2023</t>
        </is>
      </c>
      <c r="B29" s="1" t="n">
        <v>44952</v>
      </c>
      <c r="C29" s="1" t="n">
        <v>45637</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14793-2023</t>
        </is>
      </c>
      <c r="B30" s="1" t="n">
        <v>45014</v>
      </c>
      <c r="C30" s="1" t="n">
        <v>45637</v>
      </c>
      <c r="D30" t="inlineStr">
        <is>
          <t>VÄSTRA GÖTALANDS LÄN</t>
        </is>
      </c>
      <c r="E30" t="inlineStr">
        <is>
          <t>DALS-ED</t>
        </is>
      </c>
      <c r="G30" t="n">
        <v>1.6</v>
      </c>
      <c r="H30" t="n">
        <v>0</v>
      </c>
      <c r="I30" t="n">
        <v>0</v>
      </c>
      <c r="J30" t="n">
        <v>0</v>
      </c>
      <c r="K30" t="n">
        <v>1</v>
      </c>
      <c r="L30" t="n">
        <v>0</v>
      </c>
      <c r="M30" t="n">
        <v>0</v>
      </c>
      <c r="N30" t="n">
        <v>0</v>
      </c>
      <c r="O30" t="n">
        <v>1</v>
      </c>
      <c r="P30" t="n">
        <v>1</v>
      </c>
      <c r="Q30" t="n">
        <v>1</v>
      </c>
      <c r="R30" s="2" t="inlineStr">
        <is>
          <t>Slåttergubbe</t>
        </is>
      </c>
      <c r="S30">
        <f>HYPERLINK("https://klasma.github.io/Logging_1438/artfynd/A 14793-2023 artfynd.xlsx", "A 14793-2023")</f>
        <v/>
      </c>
      <c r="T30">
        <f>HYPERLINK("https://klasma.github.io/Logging_1438/kartor/A 14793-2023 karta.png", "A 14793-2023")</f>
        <v/>
      </c>
      <c r="V30">
        <f>HYPERLINK("https://klasma.github.io/Logging_1438/klagomål/A 14793-2023 FSC-klagomål.docx", "A 14793-2023")</f>
        <v/>
      </c>
      <c r="W30">
        <f>HYPERLINK("https://klasma.github.io/Logging_1438/klagomålsmail/A 14793-2023 FSC-klagomål mail.docx", "A 14793-2023")</f>
        <v/>
      </c>
      <c r="X30">
        <f>HYPERLINK("https://klasma.github.io/Logging_1438/tillsyn/A 14793-2023 tillsynsbegäran.docx", "A 14793-2023")</f>
        <v/>
      </c>
      <c r="Y30">
        <f>HYPERLINK("https://klasma.github.io/Logging_1438/tillsynsmail/A 14793-2023 tillsynsbegäran mail.docx", "A 14793-2023")</f>
        <v/>
      </c>
    </row>
    <row r="31" ht="15" customHeight="1">
      <c r="A31" t="inlineStr">
        <is>
          <t>A 32284-2023</t>
        </is>
      </c>
      <c r="B31" s="1" t="n">
        <v>45120</v>
      </c>
      <c r="C31" s="1" t="n">
        <v>45637</v>
      </c>
      <c r="D31" t="inlineStr">
        <is>
          <t>VÄSTRA GÖTALANDS LÄN</t>
        </is>
      </c>
      <c r="E31" t="inlineStr">
        <is>
          <t>DALS-ED</t>
        </is>
      </c>
      <c r="G31" t="n">
        <v>3.9</v>
      </c>
      <c r="H31" t="n">
        <v>0</v>
      </c>
      <c r="I31" t="n">
        <v>0</v>
      </c>
      <c r="J31" t="n">
        <v>1</v>
      </c>
      <c r="K31" t="n">
        <v>0</v>
      </c>
      <c r="L31" t="n">
        <v>0</v>
      </c>
      <c r="M31" t="n">
        <v>0</v>
      </c>
      <c r="N31" t="n">
        <v>0</v>
      </c>
      <c r="O31" t="n">
        <v>1</v>
      </c>
      <c r="P31" t="n">
        <v>0</v>
      </c>
      <c r="Q31" t="n">
        <v>1</v>
      </c>
      <c r="R31" s="2" t="inlineStr">
        <is>
          <t>Mindre bastardsvärmare</t>
        </is>
      </c>
      <c r="S31">
        <f>HYPERLINK("https://klasma.github.io/Logging_1438/artfynd/A 32284-2023 artfynd.xlsx", "A 32284-2023")</f>
        <v/>
      </c>
      <c r="T31">
        <f>HYPERLINK("https://klasma.github.io/Logging_1438/kartor/A 32284-2023 karta.png", "A 32284-2023")</f>
        <v/>
      </c>
      <c r="V31">
        <f>HYPERLINK("https://klasma.github.io/Logging_1438/klagomål/A 32284-2023 FSC-klagomål.docx", "A 32284-2023")</f>
        <v/>
      </c>
      <c r="W31">
        <f>HYPERLINK("https://klasma.github.io/Logging_1438/klagomålsmail/A 32284-2023 FSC-klagomål mail.docx", "A 32284-2023")</f>
        <v/>
      </c>
      <c r="X31">
        <f>HYPERLINK("https://klasma.github.io/Logging_1438/tillsyn/A 32284-2023 tillsynsbegäran.docx", "A 32284-2023")</f>
        <v/>
      </c>
      <c r="Y31">
        <f>HYPERLINK("https://klasma.github.io/Logging_1438/tillsynsmail/A 32284-2023 tillsynsbegäran mail.docx", "A 32284-2023")</f>
        <v/>
      </c>
    </row>
    <row r="32" ht="15" customHeight="1">
      <c r="A32" t="inlineStr">
        <is>
          <t>A 43216-2023</t>
        </is>
      </c>
      <c r="B32" s="1" t="n">
        <v>45183</v>
      </c>
      <c r="C32" s="1" t="n">
        <v>45637</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172-2024</t>
        </is>
      </c>
      <c r="B33" s="1" t="n">
        <v>45294</v>
      </c>
      <c r="C33" s="1" t="n">
        <v>45637</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27871-2024</t>
        </is>
      </c>
      <c r="B34" s="1" t="n">
        <v>45475</v>
      </c>
      <c r="C34" s="1" t="n">
        <v>45637</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v>
      </c>
      <c r="C35" s="1" t="n">
        <v>45637</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43589-2024</t>
        </is>
      </c>
      <c r="B36" s="1" t="n">
        <v>45569</v>
      </c>
      <c r="C36" s="1" t="n">
        <v>45637</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47656-2024</t>
        </is>
      </c>
      <c r="B37" s="1" t="n">
        <v>45588</v>
      </c>
      <c r="C37" s="1" t="n">
        <v>45637</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18329-2019</t>
        </is>
      </c>
      <c r="B38" s="1" t="n">
        <v>43558</v>
      </c>
      <c r="C38" s="1" t="n">
        <v>45637</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45637</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45637</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45637</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45637</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45637</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45637</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45637</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45637</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45637</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45637</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45637</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45637</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45637</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45637</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45637</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45637</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45637</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45637</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45637</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45637</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45637</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45637</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45637</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45637</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45637</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45637</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45637</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45637</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45637</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45637</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45637</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45637</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45637</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45637</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45637</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45637</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45637</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45637</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45637</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45637</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45637</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45637</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45637</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45637</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45637</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45637</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45637</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45637</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45637</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45637</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45637</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45637</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45637</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45637</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45637</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45637</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45637</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45637</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45637</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45637</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45637</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45637</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45637</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45637</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45637</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45637</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45637</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45637</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45637</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45637</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45637</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45637</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45637</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45637</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45637</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45637</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45637</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45637</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45637</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45637</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45637</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45637</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45637</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45637</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45637</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45637</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45637</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45637</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45637</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45637</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45637</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45637</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45637</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45637</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45637</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45637</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45637</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45637</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45637</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45637</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45637</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45637</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45637</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45637</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45637</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45637</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45637</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45637</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45637</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45637</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45637</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45637</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45637</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45637</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45637</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45637</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45637</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45637</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45637</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45637</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45637</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45637</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45637</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45637</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45637</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45637</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45637</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45637</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45637</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45637</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45637</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45637</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45637</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45637</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45637</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45637</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45637</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45637</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45637</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45637</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45637</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45637</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45637</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45637</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45637</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45637</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45637</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45637</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45637</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45637</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45637</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45637</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45637</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45637</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45637</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45637</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45637</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45637</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45637</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45637</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45637</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45637</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45637</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45637</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45637</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45637</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45637</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45637</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45637</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45637</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45637</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45637</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45637</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45637</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45637</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45637</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45637</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45637</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45637</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45637</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45637</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45637</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45637</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45637</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45637</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45637</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45637</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45637</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45637</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45637</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45637</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45637</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45637</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45637</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45637</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45637</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45637</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45637</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45637</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45637</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45637</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45637</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45637</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45637</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45637</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45637</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45637</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45637</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45637</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45637</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45637</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45637</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45637</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45637</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45637</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45637</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45637</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45637</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45637</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45637</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45637</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45637</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45637</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45637</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45637</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45637</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45637</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45637</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45637</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45637</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45637</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45637</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45637</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45637</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45637</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45637</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45637</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45637</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45637</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45637</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45637</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45637</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45637</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45637</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45637</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45637</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45637</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45637</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45637</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45637</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45637</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45637</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45637</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45637</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45637</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45637</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45637</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45637</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45637</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45637</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45637</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45637</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45637</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45637</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45637</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45637</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45637</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45637</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45637</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45637</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45637</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45637</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45637</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45637</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45637</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45637</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45637</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45637</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45637</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45637</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45637</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45637</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45637</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45637</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45637</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45637</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45637</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45637</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45637</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45637</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45637</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45637</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45637</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45637</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45637</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45637</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45637</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45637</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45637</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45637</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45637</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45637</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45637</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45637</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45637</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45637</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45637</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45637</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45637</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45637</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45637</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45637</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45637</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45637</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45637</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45637</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45637</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45637</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45637</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45637</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45637</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45637</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45637</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45637</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45637</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45637</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45637</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45637</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45637</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45637</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45637</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45637</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45637</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45637</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45637</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45637</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45637</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45637</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45637</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45637</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45637</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45637</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45637</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45637</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45637</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45637</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45637</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45637</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45637</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45637</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45637</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45637</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45637</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45637</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45637</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45637</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45637</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45637</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45637</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45637</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45637</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45637</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45637</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45637</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45637</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45637</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45637</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45637</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45637</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45637</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45637</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45637</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45637</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45637</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45637</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45637</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45637</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45637</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45637</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45637</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45637</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45637</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45637</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45637</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45637</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45637</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45637</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45637</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45637</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45637</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45637</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45637</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45637</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45637</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45637</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45637</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45637</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45637</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45637</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45637</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45637</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45637</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45637</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45637</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45637</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45637</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45637</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45637</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45637</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45637</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45637</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45637</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45637</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45637</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45637</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45637</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45637</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45637</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45637</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45637</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45637</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45637</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45637</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45637</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45637</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45637</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45637</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45637</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45637</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45637</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45637</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45637</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45637</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45637</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45637</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45637</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45637</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45637</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45637</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45637</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45637</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45637</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45637</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45637</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45637</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45637</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45637</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45637</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45637</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45637</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45637</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45637</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45637</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45637</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45637</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45637</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45637</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45637</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45637</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45637</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45637</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45637</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45637</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45637</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45637</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45637</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45637</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45637</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45637</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45637</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45637</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45637</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45637</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45637</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45637</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45637</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45637</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45637</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45637</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45637</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45637</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45637</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45637</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45637</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45637</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45637</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45637</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45637</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45637</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45637</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45637</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45637</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45637</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45637</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45637</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45637</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45637</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45637</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45637</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45637</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45637</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45637</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45637</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45637</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45637</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45637</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45637</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45637</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45637</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45637</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45637</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45637</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45637</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45637</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45637</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45637</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45637</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45637</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45637</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45637</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45637</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45637</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45637</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45637</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45637</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45637</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45637</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45637</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45637</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45637</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45637</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45637</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45637</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45637</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45637</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45637</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45637</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45637</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45637</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45637</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45637</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45637</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45637</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45637</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45637</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45637</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45637</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45637</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45637</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45637</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45637</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45637</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45637</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45637</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45637</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45637</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45637</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45637</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45637</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45637</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45637</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45637</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45637</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45637</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45637</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45637</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45637</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45637</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45637</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45637</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45637</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45637</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45637</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45637</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45637</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45637</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45637</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45637</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45637</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45637</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45637</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45637</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45637</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45637</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45637</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45637</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45637</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45637</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45637</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45637</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45637</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45637</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45637</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45637</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45637</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45637</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45637</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45637</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45637</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45637</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45637</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45637</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45637</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45637</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45637</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45637</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45637</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45637</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45637</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45637</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45637</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45637</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45637</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45637</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52349-2024</t>
        </is>
      </c>
      <c r="B653" s="1" t="n">
        <v>45609</v>
      </c>
      <c r="C653" s="1" t="n">
        <v>45637</v>
      </c>
      <c r="D653" t="inlineStr">
        <is>
          <t>VÄSTRA GÖTALANDS LÄN</t>
        </is>
      </c>
      <c r="E653" t="inlineStr">
        <is>
          <t>DALS-ED</t>
        </is>
      </c>
      <c r="G653" t="n">
        <v>6.1</v>
      </c>
      <c r="H653" t="n">
        <v>0</v>
      </c>
      <c r="I653" t="n">
        <v>0</v>
      </c>
      <c r="J653" t="n">
        <v>0</v>
      </c>
      <c r="K653" t="n">
        <v>0</v>
      </c>
      <c r="L653" t="n">
        <v>0</v>
      </c>
      <c r="M653" t="n">
        <v>0</v>
      </c>
      <c r="N653" t="n">
        <v>0</v>
      </c>
      <c r="O653" t="n">
        <v>0</v>
      </c>
      <c r="P653" t="n">
        <v>0</v>
      </c>
      <c r="Q653" t="n">
        <v>0</v>
      </c>
      <c r="R653" s="2" t="inlineStr"/>
    </row>
    <row r="654" ht="15" customHeight="1">
      <c r="A654" t="inlineStr">
        <is>
          <t>A 52350-2024</t>
        </is>
      </c>
      <c r="B654" s="1" t="n">
        <v>45609</v>
      </c>
      <c r="C654" s="1" t="n">
        <v>45637</v>
      </c>
      <c r="D654" t="inlineStr">
        <is>
          <t>VÄSTRA GÖTALANDS LÄN</t>
        </is>
      </c>
      <c r="E654" t="inlineStr">
        <is>
          <t>DALS-ED</t>
        </is>
      </c>
      <c r="G654" t="n">
        <v>1</v>
      </c>
      <c r="H654" t="n">
        <v>0</v>
      </c>
      <c r="I654" t="n">
        <v>0</v>
      </c>
      <c r="J654" t="n">
        <v>0</v>
      </c>
      <c r="K654" t="n">
        <v>0</v>
      </c>
      <c r="L654" t="n">
        <v>0</v>
      </c>
      <c r="M654" t="n">
        <v>0</v>
      </c>
      <c r="N654" t="n">
        <v>0</v>
      </c>
      <c r="O654" t="n">
        <v>0</v>
      </c>
      <c r="P654" t="n">
        <v>0</v>
      </c>
      <c r="Q654" t="n">
        <v>0</v>
      </c>
      <c r="R654" s="2" t="inlineStr"/>
    </row>
    <row r="655" ht="15" customHeight="1">
      <c r="A655" t="inlineStr">
        <is>
          <t>A 52373-2024</t>
        </is>
      </c>
      <c r="B655" s="1" t="n">
        <v>45609</v>
      </c>
      <c r="C655" s="1" t="n">
        <v>45637</v>
      </c>
      <c r="D655" t="inlineStr">
        <is>
          <t>VÄSTRA GÖTALANDS LÄN</t>
        </is>
      </c>
      <c r="E655" t="inlineStr">
        <is>
          <t>DALS-ED</t>
        </is>
      </c>
      <c r="G655" t="n">
        <v>4.5</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45637</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45637</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45637</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45637</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54183-2024</t>
        </is>
      </c>
      <c r="B660" s="1" t="n">
        <v>45616</v>
      </c>
      <c r="C660" s="1" t="n">
        <v>45637</v>
      </c>
      <c r="D660" t="inlineStr">
        <is>
          <t>VÄSTRA GÖTALANDS LÄN</t>
        </is>
      </c>
      <c r="E660" t="inlineStr">
        <is>
          <t>DALS-ED</t>
        </is>
      </c>
      <c r="G660" t="n">
        <v>1.6</v>
      </c>
      <c r="H660" t="n">
        <v>0</v>
      </c>
      <c r="I660" t="n">
        <v>0</v>
      </c>
      <c r="J660" t="n">
        <v>0</v>
      </c>
      <c r="K660" t="n">
        <v>0</v>
      </c>
      <c r="L660" t="n">
        <v>0</v>
      </c>
      <c r="M660" t="n">
        <v>0</v>
      </c>
      <c r="N660" t="n">
        <v>0</v>
      </c>
      <c r="O660" t="n">
        <v>0</v>
      </c>
      <c r="P660" t="n">
        <v>0</v>
      </c>
      <c r="Q660" t="n">
        <v>0</v>
      </c>
      <c r="R660" s="2" t="inlineStr"/>
    </row>
    <row r="661" ht="15" customHeight="1">
      <c r="A661" t="inlineStr">
        <is>
          <t>A 54206-2024</t>
        </is>
      </c>
      <c r="B661" s="1" t="n">
        <v>45616</v>
      </c>
      <c r="C661" s="1" t="n">
        <v>45637</v>
      </c>
      <c r="D661" t="inlineStr">
        <is>
          <t>VÄSTRA GÖTALANDS LÄN</t>
        </is>
      </c>
      <c r="E661" t="inlineStr">
        <is>
          <t>DALS-ED</t>
        </is>
      </c>
      <c r="G661" t="n">
        <v>5</v>
      </c>
      <c r="H661" t="n">
        <v>0</v>
      </c>
      <c r="I661" t="n">
        <v>0</v>
      </c>
      <c r="J661" t="n">
        <v>0</v>
      </c>
      <c r="K661" t="n">
        <v>0</v>
      </c>
      <c r="L661" t="n">
        <v>0</v>
      </c>
      <c r="M661" t="n">
        <v>0</v>
      </c>
      <c r="N661" t="n">
        <v>0</v>
      </c>
      <c r="O661" t="n">
        <v>0</v>
      </c>
      <c r="P661" t="n">
        <v>0</v>
      </c>
      <c r="Q661" t="n">
        <v>0</v>
      </c>
      <c r="R661" s="2" t="inlineStr"/>
    </row>
    <row r="662" ht="15" customHeight="1">
      <c r="A662" t="inlineStr">
        <is>
          <t>A 55084-2024</t>
        </is>
      </c>
      <c r="B662" s="1" t="n">
        <v>45621</v>
      </c>
      <c r="C662" s="1" t="n">
        <v>45637</v>
      </c>
      <c r="D662" t="inlineStr">
        <is>
          <t>VÄSTRA GÖTALANDS LÄN</t>
        </is>
      </c>
      <c r="E662" t="inlineStr">
        <is>
          <t>DALS-ED</t>
        </is>
      </c>
      <c r="G662" t="n">
        <v>0.8</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45637</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55134-2024</t>
        </is>
      </c>
      <c r="B664" s="1" t="n">
        <v>45621</v>
      </c>
      <c r="C664" s="1" t="n">
        <v>45637</v>
      </c>
      <c r="D664" t="inlineStr">
        <is>
          <t>VÄSTRA GÖTALANDS LÄN</t>
        </is>
      </c>
      <c r="E664" t="inlineStr">
        <is>
          <t>DALS-ED</t>
        </is>
      </c>
      <c r="G664" t="n">
        <v>1.1</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45637</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45637</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45637</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56341-2024</t>
        </is>
      </c>
      <c r="B668" s="1" t="n">
        <v>45624</v>
      </c>
      <c r="C668" s="1" t="n">
        <v>45637</v>
      </c>
      <c r="D668" t="inlineStr">
        <is>
          <t>VÄSTRA GÖTALANDS LÄN</t>
        </is>
      </c>
      <c r="E668" t="inlineStr">
        <is>
          <t>DALS-ED</t>
        </is>
      </c>
      <c r="G668" t="n">
        <v>3</v>
      </c>
      <c r="H668" t="n">
        <v>0</v>
      </c>
      <c r="I668" t="n">
        <v>0</v>
      </c>
      <c r="J668" t="n">
        <v>0</v>
      </c>
      <c r="K668" t="n">
        <v>0</v>
      </c>
      <c r="L668" t="n">
        <v>0</v>
      </c>
      <c r="M668" t="n">
        <v>0</v>
      </c>
      <c r="N668" t="n">
        <v>0</v>
      </c>
      <c r="O668" t="n">
        <v>0</v>
      </c>
      <c r="P668" t="n">
        <v>0</v>
      </c>
      <c r="Q668" t="n">
        <v>0</v>
      </c>
      <c r="R668" s="2" t="inlineStr"/>
    </row>
    <row r="669" ht="15" customHeight="1">
      <c r="A669" t="inlineStr">
        <is>
          <t>A 56344-2024</t>
        </is>
      </c>
      <c r="B669" s="1" t="n">
        <v>45624</v>
      </c>
      <c r="C669" s="1" t="n">
        <v>45637</v>
      </c>
      <c r="D669" t="inlineStr">
        <is>
          <t>VÄSTRA GÖTALANDS LÄN</t>
        </is>
      </c>
      <c r="E669" t="inlineStr">
        <is>
          <t>DALS-ED</t>
        </is>
      </c>
      <c r="G669" t="n">
        <v>1.7</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45637</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45637</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58346-2024</t>
        </is>
      </c>
      <c r="B672" s="1" t="n">
        <v>45632</v>
      </c>
      <c r="C672" s="1" t="n">
        <v>45637</v>
      </c>
      <c r="D672" t="inlineStr">
        <is>
          <t>VÄSTRA GÖTALANDS LÄN</t>
        </is>
      </c>
      <c r="E672" t="inlineStr">
        <is>
          <t>DALS-ED</t>
        </is>
      </c>
      <c r="G672" t="n">
        <v>2.4</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45637</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58584-2024</t>
        </is>
      </c>
      <c r="B674" s="1" t="n">
        <v>45632</v>
      </c>
      <c r="C674" s="1" t="n">
        <v>45637</v>
      </c>
      <c r="D674" t="inlineStr">
        <is>
          <t>VÄSTRA GÖTALANDS LÄN</t>
        </is>
      </c>
      <c r="E674" t="inlineStr">
        <is>
          <t>DALS-ED</t>
        </is>
      </c>
      <c r="G674" t="n">
        <v>1.5</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45637</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45637</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58851-2024</t>
        </is>
      </c>
      <c r="B677" s="1" t="n">
        <v>45636</v>
      </c>
      <c r="C677" s="1" t="n">
        <v>45637</v>
      </c>
      <c r="D677" t="inlineStr">
        <is>
          <t>VÄSTRA GÖTALANDS LÄN</t>
        </is>
      </c>
      <c r="E677" t="inlineStr">
        <is>
          <t>DALS-ED</t>
        </is>
      </c>
      <c r="G677" t="n">
        <v>1.9</v>
      </c>
      <c r="H677" t="n">
        <v>0</v>
      </c>
      <c r="I677" t="n">
        <v>0</v>
      </c>
      <c r="J677" t="n">
        <v>0</v>
      </c>
      <c r="K677" t="n">
        <v>0</v>
      </c>
      <c r="L677" t="n">
        <v>0</v>
      </c>
      <c r="M677" t="n">
        <v>0</v>
      </c>
      <c r="N677" t="n">
        <v>0</v>
      </c>
      <c r="O677" t="n">
        <v>0</v>
      </c>
      <c r="P677" t="n">
        <v>0</v>
      </c>
      <c r="Q677" t="n">
        <v>0</v>
      </c>
      <c r="R677" s="2" t="inlineStr"/>
    </row>
    <row r="678" ht="15" customHeight="1">
      <c r="A678" t="inlineStr">
        <is>
          <t>A 58855-2024</t>
        </is>
      </c>
      <c r="B678" s="1" t="n">
        <v>45636</v>
      </c>
      <c r="C678" s="1" t="n">
        <v>45637</v>
      </c>
      <c r="D678" t="inlineStr">
        <is>
          <t>VÄSTRA GÖTALANDS LÄN</t>
        </is>
      </c>
      <c r="E678" t="inlineStr">
        <is>
          <t>DALS-ED</t>
        </is>
      </c>
      <c r="G678" t="n">
        <v>0.3</v>
      </c>
      <c r="H678" t="n">
        <v>0</v>
      </c>
      <c r="I678" t="n">
        <v>0</v>
      </c>
      <c r="J678" t="n">
        <v>0</v>
      </c>
      <c r="K678" t="n">
        <v>0</v>
      </c>
      <c r="L678" t="n">
        <v>0</v>
      </c>
      <c r="M678" t="n">
        <v>0</v>
      </c>
      <c r="N678" t="n">
        <v>0</v>
      </c>
      <c r="O678" t="n">
        <v>0</v>
      </c>
      <c r="P678" t="n">
        <v>0</v>
      </c>
      <c r="Q678" t="n">
        <v>0</v>
      </c>
      <c r="R678" s="2" t="inlineStr"/>
    </row>
    <row r="679">
      <c r="A679" t="inlineStr">
        <is>
          <t>A 58859-2024</t>
        </is>
      </c>
      <c r="B679" s="1" t="n">
        <v>45636</v>
      </c>
      <c r="C679" s="1" t="n">
        <v>45637</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2024-12-11T15:06:25Z</dcterms:created>
  <dcterms:modified xmlns:dcterms="http://purl.org/dc/terms/" xmlns:xsi="http://www.w3.org/2001/XMLSchema-instance" xsi:type="dcterms:W3CDTF">2024-12-11T15:06:26Z</dcterms:modified>
</cp:coreProperties>
</file>