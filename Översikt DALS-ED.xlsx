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45669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45669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45669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45669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45669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45669</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42944-2022</t>
        </is>
      </c>
      <c r="B8" s="1" t="n">
        <v>44833</v>
      </c>
      <c r="C8" s="1" t="n">
        <v>45669</v>
      </c>
      <c r="D8" t="inlineStr">
        <is>
          <t>VÄSTRA GÖTALANDS LÄN</t>
        </is>
      </c>
      <c r="E8" t="inlineStr">
        <is>
          <t>DALS-ED</t>
        </is>
      </c>
      <c r="G8" t="n">
        <v>10.6</v>
      </c>
      <c r="H8" t="n">
        <v>2</v>
      </c>
      <c r="I8" t="n">
        <v>3</v>
      </c>
      <c r="J8" t="n">
        <v>4</v>
      </c>
      <c r="K8" t="n">
        <v>0</v>
      </c>
      <c r="L8" t="n">
        <v>0</v>
      </c>
      <c r="M8" t="n">
        <v>0</v>
      </c>
      <c r="N8" t="n">
        <v>0</v>
      </c>
      <c r="O8" t="n">
        <v>4</v>
      </c>
      <c r="P8" t="n">
        <v>0</v>
      </c>
      <c r="Q8" t="n">
        <v>8</v>
      </c>
      <c r="R8" s="2" t="inlineStr">
        <is>
          <t>Garnlav
Kandelabersvamp
Spillkråka
Vedtrappmossa
Bronshjon
Rödgul trumpetsvamp
Stor revmossa
Revlummer</t>
        </is>
      </c>
      <c r="S8">
        <f>HYPERLINK("https://klasma.github.io/Logging_1438/artfynd/A 42944-2022 artfynd.xlsx", "A 42944-2022")</f>
        <v/>
      </c>
      <c r="T8">
        <f>HYPERLINK("https://klasma.github.io/Logging_1438/kartor/A 42944-2022 karta.png", "A 42944-2022")</f>
        <v/>
      </c>
      <c r="V8">
        <f>HYPERLINK("https://klasma.github.io/Logging_1438/klagomål/A 42944-2022 FSC-klagomål.docx", "A 42944-2022")</f>
        <v/>
      </c>
      <c r="W8">
        <f>HYPERLINK("https://klasma.github.io/Logging_1438/klagomålsmail/A 42944-2022 FSC-klagomål mail.docx", "A 42944-2022")</f>
        <v/>
      </c>
      <c r="X8">
        <f>HYPERLINK("https://klasma.github.io/Logging_1438/tillsyn/A 42944-2022 tillsynsbegäran.docx", "A 42944-2022")</f>
        <v/>
      </c>
      <c r="Y8">
        <f>HYPERLINK("https://klasma.github.io/Logging_1438/tillsynsmail/A 42944-2022 tillsynsbegäran mail.docx", "A 42944-2022")</f>
        <v/>
      </c>
      <c r="Z8">
        <f>HYPERLINK("https://klasma.github.io/Logging_1438/fåglar/A 42944-2022 prioriterade fågelarter.docx", "A 42944-2022")</f>
        <v/>
      </c>
    </row>
    <row r="9" ht="15" customHeight="1">
      <c r="A9" t="inlineStr">
        <is>
          <t>A 43450-2022</t>
        </is>
      </c>
      <c r="B9" s="1" t="n">
        <v>44835</v>
      </c>
      <c r="C9" s="1" t="n">
        <v>45669</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45669</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45669</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45669</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45669</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45669</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45669</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45669</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45669</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45669</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45669</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45669</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45669</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45669</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45669</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45669</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45669</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45669</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45669</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45669</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45669</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45669</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45669</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45669</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45669</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45669</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45669</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45669</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45669</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45669</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45669</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45669</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45669</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45669</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45669</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45669</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45669</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45669</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45669</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45669</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45669</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45669</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45669</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45669</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45669</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45669</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45669</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45669</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45669</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45669</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45669</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45669</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45669</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45669</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45669</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45669</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45669</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45669</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45669</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45669</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45669</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45669</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45669</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45669</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45669</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45669</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45669</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45669</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45669</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45669</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45669</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45669</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45669</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45669</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45669</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45669</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45669</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45669</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45669</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45669</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45669</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45669</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45669</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45669</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45669</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45669</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45669</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45669</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45669</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45669</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45669</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45669</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45669</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45669</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45669</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45669</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45669</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45669</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45669</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45669</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45669</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45669</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45669</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45669</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45669</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45669</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45669</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45669</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45669</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45669</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45669</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45669</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45669</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45669</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45669</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45669</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45669</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45669</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45669</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45669</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45669</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45669</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45669</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45669</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45669</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45669</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45669</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45669</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45669</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45669</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45669</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45669</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45669</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45669</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45669</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45669</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45669</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45669</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45669</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45669</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45669</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45669</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45669</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45669</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45669</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45669</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45669</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45669</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45669</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45669</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45669</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45669</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45669</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45669</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45669</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45669</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45669</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45669</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45669</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45669</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45669</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45669</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45669</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45669</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45669</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45669</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45669</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45669</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45669</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45669</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45669</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45669</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45669</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45669</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45669</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45669</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45669</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45669</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45669</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45669</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45669</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45669</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45669</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45669</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45669</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45669</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45669</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45669</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45669</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45669</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45669</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45669</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45669</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45669</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45669</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45669</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45669</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45669</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45669</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45669</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45669</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45669</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45669</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45669</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45669</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45669</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45669</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45669</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45669</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45669</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45669</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45669</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45669</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45669</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45669</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45669</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45669</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45669</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45669</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45669</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45669</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45669</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45669</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45669</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45669</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45669</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45669</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45669</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45669</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45669</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45669</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45669</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45669</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45669</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45669</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45669</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45669</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45669</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45669</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45669</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45669</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45669</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45669</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45669</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45669</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45669</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45669</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45669</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45669</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45669</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45669</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45669</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45669</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45669</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45669</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45669</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45669</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45669</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45669</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45669</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45669</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45669</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45669</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45669</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45669</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45669</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45669</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45669</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45669</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45669</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45669</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45669</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45669</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45669</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45669</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45669</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45669</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45669</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45669</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45669</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45669</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45669</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45669</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45669</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45669</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45669</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45669</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45669</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45669</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45669</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45669</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45669</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45669</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45669</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45669</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45669</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45669</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45669</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45669</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45669</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45669</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45669</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45669</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45669</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45669</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45669</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45669</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45669</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45669</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45669</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45669</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45669</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45669</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45669</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45669</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45669</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45669</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45669</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45669</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45669</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45669</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45669</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45669</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45669</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45669</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45669</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45669</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45669</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45669</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45669</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45669</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45669</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45669</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45669</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45669</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45669</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45669</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45669</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45669</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45669</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45669</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45669</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45669</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45669</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45669</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45669</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45669</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45669</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45669</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45669</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45669</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45669</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45669</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45669</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45669</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45669</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45669</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45669</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45669</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45669</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45669</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45669</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45669</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45669</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45669</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45669</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45669</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45669</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45669</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45669</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45669</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45669</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45669</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45669</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45669</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45669</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45669</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45669</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45669</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45669</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45669</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45669</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45669</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45669</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45669</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45669</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45669</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45669</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45669</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45669</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45669</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45669</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45669</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45669</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45669</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45669</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45669</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45669</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45669</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45669</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45669</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45669</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45669</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45669</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45669</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45669</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45669</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45669</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45669</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45669</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45669</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45669</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45669</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45669</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45669</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45669</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45669</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45669</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45669</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45669</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45669</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45669</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45669</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45669</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45669</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45669</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45669</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45669</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45669</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45669</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45669</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45669</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45669</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45669</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45669</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45669</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45669</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45669</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45669</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45669</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45669</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45669</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45669</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45669</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45669</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45669</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45669</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45669</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45669</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45669</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45669</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45669</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45669</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45669</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45669</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45669</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45669</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45669</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45669</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45669</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45669</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45669</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45669</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45669</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45669</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45669</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45669</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45669</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45669</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45669</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45669</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45669</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45669</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45669</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45669</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45669</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45669</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45669</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45669</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45669</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45669</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45669</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45669</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45669</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45669</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45669</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45669</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45669</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45669</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45669</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45669</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45669</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45669</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45669</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45669</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45669</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45669</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45669</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45669</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45669</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45669</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45669</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45669</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45669</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45669</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45669</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45669</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45669</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45669</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45669</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45669</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45669</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45669</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45669</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45669</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45669</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45669</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45669</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45669</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45669</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45669</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45669</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45669</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45669</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45669</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45669</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45669</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45669</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45669</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45669</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45669</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45669</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45669</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45669</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45669</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45669</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45669</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45669</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45669</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45669</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45669</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45669</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45669</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45669</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45669</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45669</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45669</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45669</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45669</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45669</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45669</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45669</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45669</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45669</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45669</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45669</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45669</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45669</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45669</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45669</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45669</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45669</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45669</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45669</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45669</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45669</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45669</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45669</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45669</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45669</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45669</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45669</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45669</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45669</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45669</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45669</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45669</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45669</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45669</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45669</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45669</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45669</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45669</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45669</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45669</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45669</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45669</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45669</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45669</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45669</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45669</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45669</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45669</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45669</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45669</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45669</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45669</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45669</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45669</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45669</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45669</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45669</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45669</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45669</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45669</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45669</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45669</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45669</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45669</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45669</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45669</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45669</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45669</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45669</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45669</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45669</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45669</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45669</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45669</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45669</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45669</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45669</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45669</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45669</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45669</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45669</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45669</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45669</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45669</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45669</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45669</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45669</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45669</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45669</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45669</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45669</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45669</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45669</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45669</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45669</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45669</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45669</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45669</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45669</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45669</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45669</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45669</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45669</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45669</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45669</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45669</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45669</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45669</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45669</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45669</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45669</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45669</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45669</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45669</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45669</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45669</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45669</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45669</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58590-2024</t>
        </is>
      </c>
      <c r="B672" s="1" t="n">
        <v>45632</v>
      </c>
      <c r="C672" s="1" t="n">
        <v>45669</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45669</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45669</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45669</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45669</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58859-2024</t>
        </is>
      </c>
      <c r="B677" s="1" t="n">
        <v>45636</v>
      </c>
      <c r="C677" s="1" t="n">
        <v>45669</v>
      </c>
      <c r="D677" t="inlineStr">
        <is>
          <t>VÄSTRA GÖTALANDS LÄN</t>
        </is>
      </c>
      <c r="E677" t="inlineStr">
        <is>
          <t>DALS-ED</t>
        </is>
      </c>
      <c r="G677" t="n">
        <v>1.4</v>
      </c>
      <c r="H677" t="n">
        <v>0</v>
      </c>
      <c r="I677" t="n">
        <v>0</v>
      </c>
      <c r="J677" t="n">
        <v>0</v>
      </c>
      <c r="K677" t="n">
        <v>0</v>
      </c>
      <c r="L677" t="n">
        <v>0</v>
      </c>
      <c r="M677" t="n">
        <v>0</v>
      </c>
      <c r="N677" t="n">
        <v>0</v>
      </c>
      <c r="O677" t="n">
        <v>0</v>
      </c>
      <c r="P677" t="n">
        <v>0</v>
      </c>
      <c r="Q677" t="n">
        <v>0</v>
      </c>
      <c r="R677" s="2" t="inlineStr"/>
    </row>
    <row r="678" ht="15" customHeight="1">
      <c r="A678" t="inlineStr">
        <is>
          <t>A 58855-2024</t>
        </is>
      </c>
      <c r="B678" s="1" t="n">
        <v>45636</v>
      </c>
      <c r="C678" s="1" t="n">
        <v>45669</v>
      </c>
      <c r="D678" t="inlineStr">
        <is>
          <t>VÄSTRA GÖTALANDS LÄN</t>
        </is>
      </c>
      <c r="E678" t="inlineStr">
        <is>
          <t>DALS-ED</t>
        </is>
      </c>
      <c r="G678" t="n">
        <v>0.3</v>
      </c>
      <c r="H678" t="n">
        <v>0</v>
      </c>
      <c r="I678" t="n">
        <v>0</v>
      </c>
      <c r="J678" t="n">
        <v>0</v>
      </c>
      <c r="K678" t="n">
        <v>0</v>
      </c>
      <c r="L678" t="n">
        <v>0</v>
      </c>
      <c r="M678" t="n">
        <v>0</v>
      </c>
      <c r="N678" t="n">
        <v>0</v>
      </c>
      <c r="O678" t="n">
        <v>0</v>
      </c>
      <c r="P678" t="n">
        <v>0</v>
      </c>
      <c r="Q678" t="n">
        <v>0</v>
      </c>
      <c r="R678" s="2" t="inlineStr"/>
    </row>
    <row r="679" ht="15" customHeight="1">
      <c r="A679" t="inlineStr">
        <is>
          <t>A 58851-2024</t>
        </is>
      </c>
      <c r="B679" s="1" t="n">
        <v>45636</v>
      </c>
      <c r="C679" s="1" t="n">
        <v>45669</v>
      </c>
      <c r="D679" t="inlineStr">
        <is>
          <t>VÄSTRA GÖTALANDS LÄN</t>
        </is>
      </c>
      <c r="E679" t="inlineStr">
        <is>
          <t>DALS-ED</t>
        </is>
      </c>
      <c r="G679" t="n">
        <v>1.9</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45669</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59854-2024</t>
        </is>
      </c>
      <c r="B681" s="1" t="n">
        <v>45639</v>
      </c>
      <c r="C681" s="1" t="n">
        <v>45669</v>
      </c>
      <c r="D681" t="inlineStr">
        <is>
          <t>VÄSTRA GÖTALANDS LÄN</t>
        </is>
      </c>
      <c r="E681" t="inlineStr">
        <is>
          <t>DALS-ED</t>
        </is>
      </c>
      <c r="G681" t="n">
        <v>2</v>
      </c>
      <c r="H681" t="n">
        <v>0</v>
      </c>
      <c r="I681" t="n">
        <v>0</v>
      </c>
      <c r="J681" t="n">
        <v>0</v>
      </c>
      <c r="K681" t="n">
        <v>0</v>
      </c>
      <c r="L681" t="n">
        <v>0</v>
      </c>
      <c r="M681" t="n">
        <v>0</v>
      </c>
      <c r="N681" t="n">
        <v>0</v>
      </c>
      <c r="O681" t="n">
        <v>0</v>
      </c>
      <c r="P681" t="n">
        <v>0</v>
      </c>
      <c r="Q681" t="n">
        <v>0</v>
      </c>
      <c r="R681" s="2" t="inlineStr"/>
    </row>
    <row r="682" ht="15" customHeight="1">
      <c r="A682" t="inlineStr">
        <is>
          <t>A 59855-2024</t>
        </is>
      </c>
      <c r="B682" s="1" t="n">
        <v>45639</v>
      </c>
      <c r="C682" s="1" t="n">
        <v>45669</v>
      </c>
      <c r="D682" t="inlineStr">
        <is>
          <t>VÄSTRA GÖTALANDS LÄN</t>
        </is>
      </c>
      <c r="E682" t="inlineStr">
        <is>
          <t>DALS-ED</t>
        </is>
      </c>
      <c r="G682" t="n">
        <v>0.6</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45669</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45669</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ht="15" customHeight="1">
      <c r="A685" t="inlineStr">
        <is>
          <t>A 61497-2024</t>
        </is>
      </c>
      <c r="B685" s="1" t="n">
        <v>45646</v>
      </c>
      <c r="C685" s="1" t="n">
        <v>45669</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row r="686" ht="15" customHeight="1">
      <c r="A686" t="inlineStr">
        <is>
          <t>A 9-2025</t>
        </is>
      </c>
      <c r="B686" s="1" t="n">
        <v>45658</v>
      </c>
      <c r="C686" s="1" t="n">
        <v>45669</v>
      </c>
      <c r="D686" t="inlineStr">
        <is>
          <t>VÄSTRA GÖTALANDS LÄN</t>
        </is>
      </c>
      <c r="E686" t="inlineStr">
        <is>
          <t>DALS-ED</t>
        </is>
      </c>
      <c r="G686" t="n">
        <v>7.3</v>
      </c>
      <c r="H686" t="n">
        <v>0</v>
      </c>
      <c r="I686" t="n">
        <v>0</v>
      </c>
      <c r="J686" t="n">
        <v>0</v>
      </c>
      <c r="K686" t="n">
        <v>0</v>
      </c>
      <c r="L686" t="n">
        <v>0</v>
      </c>
      <c r="M686" t="n">
        <v>0</v>
      </c>
      <c r="N686" t="n">
        <v>0</v>
      </c>
      <c r="O686" t="n">
        <v>0</v>
      </c>
      <c r="P686" t="n">
        <v>0</v>
      </c>
      <c r="Q686" t="n">
        <v>0</v>
      </c>
      <c r="R686" s="2" t="inlineStr"/>
    </row>
    <row r="687" ht="15" customHeight="1">
      <c r="A687" t="inlineStr">
        <is>
          <t>A 308-2025</t>
        </is>
      </c>
      <c r="B687" s="1" t="n">
        <v>45660</v>
      </c>
      <c r="C687" s="1" t="n">
        <v>45669</v>
      </c>
      <c r="D687" t="inlineStr">
        <is>
          <t>VÄSTRA GÖTALANDS LÄN</t>
        </is>
      </c>
      <c r="E687" t="inlineStr">
        <is>
          <t>DALS-ED</t>
        </is>
      </c>
      <c r="G687" t="n">
        <v>1.2</v>
      </c>
      <c r="H687" t="n">
        <v>0</v>
      </c>
      <c r="I687" t="n">
        <v>0</v>
      </c>
      <c r="J687" t="n">
        <v>0</v>
      </c>
      <c r="K687" t="n">
        <v>0</v>
      </c>
      <c r="L687" t="n">
        <v>0</v>
      </c>
      <c r="M687" t="n">
        <v>0</v>
      </c>
      <c r="N687" t="n">
        <v>0</v>
      </c>
      <c r="O687" t="n">
        <v>0</v>
      </c>
      <c r="P687" t="n">
        <v>0</v>
      </c>
      <c r="Q687" t="n">
        <v>0</v>
      </c>
      <c r="R687" s="2" t="inlineStr"/>
    </row>
    <row r="688" ht="15" customHeight="1">
      <c r="A688" t="inlineStr">
        <is>
          <t>A 981-2025</t>
        </is>
      </c>
      <c r="B688" s="1" t="n">
        <v>45666</v>
      </c>
      <c r="C688" s="1" t="n">
        <v>45669</v>
      </c>
      <c r="D688" t="inlineStr">
        <is>
          <t>VÄSTRA GÖTALANDS LÄN</t>
        </is>
      </c>
      <c r="E688" t="inlineStr">
        <is>
          <t>DALS-ED</t>
        </is>
      </c>
      <c r="G688" t="n">
        <v>2.7</v>
      </c>
      <c r="H688" t="n">
        <v>0</v>
      </c>
      <c r="I688" t="n">
        <v>0</v>
      </c>
      <c r="J688" t="n">
        <v>0</v>
      </c>
      <c r="K688" t="n">
        <v>0</v>
      </c>
      <c r="L688" t="n">
        <v>0</v>
      </c>
      <c r="M688" t="n">
        <v>0</v>
      </c>
      <c r="N688" t="n">
        <v>0</v>
      </c>
      <c r="O688" t="n">
        <v>0</v>
      </c>
      <c r="P688" t="n">
        <v>0</v>
      </c>
      <c r="Q688" t="n">
        <v>0</v>
      </c>
      <c r="R688" s="2" t="inlineStr"/>
    </row>
    <row r="689" ht="15" customHeight="1">
      <c r="A689" t="inlineStr">
        <is>
          <t>A 979-2025</t>
        </is>
      </c>
      <c r="B689" s="1" t="n">
        <v>45666</v>
      </c>
      <c r="C689" s="1" t="n">
        <v>45669</v>
      </c>
      <c r="D689" t="inlineStr">
        <is>
          <t>VÄSTRA GÖTALANDS LÄN</t>
        </is>
      </c>
      <c r="E689" t="inlineStr">
        <is>
          <t>DALS-ED</t>
        </is>
      </c>
      <c r="G689" t="n">
        <v>4.4</v>
      </c>
      <c r="H689" t="n">
        <v>0</v>
      </c>
      <c r="I689" t="n">
        <v>0</v>
      </c>
      <c r="J689" t="n">
        <v>0</v>
      </c>
      <c r="K689" t="n">
        <v>0</v>
      </c>
      <c r="L689" t="n">
        <v>0</v>
      </c>
      <c r="M689" t="n">
        <v>0</v>
      </c>
      <c r="N689" t="n">
        <v>0</v>
      </c>
      <c r="O689" t="n">
        <v>0</v>
      </c>
      <c r="P689" t="n">
        <v>0</v>
      </c>
      <c r="Q689" t="n">
        <v>0</v>
      </c>
      <c r="R689" s="2" t="inlineStr"/>
    </row>
    <row r="690">
      <c r="A690" t="inlineStr">
        <is>
          <t>A 956-2025</t>
        </is>
      </c>
      <c r="B690" s="1" t="n">
        <v>45666</v>
      </c>
      <c r="C690" s="1" t="n">
        <v>45669</v>
      </c>
      <c r="D690" t="inlineStr">
        <is>
          <t>VÄSTRA GÖTALANDS LÄN</t>
        </is>
      </c>
      <c r="E690" t="inlineStr">
        <is>
          <t>DALS-ED</t>
        </is>
      </c>
      <c r="G690" t="n">
        <v>0.9</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2025-01-12T15:25:57Z</dcterms:created>
  <dcterms:modified xmlns:dcterms="http://purl.org/dc/terms/" xmlns:xsi="http://www.w3.org/2001/XMLSchema-instance" xsi:type="dcterms:W3CDTF">2025-01-12T15:25:58Z</dcterms:modified>
</cp:coreProperties>
</file>