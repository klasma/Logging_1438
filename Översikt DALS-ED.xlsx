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45845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45845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45845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45845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45845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45845</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45845</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45845</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45845</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45845</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45845</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45845</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45845</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45845</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45845</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45845</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45845</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45845</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29675-2025</t>
        </is>
      </c>
      <c r="B20" s="1" t="n">
        <v>45825</v>
      </c>
      <c r="C20" s="1" t="n">
        <v>45845</v>
      </c>
      <c r="D20" t="inlineStr">
        <is>
          <t>VÄSTRA GÖTALANDS LÄN</t>
        </is>
      </c>
      <c r="E20" t="inlineStr">
        <is>
          <t>DALS-ED</t>
        </is>
      </c>
      <c r="G20" t="n">
        <v>13.5</v>
      </c>
      <c r="H20" t="n">
        <v>0</v>
      </c>
      <c r="I20" t="n">
        <v>4</v>
      </c>
      <c r="J20" t="n">
        <v>0</v>
      </c>
      <c r="K20" t="n">
        <v>0</v>
      </c>
      <c r="L20" t="n">
        <v>0</v>
      </c>
      <c r="M20" t="n">
        <v>0</v>
      </c>
      <c r="N20" t="n">
        <v>0</v>
      </c>
      <c r="O20" t="n">
        <v>0</v>
      </c>
      <c r="P20" t="n">
        <v>0</v>
      </c>
      <c r="Q20" t="n">
        <v>4</v>
      </c>
      <c r="R20" s="2" t="inlineStr">
        <is>
          <t>Bronshjon
Granbarkgnagare
Kattfotslav
Vågbandad barkbock</t>
        </is>
      </c>
      <c r="S20">
        <f>HYPERLINK("https://klasma.github.io/Logging_141438/artfynd/A 29675-2025 artfynd.xlsx", "A 29675-2025")</f>
        <v/>
      </c>
      <c r="T20">
        <f>HYPERLINK("https://klasma.github.io/Logging_141438/kartor/A 29675-2025 karta.png", "A 29675-2025")</f>
        <v/>
      </c>
      <c r="V20">
        <f>HYPERLINK("https://klasma.github.io/Logging_141438/klagomål/A 29675-2025 FSC-klagomål.docx", "A 29675-2025")</f>
        <v/>
      </c>
      <c r="W20">
        <f>HYPERLINK("https://klasma.github.io/Logging_141438/klagomålsmail/A 29675-2025 FSC-klagomål mail.docx", "A 29675-2025")</f>
        <v/>
      </c>
      <c r="X20">
        <f>HYPERLINK("https://klasma.github.io/Logging_141438/tillsyn/A 29675-2025 tillsynsbegäran.docx", "A 29675-2025")</f>
        <v/>
      </c>
      <c r="Y20">
        <f>HYPERLINK("https://klasma.github.io/Logging_141438/tillsynsmail/A 29675-2025 tillsynsbegäran mail.docx", "A 29675-2025")</f>
        <v/>
      </c>
    </row>
    <row r="21" ht="15" customHeight="1">
      <c r="A21" t="inlineStr">
        <is>
          <t>A 41152-2022</t>
        </is>
      </c>
      <c r="B21" s="1" t="n">
        <v>44825</v>
      </c>
      <c r="C21" s="1" t="n">
        <v>45845</v>
      </c>
      <c r="D21" t="inlineStr">
        <is>
          <t>VÄSTRA GÖTALANDS LÄN</t>
        </is>
      </c>
      <c r="E21" t="inlineStr">
        <is>
          <t>DALS-ED</t>
        </is>
      </c>
      <c r="G21" t="n">
        <v>1.8</v>
      </c>
      <c r="H21" t="n">
        <v>1</v>
      </c>
      <c r="I21" t="n">
        <v>3</v>
      </c>
      <c r="J21" t="n">
        <v>0</v>
      </c>
      <c r="K21" t="n">
        <v>0</v>
      </c>
      <c r="L21" t="n">
        <v>0</v>
      </c>
      <c r="M21" t="n">
        <v>0</v>
      </c>
      <c r="N21" t="n">
        <v>0</v>
      </c>
      <c r="O21" t="n">
        <v>0</v>
      </c>
      <c r="P21" t="n">
        <v>0</v>
      </c>
      <c r="Q21" t="n">
        <v>3</v>
      </c>
      <c r="R21" s="2" t="inlineStr">
        <is>
          <t>Blåmossa
Grön sköldmossa
Skuggsprötmossa</t>
        </is>
      </c>
      <c r="S21">
        <f>HYPERLINK("https://klasma.github.io/Logging_1438/artfynd/A 41152-2022 artfynd.xlsx", "A 41152-2022")</f>
        <v/>
      </c>
      <c r="T21">
        <f>HYPERLINK("https://klasma.github.io/Logging_1438/kartor/A 41152-2022 karta.png", "A 41152-2022")</f>
        <v/>
      </c>
      <c r="V21">
        <f>HYPERLINK("https://klasma.github.io/Logging_1438/klagomål/A 41152-2022 FSC-klagomål.docx", "A 41152-2022")</f>
        <v/>
      </c>
      <c r="W21">
        <f>HYPERLINK("https://klasma.github.io/Logging_1438/klagomålsmail/A 41152-2022 FSC-klagomål mail.docx", "A 41152-2022")</f>
        <v/>
      </c>
      <c r="X21">
        <f>HYPERLINK("https://klasma.github.io/Logging_1438/tillsyn/A 41152-2022 tillsynsbegäran.docx", "A 41152-2022")</f>
        <v/>
      </c>
      <c r="Y21">
        <f>HYPERLINK("https://klasma.github.io/Logging_1438/tillsynsmail/A 41152-2022 tillsynsbegäran mail.docx", "A 41152-2022")</f>
        <v/>
      </c>
    </row>
    <row r="22" ht="15" customHeight="1">
      <c r="A22" t="inlineStr">
        <is>
          <t>A 14555-2024</t>
        </is>
      </c>
      <c r="B22" s="1" t="n">
        <v>45394</v>
      </c>
      <c r="C22" s="1" t="n">
        <v>45845</v>
      </c>
      <c r="D22" t="inlineStr">
        <is>
          <t>VÄSTRA GÖTALANDS LÄN</t>
        </is>
      </c>
      <c r="E22" t="inlineStr">
        <is>
          <t>DALS-ED</t>
        </is>
      </c>
      <c r="G22" t="n">
        <v>11.9</v>
      </c>
      <c r="H22" t="n">
        <v>2</v>
      </c>
      <c r="I22" t="n">
        <v>0</v>
      </c>
      <c r="J22" t="n">
        <v>1</v>
      </c>
      <c r="K22" t="n">
        <v>0</v>
      </c>
      <c r="L22" t="n">
        <v>0</v>
      </c>
      <c r="M22" t="n">
        <v>0</v>
      </c>
      <c r="N22" t="n">
        <v>0</v>
      </c>
      <c r="O22" t="n">
        <v>1</v>
      </c>
      <c r="P22" t="n">
        <v>0</v>
      </c>
      <c r="Q22" t="n">
        <v>3</v>
      </c>
      <c r="R22" s="2" t="inlineStr">
        <is>
          <t>Garnlav
Orre
Tjäder</t>
        </is>
      </c>
      <c r="S22">
        <f>HYPERLINK("https://klasma.github.io/Logging_1438/artfynd/A 14555-2024 artfynd.xlsx", "A 14555-2024")</f>
        <v/>
      </c>
      <c r="T22">
        <f>HYPERLINK("https://klasma.github.io/Logging_1438/kartor/A 14555-2024 karta.png", "A 14555-2024")</f>
        <v/>
      </c>
      <c r="V22">
        <f>HYPERLINK("https://klasma.github.io/Logging_1438/klagomål/A 14555-2024 FSC-klagomål.docx", "A 14555-2024")</f>
        <v/>
      </c>
      <c r="W22">
        <f>HYPERLINK("https://klasma.github.io/Logging_1438/klagomålsmail/A 14555-2024 FSC-klagomål mail.docx", "A 14555-2024")</f>
        <v/>
      </c>
      <c r="X22">
        <f>HYPERLINK("https://klasma.github.io/Logging_1438/tillsyn/A 14555-2024 tillsynsbegäran.docx", "A 14555-2024")</f>
        <v/>
      </c>
      <c r="Y22">
        <f>HYPERLINK("https://klasma.github.io/Logging_1438/tillsynsmail/A 14555-2024 tillsynsbegäran mail.docx", "A 14555-2024")</f>
        <v/>
      </c>
      <c r="Z22">
        <f>HYPERLINK("https://klasma.github.io/Logging_1438/fåglar/A 14555-2024 prioriterade fågelarter.docx", "A 14555-2024")</f>
        <v/>
      </c>
    </row>
    <row r="23" ht="15" customHeight="1">
      <c r="A23" t="inlineStr">
        <is>
          <t>A 18328-2024</t>
        </is>
      </c>
      <c r="B23" s="1" t="n">
        <v>45422</v>
      </c>
      <c r="C23" s="1" t="n">
        <v>45845</v>
      </c>
      <c r="D23" t="inlineStr">
        <is>
          <t>VÄSTRA GÖTALANDS LÄN</t>
        </is>
      </c>
      <c r="E23" t="inlineStr">
        <is>
          <t>DALS-ED</t>
        </is>
      </c>
      <c r="G23" t="n">
        <v>2.1</v>
      </c>
      <c r="H23" t="n">
        <v>2</v>
      </c>
      <c r="I23" t="n">
        <v>1</v>
      </c>
      <c r="J23" t="n">
        <v>2</v>
      </c>
      <c r="K23" t="n">
        <v>0</v>
      </c>
      <c r="L23" t="n">
        <v>0</v>
      </c>
      <c r="M23" t="n">
        <v>0</v>
      </c>
      <c r="N23" t="n">
        <v>0</v>
      </c>
      <c r="O23" t="n">
        <v>2</v>
      </c>
      <c r="P23" t="n">
        <v>0</v>
      </c>
      <c r="Q23" t="n">
        <v>3</v>
      </c>
      <c r="R23" s="2" t="inlineStr">
        <is>
          <t>Spillkråka
Tretåig hackspett
Korallblylav</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23828-2024</t>
        </is>
      </c>
      <c r="B24" s="1" t="n">
        <v>45455</v>
      </c>
      <c r="C24" s="1" t="n">
        <v>45845</v>
      </c>
      <c r="D24" t="inlineStr">
        <is>
          <t>VÄSTRA GÖTALANDS LÄN</t>
        </is>
      </c>
      <c r="E24" t="inlineStr">
        <is>
          <t>DALS-ED</t>
        </is>
      </c>
      <c r="F24" t="inlineStr">
        <is>
          <t>Bergvik skog väst AB</t>
        </is>
      </c>
      <c r="G24" t="n">
        <v>6.6</v>
      </c>
      <c r="H24" t="n">
        <v>2</v>
      </c>
      <c r="I24" t="n">
        <v>1</v>
      </c>
      <c r="J24" t="n">
        <v>2</v>
      </c>
      <c r="K24" t="n">
        <v>0</v>
      </c>
      <c r="L24" t="n">
        <v>0</v>
      </c>
      <c r="M24" t="n">
        <v>0</v>
      </c>
      <c r="N24" t="n">
        <v>0</v>
      </c>
      <c r="O24" t="n">
        <v>2</v>
      </c>
      <c r="P24" t="n">
        <v>0</v>
      </c>
      <c r="Q24" t="n">
        <v>3</v>
      </c>
      <c r="R24" s="2" t="inlineStr">
        <is>
          <t>Spillkråka
Talltita
Blåmossa</t>
        </is>
      </c>
      <c r="S24">
        <f>HYPERLINK("https://klasma.github.io/Logging_1438/artfynd/A 23828-2024 artfynd.xlsx", "A 23828-2024")</f>
        <v/>
      </c>
      <c r="T24">
        <f>HYPERLINK("https://klasma.github.io/Logging_1438/kartor/A 23828-2024 karta.png", "A 23828-2024")</f>
        <v/>
      </c>
      <c r="V24">
        <f>HYPERLINK("https://klasma.github.io/Logging_1438/klagomål/A 23828-2024 FSC-klagomål.docx", "A 23828-2024")</f>
        <v/>
      </c>
      <c r="W24">
        <f>HYPERLINK("https://klasma.github.io/Logging_1438/klagomålsmail/A 23828-2024 FSC-klagomål mail.docx", "A 23828-2024")</f>
        <v/>
      </c>
      <c r="X24">
        <f>HYPERLINK("https://klasma.github.io/Logging_1438/tillsyn/A 23828-2024 tillsynsbegäran.docx", "A 23828-2024")</f>
        <v/>
      </c>
      <c r="Y24">
        <f>HYPERLINK("https://klasma.github.io/Logging_1438/tillsynsmail/A 23828-2024 tillsynsbegäran mail.docx", "A 23828-2024")</f>
        <v/>
      </c>
      <c r="Z24">
        <f>HYPERLINK("https://klasma.github.io/Logging_1438/fåglar/A 23828-2024 prioriterade fågelarter.docx", "A 23828-2024")</f>
        <v/>
      </c>
    </row>
    <row r="25" ht="15" customHeight="1">
      <c r="A25" t="inlineStr">
        <is>
          <t>A 2185-2022</t>
        </is>
      </c>
      <c r="B25" s="1" t="n">
        <v>44578</v>
      </c>
      <c r="C25" s="1" t="n">
        <v>45845</v>
      </c>
      <c r="D25" t="inlineStr">
        <is>
          <t>VÄSTRA GÖTALANDS LÄN</t>
        </is>
      </c>
      <c r="E25" t="inlineStr">
        <is>
          <t>DALS-ED</t>
        </is>
      </c>
      <c r="G25" t="n">
        <v>4.7</v>
      </c>
      <c r="H25" t="n">
        <v>1</v>
      </c>
      <c r="I25" t="n">
        <v>1</v>
      </c>
      <c r="J25" t="n">
        <v>1</v>
      </c>
      <c r="K25" t="n">
        <v>0</v>
      </c>
      <c r="L25" t="n">
        <v>0</v>
      </c>
      <c r="M25" t="n">
        <v>0</v>
      </c>
      <c r="N25" t="n">
        <v>0</v>
      </c>
      <c r="O25" t="n">
        <v>1</v>
      </c>
      <c r="P25" t="n">
        <v>0</v>
      </c>
      <c r="Q25" t="n">
        <v>2</v>
      </c>
      <c r="R25" s="2" t="inlineStr">
        <is>
          <t>Spillkråka
Dropptaggsvamp</t>
        </is>
      </c>
      <c r="S25">
        <f>HYPERLINK("https://klasma.github.io/Logging_1438/artfynd/A 2185-2022 artfynd.xlsx", "A 2185-2022")</f>
        <v/>
      </c>
      <c r="T25">
        <f>HYPERLINK("https://klasma.github.io/Logging_1438/kartor/A 2185-2022 karta.png", "A 2185-2022")</f>
        <v/>
      </c>
      <c r="V25">
        <f>HYPERLINK("https://klasma.github.io/Logging_1438/klagomål/A 2185-2022 FSC-klagomål.docx", "A 2185-2022")</f>
        <v/>
      </c>
      <c r="W25">
        <f>HYPERLINK("https://klasma.github.io/Logging_1438/klagomålsmail/A 2185-2022 FSC-klagomål mail.docx", "A 2185-2022")</f>
        <v/>
      </c>
      <c r="X25">
        <f>HYPERLINK("https://klasma.github.io/Logging_1438/tillsyn/A 2185-2022 tillsynsbegäran.docx", "A 2185-2022")</f>
        <v/>
      </c>
      <c r="Y25">
        <f>HYPERLINK("https://klasma.github.io/Logging_1438/tillsynsmail/A 2185-2022 tillsynsbegäran mail.docx", "A 2185-2022")</f>
        <v/>
      </c>
      <c r="Z25">
        <f>HYPERLINK("https://klasma.github.io/Logging_1438/fåglar/A 2185-2022 prioriterade fågelarter.docx", "A 2185-2022")</f>
        <v/>
      </c>
    </row>
    <row r="26" ht="15" customHeight="1">
      <c r="A26" t="inlineStr">
        <is>
          <t>A 6378-2022</t>
        </is>
      </c>
      <c r="B26" s="1" t="n">
        <v>44600</v>
      </c>
      <c r="C26" s="1" t="n">
        <v>45845</v>
      </c>
      <c r="D26" t="inlineStr">
        <is>
          <t>VÄSTRA GÖTALANDS LÄN</t>
        </is>
      </c>
      <c r="E26" t="inlineStr">
        <is>
          <t>DALS-ED</t>
        </is>
      </c>
      <c r="F26" t="inlineStr">
        <is>
          <t>Kyrkan</t>
        </is>
      </c>
      <c r="G26" t="n">
        <v>9</v>
      </c>
      <c r="H26" t="n">
        <v>2</v>
      </c>
      <c r="I26" t="n">
        <v>0</v>
      </c>
      <c r="J26" t="n">
        <v>0</v>
      </c>
      <c r="K26" t="n">
        <v>1</v>
      </c>
      <c r="L26" t="n">
        <v>0</v>
      </c>
      <c r="M26" t="n">
        <v>0</v>
      </c>
      <c r="N26" t="n">
        <v>0</v>
      </c>
      <c r="O26" t="n">
        <v>1</v>
      </c>
      <c r="P26" t="n">
        <v>1</v>
      </c>
      <c r="Q26" t="n">
        <v>2</v>
      </c>
      <c r="R26" s="2" t="inlineStr">
        <is>
          <t>Knärot
Blåsippa</t>
        </is>
      </c>
      <c r="S26">
        <f>HYPERLINK("https://klasma.github.io/Logging_1438/artfynd/A 6378-2022 artfynd.xlsx", "A 6378-2022")</f>
        <v/>
      </c>
      <c r="T26">
        <f>HYPERLINK("https://klasma.github.io/Logging_1438/kartor/A 6378-2022 karta.png", "A 6378-2022")</f>
        <v/>
      </c>
      <c r="U26">
        <f>HYPERLINK("https://klasma.github.io/Logging_1438/knärot/A 6378-2022 karta knärot.png", "A 6378-2022")</f>
        <v/>
      </c>
      <c r="V26">
        <f>HYPERLINK("https://klasma.github.io/Logging_1438/klagomål/A 6378-2022 FSC-klagomål.docx", "A 6378-2022")</f>
        <v/>
      </c>
      <c r="W26">
        <f>HYPERLINK("https://klasma.github.io/Logging_1438/klagomålsmail/A 6378-2022 FSC-klagomål mail.docx", "A 6378-2022")</f>
        <v/>
      </c>
      <c r="X26">
        <f>HYPERLINK("https://klasma.github.io/Logging_1438/tillsyn/A 6378-2022 tillsynsbegäran.docx", "A 6378-2022")</f>
        <v/>
      </c>
      <c r="Y26">
        <f>HYPERLINK("https://klasma.github.io/Logging_1438/tillsynsmail/A 6378-2022 tillsynsbegäran mail.docx", "A 6378-2022")</f>
        <v/>
      </c>
    </row>
    <row r="27" ht="15" customHeight="1">
      <c r="A27" t="inlineStr">
        <is>
          <t>A 6454-2022</t>
        </is>
      </c>
      <c r="B27" s="1" t="n">
        <v>44601</v>
      </c>
      <c r="C27" s="1" t="n">
        <v>45845</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45845</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43908-2024</t>
        </is>
      </c>
      <c r="B29" s="1" t="n">
        <v>45572</v>
      </c>
      <c r="C29" s="1" t="n">
        <v>45845</v>
      </c>
      <c r="D29" t="inlineStr">
        <is>
          <t>VÄSTRA GÖTALANDS LÄN</t>
        </is>
      </c>
      <c r="E29" t="inlineStr">
        <is>
          <t>DALS-ED</t>
        </is>
      </c>
      <c r="G29" t="n">
        <v>6.7</v>
      </c>
      <c r="H29" t="n">
        <v>2</v>
      </c>
      <c r="I29" t="n">
        <v>0</v>
      </c>
      <c r="J29" t="n">
        <v>1</v>
      </c>
      <c r="K29" t="n">
        <v>0</v>
      </c>
      <c r="L29" t="n">
        <v>0</v>
      </c>
      <c r="M29" t="n">
        <v>0</v>
      </c>
      <c r="N29" t="n">
        <v>0</v>
      </c>
      <c r="O29" t="n">
        <v>1</v>
      </c>
      <c r="P29" t="n">
        <v>0</v>
      </c>
      <c r="Q29" t="n">
        <v>2</v>
      </c>
      <c r="R29" s="2" t="inlineStr">
        <is>
          <t>Spillkråka
Revlummer</t>
        </is>
      </c>
      <c r="S29">
        <f>HYPERLINK("https://klasma.github.io/Logging_1438/artfynd/A 43908-2024 artfynd.xlsx", "A 43908-2024")</f>
        <v/>
      </c>
      <c r="T29">
        <f>HYPERLINK("https://klasma.github.io/Logging_1438/kartor/A 43908-2024 karta.png", "A 43908-2024")</f>
        <v/>
      </c>
      <c r="V29">
        <f>HYPERLINK("https://klasma.github.io/Logging_1438/klagomål/A 43908-2024 FSC-klagomål.docx", "A 43908-2024")</f>
        <v/>
      </c>
      <c r="W29">
        <f>HYPERLINK("https://klasma.github.io/Logging_1438/klagomålsmail/A 43908-2024 FSC-klagomål mail.docx", "A 43908-2024")</f>
        <v/>
      </c>
      <c r="X29">
        <f>HYPERLINK("https://klasma.github.io/Logging_1438/tillsyn/A 43908-2024 tillsynsbegäran.docx", "A 43908-2024")</f>
        <v/>
      </c>
      <c r="Y29">
        <f>HYPERLINK("https://klasma.github.io/Logging_1438/tillsynsmail/A 43908-2024 tillsynsbegäran mail.docx", "A 43908-2024")</f>
        <v/>
      </c>
      <c r="Z29">
        <f>HYPERLINK("https://klasma.github.io/Logging_1438/fåglar/A 43908-2024 prioriterade fågelarter.docx", "A 43908-2024")</f>
        <v/>
      </c>
    </row>
    <row r="30" ht="15" customHeight="1">
      <c r="A30" t="inlineStr">
        <is>
          <t>A 47665-2024</t>
        </is>
      </c>
      <c r="B30" s="1" t="n">
        <v>45588</v>
      </c>
      <c r="C30" s="1" t="n">
        <v>45845</v>
      </c>
      <c r="D30" t="inlineStr">
        <is>
          <t>VÄSTRA GÖTALANDS LÄN</t>
        </is>
      </c>
      <c r="E30" t="inlineStr">
        <is>
          <t>DALS-ED</t>
        </is>
      </c>
      <c r="G30" t="n">
        <v>6</v>
      </c>
      <c r="H30" t="n">
        <v>2</v>
      </c>
      <c r="I30" t="n">
        <v>0</v>
      </c>
      <c r="J30" t="n">
        <v>2</v>
      </c>
      <c r="K30" t="n">
        <v>0</v>
      </c>
      <c r="L30" t="n">
        <v>0</v>
      </c>
      <c r="M30" t="n">
        <v>0</v>
      </c>
      <c r="N30" t="n">
        <v>0</v>
      </c>
      <c r="O30" t="n">
        <v>2</v>
      </c>
      <c r="P30" t="n">
        <v>0</v>
      </c>
      <c r="Q30" t="n">
        <v>2</v>
      </c>
      <c r="R30" s="2" t="inlineStr">
        <is>
          <t>Spillkråka
Tretåig hackspett</t>
        </is>
      </c>
      <c r="S30">
        <f>HYPERLINK("https://klasma.github.io/Logging_1438/artfynd/A 47665-2024 artfynd.xlsx", "A 47665-2024")</f>
        <v/>
      </c>
      <c r="T30">
        <f>HYPERLINK("https://klasma.github.io/Logging_1438/kartor/A 47665-2024 karta.png", "A 47665-2024")</f>
        <v/>
      </c>
      <c r="V30">
        <f>HYPERLINK("https://klasma.github.io/Logging_1438/klagomål/A 47665-2024 FSC-klagomål.docx", "A 47665-2024")</f>
        <v/>
      </c>
      <c r="W30">
        <f>HYPERLINK("https://klasma.github.io/Logging_1438/klagomålsmail/A 47665-2024 FSC-klagomål mail.docx", "A 47665-2024")</f>
        <v/>
      </c>
      <c r="X30">
        <f>HYPERLINK("https://klasma.github.io/Logging_1438/tillsyn/A 47665-2024 tillsynsbegäran.docx", "A 47665-2024")</f>
        <v/>
      </c>
      <c r="Y30">
        <f>HYPERLINK("https://klasma.github.io/Logging_1438/tillsynsmail/A 47665-2024 tillsynsbegäran mail.docx", "A 47665-2024")</f>
        <v/>
      </c>
      <c r="Z30">
        <f>HYPERLINK("https://klasma.github.io/Logging_1438/fåglar/A 47665-2024 prioriterade fågelarter.docx", "A 47665-2024")</f>
        <v/>
      </c>
    </row>
    <row r="31" ht="15" customHeight="1">
      <c r="A31" t="inlineStr">
        <is>
          <t>A 59166-2024</t>
        </is>
      </c>
      <c r="B31" s="1" t="n">
        <v>45637</v>
      </c>
      <c r="C31" s="1" t="n">
        <v>45845</v>
      </c>
      <c r="D31" t="inlineStr">
        <is>
          <t>VÄSTRA GÖTALANDS LÄN</t>
        </is>
      </c>
      <c r="E31" t="inlineStr">
        <is>
          <t>DALS-ED</t>
        </is>
      </c>
      <c r="G31" t="n">
        <v>3.4</v>
      </c>
      <c r="H31" t="n">
        <v>0</v>
      </c>
      <c r="I31" t="n">
        <v>1</v>
      </c>
      <c r="J31" t="n">
        <v>1</v>
      </c>
      <c r="K31" t="n">
        <v>0</v>
      </c>
      <c r="L31" t="n">
        <v>0</v>
      </c>
      <c r="M31" t="n">
        <v>0</v>
      </c>
      <c r="N31" t="n">
        <v>0</v>
      </c>
      <c r="O31" t="n">
        <v>1</v>
      </c>
      <c r="P31" t="n">
        <v>0</v>
      </c>
      <c r="Q31" t="n">
        <v>2</v>
      </c>
      <c r="R31" s="2" t="inlineStr">
        <is>
          <t>Vitplätt
Jättesvampmal</t>
        </is>
      </c>
      <c r="S31">
        <f>HYPERLINK("https://klasma.github.io/Logging_1438/artfynd/A 59166-2024 artfynd.xlsx", "A 59166-2024")</f>
        <v/>
      </c>
      <c r="T31">
        <f>HYPERLINK("https://klasma.github.io/Logging_1438/kartor/A 59166-2024 karta.png", "A 59166-2024")</f>
        <v/>
      </c>
      <c r="V31">
        <f>HYPERLINK("https://klasma.github.io/Logging_1438/klagomål/A 59166-2024 FSC-klagomål.docx", "A 59166-2024")</f>
        <v/>
      </c>
      <c r="W31">
        <f>HYPERLINK("https://klasma.github.io/Logging_1438/klagomålsmail/A 59166-2024 FSC-klagomål mail.docx", "A 59166-2024")</f>
        <v/>
      </c>
      <c r="X31">
        <f>HYPERLINK("https://klasma.github.io/Logging_1438/tillsyn/A 59166-2024 tillsynsbegäran.docx", "A 59166-2024")</f>
        <v/>
      </c>
      <c r="Y31">
        <f>HYPERLINK("https://klasma.github.io/Logging_1438/tillsynsmail/A 59166-2024 tillsynsbegäran mail.docx", "A 59166-2024")</f>
        <v/>
      </c>
    </row>
    <row r="32" ht="15" customHeight="1">
      <c r="A32" t="inlineStr">
        <is>
          <t>A 28013-2025</t>
        </is>
      </c>
      <c r="B32" s="1" t="n">
        <v>45817</v>
      </c>
      <c r="C32" s="1" t="n">
        <v>45845</v>
      </c>
      <c r="D32" t="inlineStr">
        <is>
          <t>VÄSTRA GÖTALANDS LÄN</t>
        </is>
      </c>
      <c r="E32" t="inlineStr">
        <is>
          <t>DALS-ED</t>
        </is>
      </c>
      <c r="G32" t="n">
        <v>6.5</v>
      </c>
      <c r="H32" t="n">
        <v>0</v>
      </c>
      <c r="I32" t="n">
        <v>1</v>
      </c>
      <c r="J32" t="n">
        <v>1</v>
      </c>
      <c r="K32" t="n">
        <v>0</v>
      </c>
      <c r="L32" t="n">
        <v>0</v>
      </c>
      <c r="M32" t="n">
        <v>0</v>
      </c>
      <c r="N32" t="n">
        <v>0</v>
      </c>
      <c r="O32" t="n">
        <v>1</v>
      </c>
      <c r="P32" t="n">
        <v>0</v>
      </c>
      <c r="Q32" t="n">
        <v>2</v>
      </c>
      <c r="R32" s="2" t="inlineStr">
        <is>
          <t>Kådvaxskinn
Jättesvampmal</t>
        </is>
      </c>
      <c r="S32">
        <f>HYPERLINK("https://klasma.github.io/Logging_141438/artfynd/A 28013-2025 artfynd.xlsx", "A 28013-2025")</f>
        <v/>
      </c>
      <c r="T32">
        <f>HYPERLINK("https://klasma.github.io/Logging_141438/kartor/A 28013-2025 karta.png", "A 28013-2025")</f>
        <v/>
      </c>
      <c r="V32">
        <f>HYPERLINK("https://klasma.github.io/Logging_141438/klagomål/A 28013-2025 FSC-klagomål.docx", "A 28013-2025")</f>
        <v/>
      </c>
      <c r="W32">
        <f>HYPERLINK("https://klasma.github.io/Logging_141438/klagomålsmail/A 28013-2025 FSC-klagomål mail.docx", "A 28013-2025")</f>
        <v/>
      </c>
      <c r="X32">
        <f>HYPERLINK("https://klasma.github.io/Logging_141438/tillsyn/A 28013-2025 tillsynsbegäran.docx", "A 28013-2025")</f>
        <v/>
      </c>
      <c r="Y32">
        <f>HYPERLINK("https://klasma.github.io/Logging_141438/tillsynsmail/A 28013-2025 tillsynsbegäran mail.docx", "A 28013-2025")</f>
        <v/>
      </c>
    </row>
    <row r="33" ht="15" customHeight="1">
      <c r="A33" t="inlineStr">
        <is>
          <t>A 48070-2019</t>
        </is>
      </c>
      <c r="B33" s="1" t="n">
        <v>43725</v>
      </c>
      <c r="C33" s="1" t="n">
        <v>45845</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45845</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45845</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45845</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45845</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45845</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45845</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45845</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45845</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45845</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45845</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45845</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45845</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45845</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45845</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45845</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45845</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45845</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45845</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45845</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45845</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45845</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45845</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45845</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45845</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45845</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45845</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45845</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45845</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45845</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45845</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45845</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45845</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45845</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45845</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45845</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45845</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45845</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45845</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45845</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45845</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45845</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45845</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45845</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45845</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45845</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45845</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45845</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45845</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45845</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45845</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45845</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45845</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45845</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45845</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45845</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45845</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45845</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45845</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45845</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45845</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45845</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45845</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45845</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45845</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45845</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45845</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45845</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45845</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45845</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45845</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45845</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45845</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45845</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45845</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45845</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45845</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45845</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45845</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45845</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45845</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45845</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45845</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45845</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45845</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45845</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45845</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45845</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45845</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45845</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45845</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45845</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45845</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45845</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45845</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45845</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45845</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45845</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45845</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45845</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45845</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45845</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45845</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45845</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45845</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45845</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45845</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45845</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45845</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45845</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45845</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45845</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45845</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45845</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45845</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45845</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45845</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45845</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45845</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45845</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45845</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45845</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45845</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45845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45845</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45845</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45845</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45845</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45845</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45845</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45845</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45845</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45845</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45845</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45845</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45845</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45845</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45845</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45845</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45845</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45845</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45845</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45845</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45845</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45845</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45845</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45845</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45845</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45845</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45845</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45845</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45845</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45845</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45845</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45845</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45845</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45845</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45845</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45845</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45845</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45845</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45845</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45845</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45845</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45845</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45845</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45845</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45845</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45845</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45845</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45845</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45845</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45845</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45845</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45845</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45845</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45845</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45845</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45845</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45845</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45845</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45845</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45845</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45845</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45845</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45845</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45845</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45845</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45845</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45845</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45845</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45845</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45845</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45845</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45845</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45845</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45845</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45845</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45845</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45845</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45845</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45845</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45845</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45845</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45845</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45845</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45845</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45845</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45845</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45845</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45845</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45845</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45845</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45845</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45845</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45845</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45845</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45845</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45845</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45845</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45845</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45845</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45845</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45845</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45845</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45845</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45845</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45845</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45845</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45845</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45845</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45845</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45845</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45845</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45845</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45845</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45845</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45845</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45845</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45845</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45845</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45845</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45845</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45845</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45845</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45845</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45845</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45845</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45845</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45845</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45845</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45845</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45845</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45845</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45845</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45845</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45845</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45845</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45845</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45845</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45845</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45845</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45845</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45845</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45845</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45845</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45845</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45845</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45845</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45845</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45845</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45845</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45845</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45845</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45845</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45845</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45845</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45845</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45845</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45845</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45845</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45845</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45845</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45845</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45845</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45845</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45845</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45845</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45845</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45845</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45845</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45845</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45845</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45845</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45845</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45845</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45845</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45845</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45845</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45845</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45845</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45845</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45845</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45845</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45845</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45845</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45845</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45845</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45845</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45845</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45845</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45845</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45845</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45845</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45845</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45845</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45845</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45845</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45845</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45845</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45845</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45845</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45845</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45845</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45845</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45845</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45845</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45845</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45845</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45845</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45845</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45845</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45845</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45845</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45845</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45845</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45845</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45845</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45845</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45845</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45845</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45845</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45845</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45845</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45845</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45845</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45845</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45845</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45845</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45845</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45845</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45845</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45845</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45845</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45845</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45845</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45845</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45845</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45845</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45845</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45845</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45845</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45845</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45845</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45845</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45845</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45845</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45845</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45845</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45845</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45845</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45845</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45845</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45845</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45845</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45845</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45845</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45845</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45845</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45845</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45845</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45845</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45845</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45845</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45845</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45845</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45845</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45845</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45845</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45845</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45845</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45845</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45845</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45845</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45845</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45845</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45845</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45845</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45845</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45845</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45845</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45845</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45845</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45845</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45845</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45845</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45845</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45845</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45845</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45845</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45845</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45845</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45845</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45845</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45845</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45845</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45845</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45845</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45845</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45845</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45845</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45845</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45845</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45845</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45845</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45845</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45845</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45845</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45845</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45845</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45845</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45845</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45845</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45845</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45845</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45845</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45845</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45845</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45845</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45845</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45845</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45845</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45845</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45845</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45845</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45845</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45845</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45845</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45845</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45845</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45845</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45845</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45845</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45845</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45845</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45845</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45845</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45845</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45845</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45845</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45845</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45845</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45845</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45845</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45845</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45845</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45845</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45845</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45845</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45845</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45845</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45845</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45845</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45845</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45845</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45845</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45845</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45845</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45845</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45845</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45845</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45845</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45845</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45845</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45845</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45845</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45845</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45845</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45845</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45845</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45845</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45845</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45845</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45845</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45845</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45845</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45845</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45845</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45845</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45845</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45845</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45845</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45845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45845</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45845</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45845</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45845</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45845</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45845</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45845</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45845</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45845</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45845</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45845</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45845</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45845</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45845</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45845</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45845</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45845</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45845</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45845</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45845</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45845</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45845</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45845</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45845</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45845</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45845</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45845</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45845</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45845</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45845</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45845</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45845</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45845</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45845</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45845</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45845</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45845</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45845</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45845</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45845</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45845</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45845</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45845</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45845</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45845</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45845</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45845</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45845</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45845</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45845</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45845</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45845</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45845</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45845</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45845</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45845</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45845</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45845</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45845</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45845</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45845</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45845</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45845</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45845</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45845</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45845</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45845</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45845</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45845</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45845</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45845</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45845</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45845</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45845</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45845</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45845</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45845</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45845</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45845</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45845</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45845</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45845</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45845</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45845</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45845</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45845</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45845</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45845</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45845</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45845</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45845</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45845</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45845</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45845</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45845</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45845</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45845</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45845</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45845</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45845</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45845</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45845</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45845</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45845</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45845</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45845</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45845</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45845</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45845</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45845</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45845</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45845</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45845</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45845</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45845</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45845</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45845</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45845</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45845</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45845</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45845</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45845</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45845</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45845</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45845</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45845</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45845</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45845</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45845</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45845</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45845</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45845</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45845</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45845</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45845</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45845</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45845</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45845</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45845</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45845</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45845</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45845</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45845</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45845</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45845</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45845</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45845</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45845</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45845</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45845</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45845</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45845</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45845</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45845</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45845</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45845</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45845</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45845</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45845</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45845</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45845</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45845</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45845</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45845</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45845</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45845</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45845</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45845</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45845</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45845</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45845</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45845</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45845</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45845</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45845</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45845</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45845</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45845</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45845</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45845</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45845</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45845</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45845</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45845</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45845</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45845</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45845</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45845</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45845</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45845</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45845</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45845</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45845</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45845</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45845</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45845</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45845</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45845</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45845</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45845</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45845</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45845</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45845</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45845</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45845</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45845</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45845</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45845</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45845</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45845</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45845</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45845</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45845</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45845</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45845</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45845</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45845</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45845</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45845</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45845</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45845</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45845</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45845</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45845</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45845</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45845</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45845</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45845</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45845</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45845</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45845</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45845</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45845</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45845</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45845</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45845</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45845</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45845</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45845</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45845</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45845</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45845</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45845</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45845</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45845</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45845</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45845</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45845</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45845</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45845</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45845</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45845</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45845</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45845</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45845</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45845</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45845</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45845</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45845</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45845</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45845</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45845</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45845</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45845</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45845</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45845</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45845</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45845</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45845</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45845</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45845</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45845</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45845</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45845</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45845</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45845</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45845</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29556-2025</t>
        </is>
      </c>
      <c r="B813" s="1" t="n">
        <v>45825</v>
      </c>
      <c r="C813" s="1" t="n">
        <v>45845</v>
      </c>
      <c r="D813" t="inlineStr">
        <is>
          <t>VÄSTRA GÖTALANDS LÄN</t>
        </is>
      </c>
      <c r="E813" t="inlineStr">
        <is>
          <t>DALS-ED</t>
        </is>
      </c>
      <c r="G813" t="n">
        <v>5.9</v>
      </c>
      <c r="H813" t="n">
        <v>0</v>
      </c>
      <c r="I813" t="n">
        <v>0</v>
      </c>
      <c r="J813" t="n">
        <v>0</v>
      </c>
      <c r="K813" t="n">
        <v>0</v>
      </c>
      <c r="L813" t="n">
        <v>0</v>
      </c>
      <c r="M813" t="n">
        <v>0</v>
      </c>
      <c r="N813" t="n">
        <v>0</v>
      </c>
      <c r="O813" t="n">
        <v>0</v>
      </c>
      <c r="P813" t="n">
        <v>0</v>
      </c>
      <c r="Q813" t="n">
        <v>0</v>
      </c>
      <c r="R813" s="2" t="inlineStr"/>
    </row>
    <row r="814" ht="15" customHeight="1">
      <c r="A814" t="inlineStr">
        <is>
          <t>A 29692-2025</t>
        </is>
      </c>
      <c r="B814" s="1" t="n">
        <v>45825</v>
      </c>
      <c r="C814" s="1" t="n">
        <v>45845</v>
      </c>
      <c r="D814" t="inlineStr">
        <is>
          <t>VÄSTRA GÖTALANDS LÄN</t>
        </is>
      </c>
      <c r="E814" t="inlineStr">
        <is>
          <t>DALS-ED</t>
        </is>
      </c>
      <c r="G814" t="n">
        <v>2.3</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45845</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45845</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45845</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45845</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45845</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31750-2025</t>
        </is>
      </c>
      <c r="B820" s="1" t="n">
        <v>45834</v>
      </c>
      <c r="C820" s="1" t="n">
        <v>45845</v>
      </c>
      <c r="D820" t="inlineStr">
        <is>
          <t>VÄSTRA GÖTALANDS LÄN</t>
        </is>
      </c>
      <c r="E820" t="inlineStr">
        <is>
          <t>DALS-ED</t>
        </is>
      </c>
      <c r="G820" t="n">
        <v>1.1</v>
      </c>
      <c r="H820" t="n">
        <v>0</v>
      </c>
      <c r="I820" t="n">
        <v>0</v>
      </c>
      <c r="J820" t="n">
        <v>0</v>
      </c>
      <c r="K820" t="n">
        <v>0</v>
      </c>
      <c r="L820" t="n">
        <v>0</v>
      </c>
      <c r="M820" t="n">
        <v>0</v>
      </c>
      <c r="N820" t="n">
        <v>0</v>
      </c>
      <c r="O820" t="n">
        <v>0</v>
      </c>
      <c r="P820" t="n">
        <v>0</v>
      </c>
      <c r="Q820" t="n">
        <v>0</v>
      </c>
      <c r="R820" s="2" t="inlineStr"/>
    </row>
    <row r="821" ht="15" customHeight="1">
      <c r="A821" t="inlineStr">
        <is>
          <t>A 31732-2025</t>
        </is>
      </c>
      <c r="B821" s="1" t="n">
        <v>45834</v>
      </c>
      <c r="C821" s="1" t="n">
        <v>45845</v>
      </c>
      <c r="D821" t="inlineStr">
        <is>
          <t>VÄSTRA GÖTALANDS LÄN</t>
        </is>
      </c>
      <c r="E821" t="inlineStr">
        <is>
          <t>DALS-ED</t>
        </is>
      </c>
      <c r="G821" t="n">
        <v>2</v>
      </c>
      <c r="H821" t="n">
        <v>0</v>
      </c>
      <c r="I821" t="n">
        <v>0</v>
      </c>
      <c r="J821" t="n">
        <v>0</v>
      </c>
      <c r="K821" t="n">
        <v>0</v>
      </c>
      <c r="L821" t="n">
        <v>0</v>
      </c>
      <c r="M821" t="n">
        <v>0</v>
      </c>
      <c r="N821" t="n">
        <v>0</v>
      </c>
      <c r="O821" t="n">
        <v>0</v>
      </c>
      <c r="P821" t="n">
        <v>0</v>
      </c>
      <c r="Q821" t="n">
        <v>0</v>
      </c>
      <c r="R821" s="2" t="inlineStr"/>
    </row>
    <row r="822" ht="15" customHeight="1">
      <c r="A822" t="inlineStr">
        <is>
          <t>A 31746-2025</t>
        </is>
      </c>
      <c r="B822" s="1" t="n">
        <v>45834</v>
      </c>
      <c r="C822" s="1" t="n">
        <v>45845</v>
      </c>
      <c r="D822" t="inlineStr">
        <is>
          <t>VÄSTRA GÖTALANDS LÄN</t>
        </is>
      </c>
      <c r="E822" t="inlineStr">
        <is>
          <t>DALS-ED</t>
        </is>
      </c>
      <c r="G822" t="n">
        <v>0.8</v>
      </c>
      <c r="H822" t="n">
        <v>0</v>
      </c>
      <c r="I822" t="n">
        <v>0</v>
      </c>
      <c r="J822" t="n">
        <v>0</v>
      </c>
      <c r="K822" t="n">
        <v>0</v>
      </c>
      <c r="L822" t="n">
        <v>0</v>
      </c>
      <c r="M822" t="n">
        <v>0</v>
      </c>
      <c r="N822" t="n">
        <v>0</v>
      </c>
      <c r="O822" t="n">
        <v>0</v>
      </c>
      <c r="P822" t="n">
        <v>0</v>
      </c>
      <c r="Q822" t="n">
        <v>0</v>
      </c>
      <c r="R822" s="2" t="inlineStr"/>
    </row>
    <row r="823" ht="15" customHeight="1">
      <c r="A823" t="inlineStr">
        <is>
          <t>A 31871-2025</t>
        </is>
      </c>
      <c r="B823" s="1" t="n">
        <v>45834</v>
      </c>
      <c r="C823" s="1" t="n">
        <v>45845</v>
      </c>
      <c r="D823" t="inlineStr">
        <is>
          <t>VÄSTRA GÖTALANDS LÄN</t>
        </is>
      </c>
      <c r="E823" t="inlineStr">
        <is>
          <t>DALS-ED</t>
        </is>
      </c>
      <c r="G823" t="n">
        <v>7.1</v>
      </c>
      <c r="H823" t="n">
        <v>0</v>
      </c>
      <c r="I823" t="n">
        <v>0</v>
      </c>
      <c r="J823" t="n">
        <v>0</v>
      </c>
      <c r="K823" t="n">
        <v>0</v>
      </c>
      <c r="L823" t="n">
        <v>0</v>
      </c>
      <c r="M823" t="n">
        <v>0</v>
      </c>
      <c r="N823" t="n">
        <v>0</v>
      </c>
      <c r="O823" t="n">
        <v>0</v>
      </c>
      <c r="P823" t="n">
        <v>0</v>
      </c>
      <c r="Q823" t="n">
        <v>0</v>
      </c>
      <c r="R823" s="2" t="inlineStr"/>
    </row>
    <row r="824" ht="15" customHeight="1">
      <c r="A824" t="inlineStr">
        <is>
          <t>A 31867-2025</t>
        </is>
      </c>
      <c r="B824" s="1" t="n">
        <v>45834</v>
      </c>
      <c r="C824" s="1" t="n">
        <v>45845</v>
      </c>
      <c r="D824" t="inlineStr">
        <is>
          <t>VÄSTRA GÖTALANDS LÄN</t>
        </is>
      </c>
      <c r="E824" t="inlineStr">
        <is>
          <t>DALS-ED</t>
        </is>
      </c>
      <c r="G824" t="n">
        <v>3.6</v>
      </c>
      <c r="H824" t="n">
        <v>0</v>
      </c>
      <c r="I824" t="n">
        <v>0</v>
      </c>
      <c r="J824" t="n">
        <v>0</v>
      </c>
      <c r="K824" t="n">
        <v>0</v>
      </c>
      <c r="L824" t="n">
        <v>0</v>
      </c>
      <c r="M824" t="n">
        <v>0</v>
      </c>
      <c r="N824" t="n">
        <v>0</v>
      </c>
      <c r="O824" t="n">
        <v>0</v>
      </c>
      <c r="P824" t="n">
        <v>0</v>
      </c>
      <c r="Q824" t="n">
        <v>0</v>
      </c>
      <c r="R824" s="2" t="inlineStr"/>
    </row>
    <row r="825" ht="15" customHeight="1">
      <c r="A825" t="inlineStr">
        <is>
          <t>A 31879-2025</t>
        </is>
      </c>
      <c r="B825" s="1" t="n">
        <v>45834</v>
      </c>
      <c r="C825" s="1" t="n">
        <v>45845</v>
      </c>
      <c r="D825" t="inlineStr">
        <is>
          <t>VÄSTRA GÖTALANDS LÄN</t>
        </is>
      </c>
      <c r="E825" t="inlineStr">
        <is>
          <t>DALS-ED</t>
        </is>
      </c>
      <c r="G825" t="n">
        <v>4.3</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45845</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45845</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45845</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c r="A829" t="inlineStr">
        <is>
          <t>A 33967-2025</t>
        </is>
      </c>
      <c r="B829" s="1" t="n">
        <v>45842</v>
      </c>
      <c r="C829" s="1" t="n">
        <v>45845</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2025-07-07T19:42:50Z</dcterms:created>
  <dcterms:modified xmlns:dcterms="http://purl.org/dc/terms/" xmlns:xsi="http://www.w3.org/2001/XMLSchema-instance" xsi:type="dcterms:W3CDTF">2025-07-07T19:42:51Z</dcterms:modified>
</cp:coreProperties>
</file>