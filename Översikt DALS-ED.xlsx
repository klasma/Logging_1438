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45358</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45358</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45358</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45358</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45358</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45358</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45358</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45358</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45358</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45358</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48654-2021</t>
        </is>
      </c>
      <c r="B13" s="1" t="n">
        <v>44452</v>
      </c>
      <c r="C13" s="1" t="n">
        <v>45358</v>
      </c>
      <c r="D13" t="inlineStr">
        <is>
          <t>VÄSTRA GÖTALANDS LÄN</t>
        </is>
      </c>
      <c r="E13" t="inlineStr">
        <is>
          <t>DALS-ED</t>
        </is>
      </c>
      <c r="G13" t="n">
        <v>3</v>
      </c>
      <c r="H13" t="n">
        <v>1</v>
      </c>
      <c r="I13" t="n">
        <v>0</v>
      </c>
      <c r="J13" t="n">
        <v>0</v>
      </c>
      <c r="K13" t="n">
        <v>1</v>
      </c>
      <c r="L13" t="n">
        <v>0</v>
      </c>
      <c r="M13" t="n">
        <v>0</v>
      </c>
      <c r="N13" t="n">
        <v>0</v>
      </c>
      <c r="O13" t="n">
        <v>1</v>
      </c>
      <c r="P13" t="n">
        <v>1</v>
      </c>
      <c r="Q13" t="n">
        <v>1</v>
      </c>
      <c r="R13" s="2" t="inlineStr">
        <is>
          <t>Knärot</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row>
    <row r="14" ht="15" customHeight="1">
      <c r="A14" t="inlineStr">
        <is>
          <t>A 6378-2022</t>
        </is>
      </c>
      <c r="B14" s="1" t="n">
        <v>44600</v>
      </c>
      <c r="C14" s="1" t="n">
        <v>45358</v>
      </c>
      <c r="D14" t="inlineStr">
        <is>
          <t>VÄSTRA GÖTALANDS LÄN</t>
        </is>
      </c>
      <c r="E14" t="inlineStr">
        <is>
          <t>DALS-ED</t>
        </is>
      </c>
      <c r="F14" t="inlineStr">
        <is>
          <t>Kyrkan</t>
        </is>
      </c>
      <c r="G14" t="n">
        <v>9</v>
      </c>
      <c r="H14" t="n">
        <v>1</v>
      </c>
      <c r="I14" t="n">
        <v>0</v>
      </c>
      <c r="J14" t="n">
        <v>0</v>
      </c>
      <c r="K14" t="n">
        <v>1</v>
      </c>
      <c r="L14" t="n">
        <v>0</v>
      </c>
      <c r="M14" t="n">
        <v>0</v>
      </c>
      <c r="N14" t="n">
        <v>0</v>
      </c>
      <c r="O14" t="n">
        <v>1</v>
      </c>
      <c r="P14" t="n">
        <v>1</v>
      </c>
      <c r="Q14" t="n">
        <v>1</v>
      </c>
      <c r="R14" s="2" t="inlineStr">
        <is>
          <t>Knärot</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40355-2022</t>
        </is>
      </c>
      <c r="B15" s="1" t="n">
        <v>44818</v>
      </c>
      <c r="C15" s="1" t="n">
        <v>45358</v>
      </c>
      <c r="D15" t="inlineStr">
        <is>
          <t>VÄSTRA GÖTALANDS LÄN</t>
        </is>
      </c>
      <c r="E15" t="inlineStr">
        <is>
          <t>DALS-ED</t>
        </is>
      </c>
      <c r="F15" t="inlineStr">
        <is>
          <t>Kyrkan</t>
        </is>
      </c>
      <c r="G15" t="n">
        <v>4.2</v>
      </c>
      <c r="H15" t="n">
        <v>0</v>
      </c>
      <c r="I15" t="n">
        <v>0</v>
      </c>
      <c r="J15" t="n">
        <v>0</v>
      </c>
      <c r="K15" t="n">
        <v>0</v>
      </c>
      <c r="L15" t="n">
        <v>1</v>
      </c>
      <c r="M15" t="n">
        <v>0</v>
      </c>
      <c r="N15" t="n">
        <v>0</v>
      </c>
      <c r="O15" t="n">
        <v>1</v>
      </c>
      <c r="P15" t="n">
        <v>1</v>
      </c>
      <c r="Q15" t="n">
        <v>1</v>
      </c>
      <c r="R15" s="2" t="inlineStr">
        <is>
          <t>Kantlök</t>
        </is>
      </c>
      <c r="S15">
        <f>HYPERLINK("https://klasma.github.io/Logging_1438/artfynd/A 40355-2022 artfynd.xlsx", "A 40355-2022")</f>
        <v/>
      </c>
      <c r="T15">
        <f>HYPERLINK("https://klasma.github.io/Logging_1438/kartor/A 40355-2022 karta.png", "A 40355-2022")</f>
        <v/>
      </c>
      <c r="V15">
        <f>HYPERLINK("https://klasma.github.io/Logging_1438/klagomål/A 40355-2022 FSC-klagomål.docx", "A 40355-2022")</f>
        <v/>
      </c>
      <c r="W15">
        <f>HYPERLINK("https://klasma.github.io/Logging_1438/klagomålsmail/A 40355-2022 FSC-klagomål mail.docx", "A 40355-2022")</f>
        <v/>
      </c>
      <c r="X15">
        <f>HYPERLINK("https://klasma.github.io/Logging_1438/tillsyn/A 40355-2022 tillsynsbegäran.docx", "A 40355-2022")</f>
        <v/>
      </c>
      <c r="Y15">
        <f>HYPERLINK("https://klasma.github.io/Logging_1438/tillsynsmail/A 40355-2022 tillsynsbegäran mail.docx", "A 40355-2022")</f>
        <v/>
      </c>
    </row>
    <row r="16" ht="15" customHeight="1">
      <c r="A16" t="inlineStr">
        <is>
          <t>A 4113-2023</t>
        </is>
      </c>
      <c r="B16" s="1" t="n">
        <v>44952</v>
      </c>
      <c r="C16" s="1" t="n">
        <v>45358</v>
      </c>
      <c r="D16" t="inlineStr">
        <is>
          <t>VÄSTRA GÖTALANDS LÄN</t>
        </is>
      </c>
      <c r="E16" t="inlineStr">
        <is>
          <t>DALS-ED</t>
        </is>
      </c>
      <c r="G16" t="n">
        <v>7.9</v>
      </c>
      <c r="H16" t="n">
        <v>0</v>
      </c>
      <c r="I16" t="n">
        <v>0</v>
      </c>
      <c r="J16" t="n">
        <v>0</v>
      </c>
      <c r="K16" t="n">
        <v>1</v>
      </c>
      <c r="L16" t="n">
        <v>0</v>
      </c>
      <c r="M16" t="n">
        <v>0</v>
      </c>
      <c r="N16" t="n">
        <v>0</v>
      </c>
      <c r="O16" t="n">
        <v>1</v>
      </c>
      <c r="P16" t="n">
        <v>1</v>
      </c>
      <c r="Q16" t="n">
        <v>1</v>
      </c>
      <c r="R16" s="2" t="inlineStr">
        <is>
          <t>Slåttergubbe</t>
        </is>
      </c>
      <c r="S16">
        <f>HYPERLINK("https://klasma.github.io/Logging_1438/artfynd/A 4113-2023 artfynd.xlsx", "A 4113-2023")</f>
        <v/>
      </c>
      <c r="T16">
        <f>HYPERLINK("https://klasma.github.io/Logging_1438/kartor/A 4113-2023 karta.png", "A 4113-2023")</f>
        <v/>
      </c>
      <c r="V16">
        <f>HYPERLINK("https://klasma.github.io/Logging_1438/klagomål/A 4113-2023 FSC-klagomål.docx", "A 4113-2023")</f>
        <v/>
      </c>
      <c r="W16">
        <f>HYPERLINK("https://klasma.github.io/Logging_1438/klagomålsmail/A 4113-2023 FSC-klagomål mail.docx", "A 4113-2023")</f>
        <v/>
      </c>
      <c r="X16">
        <f>HYPERLINK("https://klasma.github.io/Logging_1438/tillsyn/A 4113-2023 tillsynsbegäran.docx", "A 4113-2023")</f>
        <v/>
      </c>
      <c r="Y16">
        <f>HYPERLINK("https://klasma.github.io/Logging_1438/tillsynsmail/A 4113-2023 tillsynsbegäran mail.docx", "A 4113-2023")</f>
        <v/>
      </c>
    </row>
    <row r="17" ht="15" customHeight="1">
      <c r="A17" t="inlineStr">
        <is>
          <t>A 32284-2023</t>
        </is>
      </c>
      <c r="B17" s="1" t="n">
        <v>45120</v>
      </c>
      <c r="C17" s="1" t="n">
        <v>45358</v>
      </c>
      <c r="D17" t="inlineStr">
        <is>
          <t>VÄSTRA GÖTALANDS LÄN</t>
        </is>
      </c>
      <c r="E17" t="inlineStr">
        <is>
          <t>DALS-ED</t>
        </is>
      </c>
      <c r="G17" t="n">
        <v>3.9</v>
      </c>
      <c r="H17" t="n">
        <v>0</v>
      </c>
      <c r="I17" t="n">
        <v>0</v>
      </c>
      <c r="J17" t="n">
        <v>1</v>
      </c>
      <c r="K17" t="n">
        <v>0</v>
      </c>
      <c r="L17" t="n">
        <v>0</v>
      </c>
      <c r="M17" t="n">
        <v>0</v>
      </c>
      <c r="N17" t="n">
        <v>0</v>
      </c>
      <c r="O17" t="n">
        <v>1</v>
      </c>
      <c r="P17" t="n">
        <v>0</v>
      </c>
      <c r="Q17" t="n">
        <v>1</v>
      </c>
      <c r="R17" s="2" t="inlineStr">
        <is>
          <t>Mindre bastardsvärmare</t>
        </is>
      </c>
      <c r="S17">
        <f>HYPERLINK("https://klasma.github.io/Logging_1438/artfynd/A 32284-2023 artfynd.xlsx", "A 32284-2023")</f>
        <v/>
      </c>
      <c r="T17">
        <f>HYPERLINK("https://klasma.github.io/Logging_1438/kartor/A 32284-2023 karta.png", "A 32284-2023")</f>
        <v/>
      </c>
      <c r="V17">
        <f>HYPERLINK("https://klasma.github.io/Logging_1438/klagomål/A 32284-2023 FSC-klagomål.docx", "A 32284-2023")</f>
        <v/>
      </c>
      <c r="W17">
        <f>HYPERLINK("https://klasma.github.io/Logging_1438/klagomålsmail/A 32284-2023 FSC-klagomål mail.docx", "A 32284-2023")</f>
        <v/>
      </c>
      <c r="X17">
        <f>HYPERLINK("https://klasma.github.io/Logging_1438/tillsyn/A 32284-2023 tillsynsbegäran.docx", "A 32284-2023")</f>
        <v/>
      </c>
      <c r="Y17">
        <f>HYPERLINK("https://klasma.github.io/Logging_1438/tillsynsmail/A 32284-2023 tillsynsbegäran mail.docx", "A 32284-2023")</f>
        <v/>
      </c>
    </row>
    <row r="18" ht="15" customHeight="1">
      <c r="A18" t="inlineStr">
        <is>
          <t>A 7801-2024</t>
        </is>
      </c>
      <c r="B18" s="1" t="n">
        <v>45349</v>
      </c>
      <c r="C18" s="1" t="n">
        <v>45358</v>
      </c>
      <c r="D18" t="inlineStr">
        <is>
          <t>VÄSTRA GÖTALANDS LÄN</t>
        </is>
      </c>
      <c r="E18" t="inlineStr">
        <is>
          <t>DALS-ED</t>
        </is>
      </c>
      <c r="G18" t="n">
        <v>4.7</v>
      </c>
      <c r="H18" t="n">
        <v>1</v>
      </c>
      <c r="I18" t="n">
        <v>0</v>
      </c>
      <c r="J18" t="n">
        <v>0</v>
      </c>
      <c r="K18" t="n">
        <v>1</v>
      </c>
      <c r="L18" t="n">
        <v>0</v>
      </c>
      <c r="M18" t="n">
        <v>0</v>
      </c>
      <c r="N18" t="n">
        <v>0</v>
      </c>
      <c r="O18" t="n">
        <v>1</v>
      </c>
      <c r="P18" t="n">
        <v>1</v>
      </c>
      <c r="Q18" t="n">
        <v>1</v>
      </c>
      <c r="R18" s="2" t="inlineStr">
        <is>
          <t>Knärot</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row>
    <row r="19" ht="15" customHeight="1">
      <c r="A19" t="inlineStr">
        <is>
          <t>A 34500-2018</t>
        </is>
      </c>
      <c r="B19" s="1" t="n">
        <v>43319</v>
      </c>
      <c r="C19" s="1" t="n">
        <v>45358</v>
      </c>
      <c r="D19" t="inlineStr">
        <is>
          <t>VÄSTRA GÖTALANDS LÄN</t>
        </is>
      </c>
      <c r="E19" t="inlineStr">
        <is>
          <t>DALS-ED</t>
        </is>
      </c>
      <c r="G19" t="n">
        <v>11.5</v>
      </c>
      <c r="H19" t="n">
        <v>0</v>
      </c>
      <c r="I19" t="n">
        <v>0</v>
      </c>
      <c r="J19" t="n">
        <v>0</v>
      </c>
      <c r="K19" t="n">
        <v>0</v>
      </c>
      <c r="L19" t="n">
        <v>0</v>
      </c>
      <c r="M19" t="n">
        <v>0</v>
      </c>
      <c r="N19" t="n">
        <v>0</v>
      </c>
      <c r="O19" t="n">
        <v>0</v>
      </c>
      <c r="P19" t="n">
        <v>0</v>
      </c>
      <c r="Q19" t="n">
        <v>0</v>
      </c>
      <c r="R19" s="2" t="inlineStr"/>
    </row>
    <row r="20" ht="15" customHeight="1">
      <c r="A20" t="inlineStr">
        <is>
          <t>A 34883-2018</t>
        </is>
      </c>
      <c r="B20" s="1" t="n">
        <v>43321</v>
      </c>
      <c r="C20" s="1" t="n">
        <v>45358</v>
      </c>
      <c r="D20" t="inlineStr">
        <is>
          <t>VÄSTRA GÖTALANDS LÄN</t>
        </is>
      </c>
      <c r="E20" t="inlineStr">
        <is>
          <t>DALS-ED</t>
        </is>
      </c>
      <c r="G20" t="n">
        <v>2.6</v>
      </c>
      <c r="H20" t="n">
        <v>0</v>
      </c>
      <c r="I20" t="n">
        <v>0</v>
      </c>
      <c r="J20" t="n">
        <v>0</v>
      </c>
      <c r="K20" t="n">
        <v>0</v>
      </c>
      <c r="L20" t="n">
        <v>0</v>
      </c>
      <c r="M20" t="n">
        <v>0</v>
      </c>
      <c r="N20" t="n">
        <v>0</v>
      </c>
      <c r="O20" t="n">
        <v>0</v>
      </c>
      <c r="P20" t="n">
        <v>0</v>
      </c>
      <c r="Q20" t="n">
        <v>0</v>
      </c>
      <c r="R20" s="2" t="inlineStr"/>
    </row>
    <row r="21" ht="15" customHeight="1">
      <c r="A21" t="inlineStr">
        <is>
          <t>A 36272-2018</t>
        </is>
      </c>
      <c r="B21" s="1" t="n">
        <v>43327</v>
      </c>
      <c r="C21" s="1" t="n">
        <v>45358</v>
      </c>
      <c r="D21" t="inlineStr">
        <is>
          <t>VÄSTRA GÖTALANDS LÄN</t>
        </is>
      </c>
      <c r="E21" t="inlineStr">
        <is>
          <t>DALS-ED</t>
        </is>
      </c>
      <c r="F21" t="inlineStr">
        <is>
          <t>Kyrkan</t>
        </is>
      </c>
      <c r="G21" t="n">
        <v>4.9</v>
      </c>
      <c r="H21" t="n">
        <v>0</v>
      </c>
      <c r="I21" t="n">
        <v>0</v>
      </c>
      <c r="J21" t="n">
        <v>0</v>
      </c>
      <c r="K21" t="n">
        <v>0</v>
      </c>
      <c r="L21" t="n">
        <v>0</v>
      </c>
      <c r="M21" t="n">
        <v>0</v>
      </c>
      <c r="N21" t="n">
        <v>0</v>
      </c>
      <c r="O21" t="n">
        <v>0</v>
      </c>
      <c r="P21" t="n">
        <v>0</v>
      </c>
      <c r="Q21" t="n">
        <v>0</v>
      </c>
      <c r="R21" s="2" t="inlineStr"/>
    </row>
    <row r="22" ht="15" customHeight="1">
      <c r="A22" t="inlineStr">
        <is>
          <t>A 42585-2018</t>
        </is>
      </c>
      <c r="B22" s="1" t="n">
        <v>43350</v>
      </c>
      <c r="C22" s="1" t="n">
        <v>45358</v>
      </c>
      <c r="D22" t="inlineStr">
        <is>
          <t>VÄSTRA GÖTALANDS LÄN</t>
        </is>
      </c>
      <c r="E22" t="inlineStr">
        <is>
          <t>DALS-ED</t>
        </is>
      </c>
      <c r="G22" t="n">
        <v>2.1</v>
      </c>
      <c r="H22" t="n">
        <v>0</v>
      </c>
      <c r="I22" t="n">
        <v>0</v>
      </c>
      <c r="J22" t="n">
        <v>0</v>
      </c>
      <c r="K22" t="n">
        <v>0</v>
      </c>
      <c r="L22" t="n">
        <v>0</v>
      </c>
      <c r="M22" t="n">
        <v>0</v>
      </c>
      <c r="N22" t="n">
        <v>0</v>
      </c>
      <c r="O22" t="n">
        <v>0</v>
      </c>
      <c r="P22" t="n">
        <v>0</v>
      </c>
      <c r="Q22" t="n">
        <v>0</v>
      </c>
      <c r="R22" s="2" t="inlineStr"/>
    </row>
    <row r="23" ht="15" customHeight="1">
      <c r="A23" t="inlineStr">
        <is>
          <t>A 52851-2018</t>
        </is>
      </c>
      <c r="B23" s="1" t="n">
        <v>43384</v>
      </c>
      <c r="C23" s="1" t="n">
        <v>45358</v>
      </c>
      <c r="D23" t="inlineStr">
        <is>
          <t>VÄSTRA GÖTALANDS LÄN</t>
        </is>
      </c>
      <c r="E23" t="inlineStr">
        <is>
          <t>DALS-ED</t>
        </is>
      </c>
      <c r="G23" t="n">
        <v>0.8</v>
      </c>
      <c r="H23" t="n">
        <v>0</v>
      </c>
      <c r="I23" t="n">
        <v>0</v>
      </c>
      <c r="J23" t="n">
        <v>0</v>
      </c>
      <c r="K23" t="n">
        <v>0</v>
      </c>
      <c r="L23" t="n">
        <v>0</v>
      </c>
      <c r="M23" t="n">
        <v>0</v>
      </c>
      <c r="N23" t="n">
        <v>0</v>
      </c>
      <c r="O23" t="n">
        <v>0</v>
      </c>
      <c r="P23" t="n">
        <v>0</v>
      </c>
      <c r="Q23" t="n">
        <v>0</v>
      </c>
      <c r="R23" s="2" t="inlineStr"/>
    </row>
    <row r="24" ht="15" customHeight="1">
      <c r="A24" t="inlineStr">
        <is>
          <t>A 55191-2018</t>
        </is>
      </c>
      <c r="B24" s="1" t="n">
        <v>43396</v>
      </c>
      <c r="C24" s="1" t="n">
        <v>45358</v>
      </c>
      <c r="D24" t="inlineStr">
        <is>
          <t>VÄSTRA GÖTALANDS LÄN</t>
        </is>
      </c>
      <c r="E24" t="inlineStr">
        <is>
          <t>DALS-ED</t>
        </is>
      </c>
      <c r="G24" t="n">
        <v>2.8</v>
      </c>
      <c r="H24" t="n">
        <v>0</v>
      </c>
      <c r="I24" t="n">
        <v>0</v>
      </c>
      <c r="J24" t="n">
        <v>0</v>
      </c>
      <c r="K24" t="n">
        <v>0</v>
      </c>
      <c r="L24" t="n">
        <v>0</v>
      </c>
      <c r="M24" t="n">
        <v>0</v>
      </c>
      <c r="N24" t="n">
        <v>0</v>
      </c>
      <c r="O24" t="n">
        <v>0</v>
      </c>
      <c r="P24" t="n">
        <v>0</v>
      </c>
      <c r="Q24" t="n">
        <v>0</v>
      </c>
      <c r="R24" s="2" t="inlineStr"/>
    </row>
    <row r="25" ht="15" customHeight="1">
      <c r="A25" t="inlineStr">
        <is>
          <t>A 63036-2018</t>
        </is>
      </c>
      <c r="B25" s="1" t="n">
        <v>43418</v>
      </c>
      <c r="C25" s="1" t="n">
        <v>45358</v>
      </c>
      <c r="D25" t="inlineStr">
        <is>
          <t>VÄSTRA GÖTALANDS LÄN</t>
        </is>
      </c>
      <c r="E25" t="inlineStr">
        <is>
          <t>DALS-ED</t>
        </is>
      </c>
      <c r="G25" t="n">
        <v>6.4</v>
      </c>
      <c r="H25" t="n">
        <v>0</v>
      </c>
      <c r="I25" t="n">
        <v>0</v>
      </c>
      <c r="J25" t="n">
        <v>0</v>
      </c>
      <c r="K25" t="n">
        <v>0</v>
      </c>
      <c r="L25" t="n">
        <v>0</v>
      </c>
      <c r="M25" t="n">
        <v>0</v>
      </c>
      <c r="N25" t="n">
        <v>0</v>
      </c>
      <c r="O25" t="n">
        <v>0</v>
      </c>
      <c r="P25" t="n">
        <v>0</v>
      </c>
      <c r="Q25" t="n">
        <v>0</v>
      </c>
      <c r="R25" s="2" t="inlineStr"/>
    </row>
    <row r="26" ht="15" customHeight="1">
      <c r="A26" t="inlineStr">
        <is>
          <t>A 59462-2018</t>
        </is>
      </c>
      <c r="B26" s="1" t="n">
        <v>43419</v>
      </c>
      <c r="C26" s="1" t="n">
        <v>45358</v>
      </c>
      <c r="D26" t="inlineStr">
        <is>
          <t>VÄSTRA GÖTALANDS LÄN</t>
        </is>
      </c>
      <c r="E26" t="inlineStr">
        <is>
          <t>DALS-ED</t>
        </is>
      </c>
      <c r="G26" t="n">
        <v>1</v>
      </c>
      <c r="H26" t="n">
        <v>0</v>
      </c>
      <c r="I26" t="n">
        <v>0</v>
      </c>
      <c r="J26" t="n">
        <v>0</v>
      </c>
      <c r="K26" t="n">
        <v>0</v>
      </c>
      <c r="L26" t="n">
        <v>0</v>
      </c>
      <c r="M26" t="n">
        <v>0</v>
      </c>
      <c r="N26" t="n">
        <v>0</v>
      </c>
      <c r="O26" t="n">
        <v>0</v>
      </c>
      <c r="P26" t="n">
        <v>0</v>
      </c>
      <c r="Q26" t="n">
        <v>0</v>
      </c>
      <c r="R26" s="2" t="inlineStr"/>
    </row>
    <row r="27" ht="15" customHeight="1">
      <c r="A27" t="inlineStr">
        <is>
          <t>A 64602-2018</t>
        </is>
      </c>
      <c r="B27" s="1" t="n">
        <v>43420</v>
      </c>
      <c r="C27" s="1" t="n">
        <v>45358</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61073-2018</t>
        </is>
      </c>
      <c r="B28" s="1" t="n">
        <v>43423</v>
      </c>
      <c r="C28" s="1" t="n">
        <v>45358</v>
      </c>
      <c r="D28" t="inlineStr">
        <is>
          <t>VÄSTRA GÖTALANDS LÄN</t>
        </is>
      </c>
      <c r="E28" t="inlineStr">
        <is>
          <t>DALS-ED</t>
        </is>
      </c>
      <c r="G28" t="n">
        <v>3.3</v>
      </c>
      <c r="H28" t="n">
        <v>0</v>
      </c>
      <c r="I28" t="n">
        <v>0</v>
      </c>
      <c r="J28" t="n">
        <v>0</v>
      </c>
      <c r="K28" t="n">
        <v>0</v>
      </c>
      <c r="L28" t="n">
        <v>0</v>
      </c>
      <c r="M28" t="n">
        <v>0</v>
      </c>
      <c r="N28" t="n">
        <v>0</v>
      </c>
      <c r="O28" t="n">
        <v>0</v>
      </c>
      <c r="P28" t="n">
        <v>0</v>
      </c>
      <c r="Q28" t="n">
        <v>0</v>
      </c>
      <c r="R28" s="2" t="inlineStr"/>
    </row>
    <row r="29" ht="15" customHeight="1">
      <c r="A29" t="inlineStr">
        <is>
          <t>A 61340-2018</t>
        </is>
      </c>
      <c r="B29" s="1" t="n">
        <v>43424</v>
      </c>
      <c r="C29" s="1" t="n">
        <v>45358</v>
      </c>
      <c r="D29" t="inlineStr">
        <is>
          <t>VÄSTRA GÖTALANDS LÄN</t>
        </is>
      </c>
      <c r="E29" t="inlineStr">
        <is>
          <t>DALS-ED</t>
        </is>
      </c>
      <c r="G29" t="n">
        <v>0.8</v>
      </c>
      <c r="H29" t="n">
        <v>0</v>
      </c>
      <c r="I29" t="n">
        <v>0</v>
      </c>
      <c r="J29" t="n">
        <v>0</v>
      </c>
      <c r="K29" t="n">
        <v>0</v>
      </c>
      <c r="L29" t="n">
        <v>0</v>
      </c>
      <c r="M29" t="n">
        <v>0</v>
      </c>
      <c r="N29" t="n">
        <v>0</v>
      </c>
      <c r="O29" t="n">
        <v>0</v>
      </c>
      <c r="P29" t="n">
        <v>0</v>
      </c>
      <c r="Q29" t="n">
        <v>0</v>
      </c>
      <c r="R29" s="2" t="inlineStr"/>
    </row>
    <row r="30" ht="15" customHeight="1">
      <c r="A30" t="inlineStr">
        <is>
          <t>A 61682-2018</t>
        </is>
      </c>
      <c r="B30" s="1" t="n">
        <v>43425</v>
      </c>
      <c r="C30" s="1" t="n">
        <v>45358</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62892-2018</t>
        </is>
      </c>
      <c r="B31" s="1" t="n">
        <v>43426</v>
      </c>
      <c r="C31" s="1" t="n">
        <v>45358</v>
      </c>
      <c r="D31" t="inlineStr">
        <is>
          <t>VÄSTRA GÖTALANDS LÄN</t>
        </is>
      </c>
      <c r="E31" t="inlineStr">
        <is>
          <t>DALS-ED</t>
        </is>
      </c>
      <c r="G31" t="n">
        <v>3.2</v>
      </c>
      <c r="H31" t="n">
        <v>0</v>
      </c>
      <c r="I31" t="n">
        <v>0</v>
      </c>
      <c r="J31" t="n">
        <v>0</v>
      </c>
      <c r="K31" t="n">
        <v>0</v>
      </c>
      <c r="L31" t="n">
        <v>0</v>
      </c>
      <c r="M31" t="n">
        <v>0</v>
      </c>
      <c r="N31" t="n">
        <v>0</v>
      </c>
      <c r="O31" t="n">
        <v>0</v>
      </c>
      <c r="P31" t="n">
        <v>0</v>
      </c>
      <c r="Q31" t="n">
        <v>0</v>
      </c>
      <c r="R31" s="2" t="inlineStr"/>
    </row>
    <row r="32" ht="15" customHeight="1">
      <c r="A32" t="inlineStr">
        <is>
          <t>A 62895-2018</t>
        </is>
      </c>
      <c r="B32" s="1" t="n">
        <v>43426</v>
      </c>
      <c r="C32" s="1" t="n">
        <v>45358</v>
      </c>
      <c r="D32" t="inlineStr">
        <is>
          <t>VÄSTRA GÖTALANDS LÄN</t>
        </is>
      </c>
      <c r="E32" t="inlineStr">
        <is>
          <t>DALS-ED</t>
        </is>
      </c>
      <c r="G32" t="n">
        <v>3.8</v>
      </c>
      <c r="H32" t="n">
        <v>0</v>
      </c>
      <c r="I32" t="n">
        <v>0</v>
      </c>
      <c r="J32" t="n">
        <v>0</v>
      </c>
      <c r="K32" t="n">
        <v>0</v>
      </c>
      <c r="L32" t="n">
        <v>0</v>
      </c>
      <c r="M32" t="n">
        <v>0</v>
      </c>
      <c r="N32" t="n">
        <v>0</v>
      </c>
      <c r="O32" t="n">
        <v>0</v>
      </c>
      <c r="P32" t="n">
        <v>0</v>
      </c>
      <c r="Q32" t="n">
        <v>0</v>
      </c>
      <c r="R32" s="2" t="inlineStr"/>
    </row>
    <row r="33" ht="15" customHeight="1">
      <c r="A33" t="inlineStr">
        <is>
          <t>A 67739-2018</t>
        </is>
      </c>
      <c r="B33" s="1" t="n">
        <v>43434</v>
      </c>
      <c r="C33" s="1" t="n">
        <v>45358</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67546-2018</t>
        </is>
      </c>
      <c r="B34" s="1" t="n">
        <v>43439</v>
      </c>
      <c r="C34" s="1" t="n">
        <v>45358</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69144-2018</t>
        </is>
      </c>
      <c r="B35" s="1" t="n">
        <v>43441</v>
      </c>
      <c r="C35" s="1" t="n">
        <v>45358</v>
      </c>
      <c r="D35" t="inlineStr">
        <is>
          <t>VÄSTRA GÖTALANDS LÄN</t>
        </is>
      </c>
      <c r="E35" t="inlineStr">
        <is>
          <t>DALS-ED</t>
        </is>
      </c>
      <c r="F35" t="inlineStr">
        <is>
          <t>Bergvik skog väst AB</t>
        </is>
      </c>
      <c r="G35" t="n">
        <v>11.5</v>
      </c>
      <c r="H35" t="n">
        <v>0</v>
      </c>
      <c r="I35" t="n">
        <v>0</v>
      </c>
      <c r="J35" t="n">
        <v>0</v>
      </c>
      <c r="K35" t="n">
        <v>0</v>
      </c>
      <c r="L35" t="n">
        <v>0</v>
      </c>
      <c r="M35" t="n">
        <v>0</v>
      </c>
      <c r="N35" t="n">
        <v>0</v>
      </c>
      <c r="O35" t="n">
        <v>0</v>
      </c>
      <c r="P35" t="n">
        <v>0</v>
      </c>
      <c r="Q35" t="n">
        <v>0</v>
      </c>
      <c r="R35" s="2" t="inlineStr"/>
    </row>
    <row r="36" ht="15" customHeight="1">
      <c r="A36" t="inlineStr">
        <is>
          <t>A 70759-2018</t>
        </is>
      </c>
      <c r="B36" s="1" t="n">
        <v>43451</v>
      </c>
      <c r="C36" s="1" t="n">
        <v>45358</v>
      </c>
      <c r="D36" t="inlineStr">
        <is>
          <t>VÄSTRA GÖTALANDS LÄN</t>
        </is>
      </c>
      <c r="E36" t="inlineStr">
        <is>
          <t>DALS-ED</t>
        </is>
      </c>
      <c r="G36" t="n">
        <v>0.4</v>
      </c>
      <c r="H36" t="n">
        <v>0</v>
      </c>
      <c r="I36" t="n">
        <v>0</v>
      </c>
      <c r="J36" t="n">
        <v>0</v>
      </c>
      <c r="K36" t="n">
        <v>0</v>
      </c>
      <c r="L36" t="n">
        <v>0</v>
      </c>
      <c r="M36" t="n">
        <v>0</v>
      </c>
      <c r="N36" t="n">
        <v>0</v>
      </c>
      <c r="O36" t="n">
        <v>0</v>
      </c>
      <c r="P36" t="n">
        <v>0</v>
      </c>
      <c r="Q36" t="n">
        <v>0</v>
      </c>
      <c r="R36" s="2" t="inlineStr"/>
    </row>
    <row r="37" ht="15" customHeight="1">
      <c r="A37" t="inlineStr">
        <is>
          <t>A 70860-2018</t>
        </is>
      </c>
      <c r="B37" s="1" t="n">
        <v>43452</v>
      </c>
      <c r="C37" s="1" t="n">
        <v>45358</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72427-2018</t>
        </is>
      </c>
      <c r="B38" s="1" t="n">
        <v>43453</v>
      </c>
      <c r="C38" s="1" t="n">
        <v>45358</v>
      </c>
      <c r="D38" t="inlineStr">
        <is>
          <t>VÄSTRA GÖTALANDS LÄN</t>
        </is>
      </c>
      <c r="E38" t="inlineStr">
        <is>
          <t>DALS-ED</t>
        </is>
      </c>
      <c r="G38" t="n">
        <v>6.3</v>
      </c>
      <c r="H38" t="n">
        <v>0</v>
      </c>
      <c r="I38" t="n">
        <v>0</v>
      </c>
      <c r="J38" t="n">
        <v>0</v>
      </c>
      <c r="K38" t="n">
        <v>0</v>
      </c>
      <c r="L38" t="n">
        <v>0</v>
      </c>
      <c r="M38" t="n">
        <v>0</v>
      </c>
      <c r="N38" t="n">
        <v>0</v>
      </c>
      <c r="O38" t="n">
        <v>0</v>
      </c>
      <c r="P38" t="n">
        <v>0</v>
      </c>
      <c r="Q38" t="n">
        <v>0</v>
      </c>
      <c r="R38" s="2" t="inlineStr"/>
    </row>
    <row r="39" ht="15" customHeight="1">
      <c r="A39" t="inlineStr">
        <is>
          <t>A 72421-2018</t>
        </is>
      </c>
      <c r="B39" s="1" t="n">
        <v>43453</v>
      </c>
      <c r="C39" s="1" t="n">
        <v>45358</v>
      </c>
      <c r="D39" t="inlineStr">
        <is>
          <t>VÄSTRA GÖTALANDS LÄN</t>
        </is>
      </c>
      <c r="E39" t="inlineStr">
        <is>
          <t>DALS-ED</t>
        </is>
      </c>
      <c r="G39" t="n">
        <v>1</v>
      </c>
      <c r="H39" t="n">
        <v>0</v>
      </c>
      <c r="I39" t="n">
        <v>0</v>
      </c>
      <c r="J39" t="n">
        <v>0</v>
      </c>
      <c r="K39" t="n">
        <v>0</v>
      </c>
      <c r="L39" t="n">
        <v>0</v>
      </c>
      <c r="M39" t="n">
        <v>0</v>
      </c>
      <c r="N39" t="n">
        <v>0</v>
      </c>
      <c r="O39" t="n">
        <v>0</v>
      </c>
      <c r="P39" t="n">
        <v>0</v>
      </c>
      <c r="Q39" t="n">
        <v>0</v>
      </c>
      <c r="R39" s="2" t="inlineStr"/>
    </row>
    <row r="40" ht="15" customHeight="1">
      <c r="A40" t="inlineStr">
        <is>
          <t>A 72434-2018</t>
        </is>
      </c>
      <c r="B40" s="1" t="n">
        <v>43453</v>
      </c>
      <c r="C40" s="1" t="n">
        <v>45358</v>
      </c>
      <c r="D40" t="inlineStr">
        <is>
          <t>VÄSTRA GÖTALANDS LÄN</t>
        </is>
      </c>
      <c r="E40" t="inlineStr">
        <is>
          <t>DALS-ED</t>
        </is>
      </c>
      <c r="G40" t="n">
        <v>2</v>
      </c>
      <c r="H40" t="n">
        <v>0</v>
      </c>
      <c r="I40" t="n">
        <v>0</v>
      </c>
      <c r="J40" t="n">
        <v>0</v>
      </c>
      <c r="K40" t="n">
        <v>0</v>
      </c>
      <c r="L40" t="n">
        <v>0</v>
      </c>
      <c r="M40" t="n">
        <v>0</v>
      </c>
      <c r="N40" t="n">
        <v>0</v>
      </c>
      <c r="O40" t="n">
        <v>0</v>
      </c>
      <c r="P40" t="n">
        <v>0</v>
      </c>
      <c r="Q40" t="n">
        <v>0</v>
      </c>
      <c r="R40" s="2" t="inlineStr"/>
    </row>
    <row r="41" ht="15" customHeight="1">
      <c r="A41" t="inlineStr">
        <is>
          <t>A 72655-2018</t>
        </is>
      </c>
      <c r="B41" s="1" t="n">
        <v>43465</v>
      </c>
      <c r="C41" s="1" t="n">
        <v>45358</v>
      </c>
      <c r="D41" t="inlineStr">
        <is>
          <t>VÄSTRA GÖTALANDS LÄN</t>
        </is>
      </c>
      <c r="E41" t="inlineStr">
        <is>
          <t>DALS-ED</t>
        </is>
      </c>
      <c r="G41" t="n">
        <v>3.8</v>
      </c>
      <c r="H41" t="n">
        <v>0</v>
      </c>
      <c r="I41" t="n">
        <v>0</v>
      </c>
      <c r="J41" t="n">
        <v>0</v>
      </c>
      <c r="K41" t="n">
        <v>0</v>
      </c>
      <c r="L41" t="n">
        <v>0</v>
      </c>
      <c r="M41" t="n">
        <v>0</v>
      </c>
      <c r="N41" t="n">
        <v>0</v>
      </c>
      <c r="O41" t="n">
        <v>0</v>
      </c>
      <c r="P41" t="n">
        <v>0</v>
      </c>
      <c r="Q41" t="n">
        <v>0</v>
      </c>
      <c r="R41" s="2" t="inlineStr"/>
    </row>
    <row r="42" ht="15" customHeight="1">
      <c r="A42" t="inlineStr">
        <is>
          <t>A 72654-2018</t>
        </is>
      </c>
      <c r="B42" s="1" t="n">
        <v>43465</v>
      </c>
      <c r="C42" s="1" t="n">
        <v>45358</v>
      </c>
      <c r="D42" t="inlineStr">
        <is>
          <t>VÄSTRA GÖTALANDS LÄN</t>
        </is>
      </c>
      <c r="E42" t="inlineStr">
        <is>
          <t>DALS-ED</t>
        </is>
      </c>
      <c r="G42" t="n">
        <v>29.4</v>
      </c>
      <c r="H42" t="n">
        <v>0</v>
      </c>
      <c r="I42" t="n">
        <v>0</v>
      </c>
      <c r="J42" t="n">
        <v>0</v>
      </c>
      <c r="K42" t="n">
        <v>0</v>
      </c>
      <c r="L42" t="n">
        <v>0</v>
      </c>
      <c r="M42" t="n">
        <v>0</v>
      </c>
      <c r="N42" t="n">
        <v>0</v>
      </c>
      <c r="O42" t="n">
        <v>0</v>
      </c>
      <c r="P42" t="n">
        <v>0</v>
      </c>
      <c r="Q42" t="n">
        <v>0</v>
      </c>
      <c r="R42" s="2" t="inlineStr"/>
    </row>
    <row r="43" ht="15" customHeight="1">
      <c r="A43" t="inlineStr">
        <is>
          <t>A 2782-2019</t>
        </is>
      </c>
      <c r="B43" s="1" t="n">
        <v>43472</v>
      </c>
      <c r="C43" s="1" t="n">
        <v>45358</v>
      </c>
      <c r="D43" t="inlineStr">
        <is>
          <t>VÄSTRA GÖTALANDS LÄN</t>
        </is>
      </c>
      <c r="E43" t="inlineStr">
        <is>
          <t>DALS-ED</t>
        </is>
      </c>
      <c r="G43" t="n">
        <v>2.7</v>
      </c>
      <c r="H43" t="n">
        <v>0</v>
      </c>
      <c r="I43" t="n">
        <v>0</v>
      </c>
      <c r="J43" t="n">
        <v>0</v>
      </c>
      <c r="K43" t="n">
        <v>0</v>
      </c>
      <c r="L43" t="n">
        <v>0</v>
      </c>
      <c r="M43" t="n">
        <v>0</v>
      </c>
      <c r="N43" t="n">
        <v>0</v>
      </c>
      <c r="O43" t="n">
        <v>0</v>
      </c>
      <c r="P43" t="n">
        <v>0</v>
      </c>
      <c r="Q43" t="n">
        <v>0</v>
      </c>
      <c r="R43" s="2" t="inlineStr"/>
    </row>
    <row r="44" ht="15" customHeight="1">
      <c r="A44" t="inlineStr">
        <is>
          <t>A 1940-2019</t>
        </is>
      </c>
      <c r="B44" s="1" t="n">
        <v>43475</v>
      </c>
      <c r="C44" s="1" t="n">
        <v>45358</v>
      </c>
      <c r="D44" t="inlineStr">
        <is>
          <t>VÄSTRA GÖTALANDS LÄN</t>
        </is>
      </c>
      <c r="E44" t="inlineStr">
        <is>
          <t>DALS-ED</t>
        </is>
      </c>
      <c r="G44" t="n">
        <v>1.6</v>
      </c>
      <c r="H44" t="n">
        <v>0</v>
      </c>
      <c r="I44" t="n">
        <v>0</v>
      </c>
      <c r="J44" t="n">
        <v>0</v>
      </c>
      <c r="K44" t="n">
        <v>0</v>
      </c>
      <c r="L44" t="n">
        <v>0</v>
      </c>
      <c r="M44" t="n">
        <v>0</v>
      </c>
      <c r="N44" t="n">
        <v>0</v>
      </c>
      <c r="O44" t="n">
        <v>0</v>
      </c>
      <c r="P44" t="n">
        <v>0</v>
      </c>
      <c r="Q44" t="n">
        <v>0</v>
      </c>
      <c r="R44" s="2" t="inlineStr"/>
    </row>
    <row r="45" ht="15" customHeight="1">
      <c r="A45" t="inlineStr">
        <is>
          <t>A 1962-2019</t>
        </is>
      </c>
      <c r="B45" s="1" t="n">
        <v>43475</v>
      </c>
      <c r="C45" s="1" t="n">
        <v>45358</v>
      </c>
      <c r="D45" t="inlineStr">
        <is>
          <t>VÄSTRA GÖTALANDS LÄN</t>
        </is>
      </c>
      <c r="E45" t="inlineStr">
        <is>
          <t>DALS-ED</t>
        </is>
      </c>
      <c r="G45" t="n">
        <v>1.3</v>
      </c>
      <c r="H45" t="n">
        <v>0</v>
      </c>
      <c r="I45" t="n">
        <v>0</v>
      </c>
      <c r="J45" t="n">
        <v>0</v>
      </c>
      <c r="K45" t="n">
        <v>0</v>
      </c>
      <c r="L45" t="n">
        <v>0</v>
      </c>
      <c r="M45" t="n">
        <v>0</v>
      </c>
      <c r="N45" t="n">
        <v>0</v>
      </c>
      <c r="O45" t="n">
        <v>0</v>
      </c>
      <c r="P45" t="n">
        <v>0</v>
      </c>
      <c r="Q45" t="n">
        <v>0</v>
      </c>
      <c r="R45" s="2" t="inlineStr"/>
    </row>
    <row r="46" ht="15" customHeight="1">
      <c r="A46" t="inlineStr">
        <is>
          <t>A 2272-2019</t>
        </is>
      </c>
      <c r="B46" s="1" t="n">
        <v>43475</v>
      </c>
      <c r="C46" s="1" t="n">
        <v>45358</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4321-2019</t>
        </is>
      </c>
      <c r="B47" s="1" t="n">
        <v>43476</v>
      </c>
      <c r="C47" s="1" t="n">
        <v>45358</v>
      </c>
      <c r="D47" t="inlineStr">
        <is>
          <t>VÄSTRA GÖTALANDS LÄN</t>
        </is>
      </c>
      <c r="E47" t="inlineStr">
        <is>
          <t>DALS-ED</t>
        </is>
      </c>
      <c r="F47" t="inlineStr">
        <is>
          <t>Bergvik skog väst AB</t>
        </is>
      </c>
      <c r="G47" t="n">
        <v>3.7</v>
      </c>
      <c r="H47" t="n">
        <v>0</v>
      </c>
      <c r="I47" t="n">
        <v>0</v>
      </c>
      <c r="J47" t="n">
        <v>0</v>
      </c>
      <c r="K47" t="n">
        <v>0</v>
      </c>
      <c r="L47" t="n">
        <v>0</v>
      </c>
      <c r="M47" t="n">
        <v>0</v>
      </c>
      <c r="N47" t="n">
        <v>0</v>
      </c>
      <c r="O47" t="n">
        <v>0</v>
      </c>
      <c r="P47" t="n">
        <v>0</v>
      </c>
      <c r="Q47" t="n">
        <v>0</v>
      </c>
      <c r="R47" s="2" t="inlineStr"/>
    </row>
    <row r="48" ht="15" customHeight="1">
      <c r="A48" t="inlineStr">
        <is>
          <t>A 5067-2019</t>
        </is>
      </c>
      <c r="B48" s="1" t="n">
        <v>43487</v>
      </c>
      <c r="C48" s="1" t="n">
        <v>45358</v>
      </c>
      <c r="D48" t="inlineStr">
        <is>
          <t>VÄSTRA GÖTALANDS LÄN</t>
        </is>
      </c>
      <c r="E48" t="inlineStr">
        <is>
          <t>DALS-ED</t>
        </is>
      </c>
      <c r="G48" t="n">
        <v>8.1</v>
      </c>
      <c r="H48" t="n">
        <v>0</v>
      </c>
      <c r="I48" t="n">
        <v>0</v>
      </c>
      <c r="J48" t="n">
        <v>0</v>
      </c>
      <c r="K48" t="n">
        <v>0</v>
      </c>
      <c r="L48" t="n">
        <v>0</v>
      </c>
      <c r="M48" t="n">
        <v>0</v>
      </c>
      <c r="N48" t="n">
        <v>0</v>
      </c>
      <c r="O48" t="n">
        <v>0</v>
      </c>
      <c r="P48" t="n">
        <v>0</v>
      </c>
      <c r="Q48" t="n">
        <v>0</v>
      </c>
      <c r="R48" s="2" t="inlineStr"/>
    </row>
    <row r="49" ht="15" customHeight="1">
      <c r="A49" t="inlineStr">
        <is>
          <t>A 5825-2019</t>
        </is>
      </c>
      <c r="B49" s="1" t="n">
        <v>43490</v>
      </c>
      <c r="C49" s="1" t="n">
        <v>45358</v>
      </c>
      <c r="D49" t="inlineStr">
        <is>
          <t>VÄSTRA GÖTALANDS LÄN</t>
        </is>
      </c>
      <c r="E49" t="inlineStr">
        <is>
          <t>DALS-ED</t>
        </is>
      </c>
      <c r="G49" t="n">
        <v>8.6</v>
      </c>
      <c r="H49" t="n">
        <v>0</v>
      </c>
      <c r="I49" t="n">
        <v>0</v>
      </c>
      <c r="J49" t="n">
        <v>0</v>
      </c>
      <c r="K49" t="n">
        <v>0</v>
      </c>
      <c r="L49" t="n">
        <v>0</v>
      </c>
      <c r="M49" t="n">
        <v>0</v>
      </c>
      <c r="N49" t="n">
        <v>0</v>
      </c>
      <c r="O49" t="n">
        <v>0</v>
      </c>
      <c r="P49" t="n">
        <v>0</v>
      </c>
      <c r="Q49" t="n">
        <v>0</v>
      </c>
      <c r="R49" s="2" t="inlineStr"/>
    </row>
    <row r="50" ht="15" customHeight="1">
      <c r="A50" t="inlineStr">
        <is>
          <t>A 5823-2019</t>
        </is>
      </c>
      <c r="B50" s="1" t="n">
        <v>43490</v>
      </c>
      <c r="C50" s="1" t="n">
        <v>45358</v>
      </c>
      <c r="D50" t="inlineStr">
        <is>
          <t>VÄSTRA GÖTALANDS LÄN</t>
        </is>
      </c>
      <c r="E50" t="inlineStr">
        <is>
          <t>DALS-ED</t>
        </is>
      </c>
      <c r="G50" t="n">
        <v>14.6</v>
      </c>
      <c r="H50" t="n">
        <v>0</v>
      </c>
      <c r="I50" t="n">
        <v>0</v>
      </c>
      <c r="J50" t="n">
        <v>0</v>
      </c>
      <c r="K50" t="n">
        <v>0</v>
      </c>
      <c r="L50" t="n">
        <v>0</v>
      </c>
      <c r="M50" t="n">
        <v>0</v>
      </c>
      <c r="N50" t="n">
        <v>0</v>
      </c>
      <c r="O50" t="n">
        <v>0</v>
      </c>
      <c r="P50" t="n">
        <v>0</v>
      </c>
      <c r="Q50" t="n">
        <v>0</v>
      </c>
      <c r="R50" s="2" t="inlineStr"/>
    </row>
    <row r="51" ht="15" customHeight="1">
      <c r="A51" t="inlineStr">
        <is>
          <t>A 6615-2019</t>
        </is>
      </c>
      <c r="B51" s="1" t="n">
        <v>43494</v>
      </c>
      <c r="C51" s="1" t="n">
        <v>45358</v>
      </c>
      <c r="D51" t="inlineStr">
        <is>
          <t>VÄSTRA GÖTALANDS LÄN</t>
        </is>
      </c>
      <c r="E51" t="inlineStr">
        <is>
          <t>DALS-ED</t>
        </is>
      </c>
      <c r="G51" t="n">
        <v>0.6</v>
      </c>
      <c r="H51" t="n">
        <v>0</v>
      </c>
      <c r="I51" t="n">
        <v>0</v>
      </c>
      <c r="J51" t="n">
        <v>0</v>
      </c>
      <c r="K51" t="n">
        <v>0</v>
      </c>
      <c r="L51" t="n">
        <v>0</v>
      </c>
      <c r="M51" t="n">
        <v>0</v>
      </c>
      <c r="N51" t="n">
        <v>0</v>
      </c>
      <c r="O51" t="n">
        <v>0</v>
      </c>
      <c r="P51" t="n">
        <v>0</v>
      </c>
      <c r="Q51" t="n">
        <v>0</v>
      </c>
      <c r="R51" s="2" t="inlineStr"/>
    </row>
    <row r="52" ht="15" customHeight="1">
      <c r="A52" t="inlineStr">
        <is>
          <t>A 7005-2019</t>
        </is>
      </c>
      <c r="B52" s="1" t="n">
        <v>43495</v>
      </c>
      <c r="C52" s="1" t="n">
        <v>45358</v>
      </c>
      <c r="D52" t="inlineStr">
        <is>
          <t>VÄSTRA GÖTALANDS LÄN</t>
        </is>
      </c>
      <c r="E52" t="inlineStr">
        <is>
          <t>DALS-ED</t>
        </is>
      </c>
      <c r="G52" t="n">
        <v>0.2</v>
      </c>
      <c r="H52" t="n">
        <v>0</v>
      </c>
      <c r="I52" t="n">
        <v>0</v>
      </c>
      <c r="J52" t="n">
        <v>0</v>
      </c>
      <c r="K52" t="n">
        <v>0</v>
      </c>
      <c r="L52" t="n">
        <v>0</v>
      </c>
      <c r="M52" t="n">
        <v>0</v>
      </c>
      <c r="N52" t="n">
        <v>0</v>
      </c>
      <c r="O52" t="n">
        <v>0</v>
      </c>
      <c r="P52" t="n">
        <v>0</v>
      </c>
      <c r="Q52" t="n">
        <v>0</v>
      </c>
      <c r="R52" s="2" t="inlineStr"/>
    </row>
    <row r="53" ht="15" customHeight="1">
      <c r="A53" t="inlineStr">
        <is>
          <t>A 8646-2019</t>
        </is>
      </c>
      <c r="B53" s="1" t="n">
        <v>43503</v>
      </c>
      <c r="C53" s="1" t="n">
        <v>45358</v>
      </c>
      <c r="D53" t="inlineStr">
        <is>
          <t>VÄSTRA GÖTALANDS LÄN</t>
        </is>
      </c>
      <c r="E53" t="inlineStr">
        <is>
          <t>DALS-ED</t>
        </is>
      </c>
      <c r="F53" t="inlineStr">
        <is>
          <t>Övriga Aktiebolag</t>
        </is>
      </c>
      <c r="G53" t="n">
        <v>14.8</v>
      </c>
      <c r="H53" t="n">
        <v>0</v>
      </c>
      <c r="I53" t="n">
        <v>0</v>
      </c>
      <c r="J53" t="n">
        <v>0</v>
      </c>
      <c r="K53" t="n">
        <v>0</v>
      </c>
      <c r="L53" t="n">
        <v>0</v>
      </c>
      <c r="M53" t="n">
        <v>0</v>
      </c>
      <c r="N53" t="n">
        <v>0</v>
      </c>
      <c r="O53" t="n">
        <v>0</v>
      </c>
      <c r="P53" t="n">
        <v>0</v>
      </c>
      <c r="Q53" t="n">
        <v>0</v>
      </c>
      <c r="R53" s="2" t="inlineStr"/>
    </row>
    <row r="54" ht="15" customHeight="1">
      <c r="A54" t="inlineStr">
        <is>
          <t>A 9308-2019</t>
        </is>
      </c>
      <c r="B54" s="1" t="n">
        <v>43507</v>
      </c>
      <c r="C54" s="1" t="n">
        <v>45358</v>
      </c>
      <c r="D54" t="inlineStr">
        <is>
          <t>VÄSTRA GÖTALANDS LÄN</t>
        </is>
      </c>
      <c r="E54" t="inlineStr">
        <is>
          <t>DALS-ED</t>
        </is>
      </c>
      <c r="G54" t="n">
        <v>15.6</v>
      </c>
      <c r="H54" t="n">
        <v>0</v>
      </c>
      <c r="I54" t="n">
        <v>0</v>
      </c>
      <c r="J54" t="n">
        <v>0</v>
      </c>
      <c r="K54" t="n">
        <v>0</v>
      </c>
      <c r="L54" t="n">
        <v>0</v>
      </c>
      <c r="M54" t="n">
        <v>0</v>
      </c>
      <c r="N54" t="n">
        <v>0</v>
      </c>
      <c r="O54" t="n">
        <v>0</v>
      </c>
      <c r="P54" t="n">
        <v>0</v>
      </c>
      <c r="Q54" t="n">
        <v>0</v>
      </c>
      <c r="R54" s="2" t="inlineStr"/>
    </row>
    <row r="55" ht="15" customHeight="1">
      <c r="A55" t="inlineStr">
        <is>
          <t>A 9298-2019</t>
        </is>
      </c>
      <c r="B55" s="1" t="n">
        <v>43507</v>
      </c>
      <c r="C55" s="1" t="n">
        <v>45358</v>
      </c>
      <c r="D55" t="inlineStr">
        <is>
          <t>VÄSTRA GÖTALANDS LÄN</t>
        </is>
      </c>
      <c r="E55" t="inlineStr">
        <is>
          <t>DALS-ED</t>
        </is>
      </c>
      <c r="G55" t="n">
        <v>3.3</v>
      </c>
      <c r="H55" t="n">
        <v>0</v>
      </c>
      <c r="I55" t="n">
        <v>0</v>
      </c>
      <c r="J55" t="n">
        <v>0</v>
      </c>
      <c r="K55" t="n">
        <v>0</v>
      </c>
      <c r="L55" t="n">
        <v>0</v>
      </c>
      <c r="M55" t="n">
        <v>0</v>
      </c>
      <c r="N55" t="n">
        <v>0</v>
      </c>
      <c r="O55" t="n">
        <v>0</v>
      </c>
      <c r="P55" t="n">
        <v>0</v>
      </c>
      <c r="Q55" t="n">
        <v>0</v>
      </c>
      <c r="R55" s="2" t="inlineStr"/>
    </row>
    <row r="56" ht="15" customHeight="1">
      <c r="A56" t="inlineStr">
        <is>
          <t>A 11208-2019</t>
        </is>
      </c>
      <c r="B56" s="1" t="n">
        <v>43516</v>
      </c>
      <c r="C56" s="1" t="n">
        <v>45358</v>
      </c>
      <c r="D56" t="inlineStr">
        <is>
          <t>VÄSTRA GÖTALANDS LÄN</t>
        </is>
      </c>
      <c r="E56" t="inlineStr">
        <is>
          <t>DALS-ED</t>
        </is>
      </c>
      <c r="G56" t="n">
        <v>2.4</v>
      </c>
      <c r="H56" t="n">
        <v>0</v>
      </c>
      <c r="I56" t="n">
        <v>0</v>
      </c>
      <c r="J56" t="n">
        <v>0</v>
      </c>
      <c r="K56" t="n">
        <v>0</v>
      </c>
      <c r="L56" t="n">
        <v>0</v>
      </c>
      <c r="M56" t="n">
        <v>0</v>
      </c>
      <c r="N56" t="n">
        <v>0</v>
      </c>
      <c r="O56" t="n">
        <v>0</v>
      </c>
      <c r="P56" t="n">
        <v>0</v>
      </c>
      <c r="Q56" t="n">
        <v>0</v>
      </c>
      <c r="R56" s="2" t="inlineStr"/>
    </row>
    <row r="57" ht="15" customHeight="1">
      <c r="A57" t="inlineStr">
        <is>
          <t>A 12317-2019</t>
        </is>
      </c>
      <c r="B57" s="1" t="n">
        <v>43523</v>
      </c>
      <c r="C57" s="1" t="n">
        <v>45358</v>
      </c>
      <c r="D57" t="inlineStr">
        <is>
          <t>VÄSTRA GÖTALANDS LÄN</t>
        </is>
      </c>
      <c r="E57" t="inlineStr">
        <is>
          <t>DALS-ED</t>
        </is>
      </c>
      <c r="G57" t="n">
        <v>6</v>
      </c>
      <c r="H57" t="n">
        <v>0</v>
      </c>
      <c r="I57" t="n">
        <v>0</v>
      </c>
      <c r="J57" t="n">
        <v>0</v>
      </c>
      <c r="K57" t="n">
        <v>0</v>
      </c>
      <c r="L57" t="n">
        <v>0</v>
      </c>
      <c r="M57" t="n">
        <v>0</v>
      </c>
      <c r="N57" t="n">
        <v>0</v>
      </c>
      <c r="O57" t="n">
        <v>0</v>
      </c>
      <c r="P57" t="n">
        <v>0</v>
      </c>
      <c r="Q57" t="n">
        <v>0</v>
      </c>
      <c r="R57" s="2" t="inlineStr"/>
    </row>
    <row r="58" ht="15" customHeight="1">
      <c r="A58" t="inlineStr">
        <is>
          <t>A 12879-2019</t>
        </is>
      </c>
      <c r="B58" s="1" t="n">
        <v>43525</v>
      </c>
      <c r="C58" s="1" t="n">
        <v>45358</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12882-2019</t>
        </is>
      </c>
      <c r="B59" s="1" t="n">
        <v>43525</v>
      </c>
      <c r="C59" s="1" t="n">
        <v>45358</v>
      </c>
      <c r="D59" t="inlineStr">
        <is>
          <t>VÄSTRA GÖTALANDS LÄN</t>
        </is>
      </c>
      <c r="E59" t="inlineStr">
        <is>
          <t>DALS-ED</t>
        </is>
      </c>
      <c r="G59" t="n">
        <v>3.6</v>
      </c>
      <c r="H59" t="n">
        <v>0</v>
      </c>
      <c r="I59" t="n">
        <v>0</v>
      </c>
      <c r="J59" t="n">
        <v>0</v>
      </c>
      <c r="K59" t="n">
        <v>0</v>
      </c>
      <c r="L59" t="n">
        <v>0</v>
      </c>
      <c r="M59" t="n">
        <v>0</v>
      </c>
      <c r="N59" t="n">
        <v>0</v>
      </c>
      <c r="O59" t="n">
        <v>0</v>
      </c>
      <c r="P59" t="n">
        <v>0</v>
      </c>
      <c r="Q59" t="n">
        <v>0</v>
      </c>
      <c r="R59" s="2" t="inlineStr"/>
    </row>
    <row r="60" ht="15" customHeight="1">
      <c r="A60" t="inlineStr">
        <is>
          <t>A 14763-2019</t>
        </is>
      </c>
      <c r="B60" s="1" t="n">
        <v>43536</v>
      </c>
      <c r="C60" s="1" t="n">
        <v>45358</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14776-2019</t>
        </is>
      </c>
      <c r="B61" s="1" t="n">
        <v>43537</v>
      </c>
      <c r="C61" s="1" t="n">
        <v>45358</v>
      </c>
      <c r="D61" t="inlineStr">
        <is>
          <t>VÄSTRA GÖTALANDS LÄN</t>
        </is>
      </c>
      <c r="E61" t="inlineStr">
        <is>
          <t>DALS-ED</t>
        </is>
      </c>
      <c r="G61" t="n">
        <v>0.9</v>
      </c>
      <c r="H61" t="n">
        <v>0</v>
      </c>
      <c r="I61" t="n">
        <v>0</v>
      </c>
      <c r="J61" t="n">
        <v>0</v>
      </c>
      <c r="K61" t="n">
        <v>0</v>
      </c>
      <c r="L61" t="n">
        <v>0</v>
      </c>
      <c r="M61" t="n">
        <v>0</v>
      </c>
      <c r="N61" t="n">
        <v>0</v>
      </c>
      <c r="O61" t="n">
        <v>0</v>
      </c>
      <c r="P61" t="n">
        <v>0</v>
      </c>
      <c r="Q61" t="n">
        <v>0</v>
      </c>
      <c r="R61" s="2" t="inlineStr"/>
    </row>
    <row r="62" ht="15" customHeight="1">
      <c r="A62" t="inlineStr">
        <is>
          <t>A 14879-2019</t>
        </is>
      </c>
      <c r="B62" s="1" t="n">
        <v>43537</v>
      </c>
      <c r="C62" s="1" t="n">
        <v>45358</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14931-2019</t>
        </is>
      </c>
      <c r="B63" s="1" t="n">
        <v>43538</v>
      </c>
      <c r="C63" s="1" t="n">
        <v>45358</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15076-2019</t>
        </is>
      </c>
      <c r="B64" s="1" t="n">
        <v>43538</v>
      </c>
      <c r="C64" s="1" t="n">
        <v>45358</v>
      </c>
      <c r="D64" t="inlineStr">
        <is>
          <t>VÄSTRA GÖTALANDS LÄN</t>
        </is>
      </c>
      <c r="E64" t="inlineStr">
        <is>
          <t>DALS-ED</t>
        </is>
      </c>
      <c r="G64" t="n">
        <v>2.6</v>
      </c>
      <c r="H64" t="n">
        <v>0</v>
      </c>
      <c r="I64" t="n">
        <v>0</v>
      </c>
      <c r="J64" t="n">
        <v>0</v>
      </c>
      <c r="K64" t="n">
        <v>0</v>
      </c>
      <c r="L64" t="n">
        <v>0</v>
      </c>
      <c r="M64" t="n">
        <v>0</v>
      </c>
      <c r="N64" t="n">
        <v>0</v>
      </c>
      <c r="O64" t="n">
        <v>0</v>
      </c>
      <c r="P64" t="n">
        <v>0</v>
      </c>
      <c r="Q64" t="n">
        <v>0</v>
      </c>
      <c r="R64" s="2" t="inlineStr"/>
    </row>
    <row r="65" ht="15" customHeight="1">
      <c r="A65" t="inlineStr">
        <is>
          <t>A 15809-2019</t>
        </is>
      </c>
      <c r="B65" s="1" t="n">
        <v>43542</v>
      </c>
      <c r="C65" s="1" t="n">
        <v>45358</v>
      </c>
      <c r="D65" t="inlineStr">
        <is>
          <t>VÄSTRA GÖTALANDS LÄN</t>
        </is>
      </c>
      <c r="E65" t="inlineStr">
        <is>
          <t>DALS-ED</t>
        </is>
      </c>
      <c r="F65" t="inlineStr">
        <is>
          <t>Kyrkan</t>
        </is>
      </c>
      <c r="G65" t="n">
        <v>6.9</v>
      </c>
      <c r="H65" t="n">
        <v>0</v>
      </c>
      <c r="I65" t="n">
        <v>0</v>
      </c>
      <c r="J65" t="n">
        <v>0</v>
      </c>
      <c r="K65" t="n">
        <v>0</v>
      </c>
      <c r="L65" t="n">
        <v>0</v>
      </c>
      <c r="M65" t="n">
        <v>0</v>
      </c>
      <c r="N65" t="n">
        <v>0</v>
      </c>
      <c r="O65" t="n">
        <v>0</v>
      </c>
      <c r="P65" t="n">
        <v>0</v>
      </c>
      <c r="Q65" t="n">
        <v>0</v>
      </c>
      <c r="R65" s="2" t="inlineStr"/>
    </row>
    <row r="66" ht="15" customHeight="1">
      <c r="A66" t="inlineStr">
        <is>
          <t>A 16013-2019</t>
        </is>
      </c>
      <c r="B66" s="1" t="n">
        <v>43544</v>
      </c>
      <c r="C66" s="1" t="n">
        <v>45358</v>
      </c>
      <c r="D66" t="inlineStr">
        <is>
          <t>VÄSTRA GÖTALANDS LÄN</t>
        </is>
      </c>
      <c r="E66" t="inlineStr">
        <is>
          <t>DALS-ED</t>
        </is>
      </c>
      <c r="G66" t="n">
        <v>9.300000000000001</v>
      </c>
      <c r="H66" t="n">
        <v>0</v>
      </c>
      <c r="I66" t="n">
        <v>0</v>
      </c>
      <c r="J66" t="n">
        <v>0</v>
      </c>
      <c r="K66" t="n">
        <v>0</v>
      </c>
      <c r="L66" t="n">
        <v>0</v>
      </c>
      <c r="M66" t="n">
        <v>0</v>
      </c>
      <c r="N66" t="n">
        <v>0</v>
      </c>
      <c r="O66" t="n">
        <v>0</v>
      </c>
      <c r="P66" t="n">
        <v>0</v>
      </c>
      <c r="Q66" t="n">
        <v>0</v>
      </c>
      <c r="R66" s="2" t="inlineStr"/>
    </row>
    <row r="67" ht="15" customHeight="1">
      <c r="A67" t="inlineStr">
        <is>
          <t>A 16768-2019</t>
        </is>
      </c>
      <c r="B67" s="1" t="n">
        <v>43549</v>
      </c>
      <c r="C67" s="1" t="n">
        <v>45358</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16745-2019</t>
        </is>
      </c>
      <c r="B68" s="1" t="n">
        <v>43549</v>
      </c>
      <c r="C68" s="1" t="n">
        <v>45358</v>
      </c>
      <c r="D68" t="inlineStr">
        <is>
          <t>VÄSTRA GÖTALANDS LÄN</t>
        </is>
      </c>
      <c r="E68" t="inlineStr">
        <is>
          <t>DALS-ED</t>
        </is>
      </c>
      <c r="G68" t="n">
        <v>1.5</v>
      </c>
      <c r="H68" t="n">
        <v>0</v>
      </c>
      <c r="I68" t="n">
        <v>0</v>
      </c>
      <c r="J68" t="n">
        <v>0</v>
      </c>
      <c r="K68" t="n">
        <v>0</v>
      </c>
      <c r="L68" t="n">
        <v>0</v>
      </c>
      <c r="M68" t="n">
        <v>0</v>
      </c>
      <c r="N68" t="n">
        <v>0</v>
      </c>
      <c r="O68" t="n">
        <v>0</v>
      </c>
      <c r="P68" t="n">
        <v>0</v>
      </c>
      <c r="Q68" t="n">
        <v>0</v>
      </c>
      <c r="R68" s="2" t="inlineStr"/>
    </row>
    <row r="69" ht="15" customHeight="1">
      <c r="A69" t="inlineStr">
        <is>
          <t>A 17088-2019</t>
        </is>
      </c>
      <c r="B69" s="1" t="n">
        <v>43551</v>
      </c>
      <c r="C69" s="1" t="n">
        <v>45358</v>
      </c>
      <c r="D69" t="inlineStr">
        <is>
          <t>VÄSTRA GÖTALANDS LÄN</t>
        </is>
      </c>
      <c r="E69" t="inlineStr">
        <is>
          <t>DALS-ED</t>
        </is>
      </c>
      <c r="G69" t="n">
        <v>5.9</v>
      </c>
      <c r="H69" t="n">
        <v>0</v>
      </c>
      <c r="I69" t="n">
        <v>0</v>
      </c>
      <c r="J69" t="n">
        <v>0</v>
      </c>
      <c r="K69" t="n">
        <v>0</v>
      </c>
      <c r="L69" t="n">
        <v>0</v>
      </c>
      <c r="M69" t="n">
        <v>0</v>
      </c>
      <c r="N69" t="n">
        <v>0</v>
      </c>
      <c r="O69" t="n">
        <v>0</v>
      </c>
      <c r="P69" t="n">
        <v>0</v>
      </c>
      <c r="Q69" t="n">
        <v>0</v>
      </c>
      <c r="R69" s="2" t="inlineStr"/>
    </row>
    <row r="70" ht="15" customHeight="1">
      <c r="A70" t="inlineStr">
        <is>
          <t>A 17093-2019</t>
        </is>
      </c>
      <c r="B70" s="1" t="n">
        <v>43551</v>
      </c>
      <c r="C70" s="1" t="n">
        <v>45358</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17451-2019</t>
        </is>
      </c>
      <c r="B71" s="1" t="n">
        <v>43553</v>
      </c>
      <c r="C71" s="1" t="n">
        <v>45358</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18329-2019</t>
        </is>
      </c>
      <c r="B72" s="1" t="n">
        <v>43558</v>
      </c>
      <c r="C72" s="1" t="n">
        <v>45358</v>
      </c>
      <c r="D72" t="inlineStr">
        <is>
          <t>VÄSTRA GÖTALANDS LÄN</t>
        </is>
      </c>
      <c r="E72" t="inlineStr">
        <is>
          <t>DALS-ED</t>
        </is>
      </c>
      <c r="F72" t="inlineStr">
        <is>
          <t>Kyrkan</t>
        </is>
      </c>
      <c r="G72" t="n">
        <v>1</v>
      </c>
      <c r="H72" t="n">
        <v>0</v>
      </c>
      <c r="I72" t="n">
        <v>0</v>
      </c>
      <c r="J72" t="n">
        <v>0</v>
      </c>
      <c r="K72" t="n">
        <v>0</v>
      </c>
      <c r="L72" t="n">
        <v>0</v>
      </c>
      <c r="M72" t="n">
        <v>0</v>
      </c>
      <c r="N72" t="n">
        <v>0</v>
      </c>
      <c r="O72" t="n">
        <v>0</v>
      </c>
      <c r="P72" t="n">
        <v>0</v>
      </c>
      <c r="Q72" t="n">
        <v>0</v>
      </c>
      <c r="R72" s="2" t="inlineStr"/>
    </row>
    <row r="73" ht="15" customHeight="1">
      <c r="A73" t="inlineStr">
        <is>
          <t>A 19644-2019</t>
        </is>
      </c>
      <c r="B73" s="1" t="n">
        <v>43566</v>
      </c>
      <c r="C73" s="1" t="n">
        <v>45358</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19639-2019</t>
        </is>
      </c>
      <c r="B74" s="1" t="n">
        <v>43566</v>
      </c>
      <c r="C74" s="1" t="n">
        <v>45358</v>
      </c>
      <c r="D74" t="inlineStr">
        <is>
          <t>VÄSTRA GÖTALANDS LÄN</t>
        </is>
      </c>
      <c r="E74" t="inlineStr">
        <is>
          <t>DALS-ED</t>
        </is>
      </c>
      <c r="G74" t="n">
        <v>1.5</v>
      </c>
      <c r="H74" t="n">
        <v>0</v>
      </c>
      <c r="I74" t="n">
        <v>0</v>
      </c>
      <c r="J74" t="n">
        <v>0</v>
      </c>
      <c r="K74" t="n">
        <v>0</v>
      </c>
      <c r="L74" t="n">
        <v>0</v>
      </c>
      <c r="M74" t="n">
        <v>0</v>
      </c>
      <c r="N74" t="n">
        <v>0</v>
      </c>
      <c r="O74" t="n">
        <v>0</v>
      </c>
      <c r="P74" t="n">
        <v>0</v>
      </c>
      <c r="Q74" t="n">
        <v>0</v>
      </c>
      <c r="R74" s="2" t="inlineStr"/>
    </row>
    <row r="75" ht="15" customHeight="1">
      <c r="A75" t="inlineStr">
        <is>
          <t>A 20074-2019</t>
        </is>
      </c>
      <c r="B75" s="1" t="n">
        <v>43570</v>
      </c>
      <c r="C75" s="1" t="n">
        <v>45358</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20286-2019</t>
        </is>
      </c>
      <c r="B76" s="1" t="n">
        <v>43571</v>
      </c>
      <c r="C76" s="1" t="n">
        <v>45358</v>
      </c>
      <c r="D76" t="inlineStr">
        <is>
          <t>VÄSTRA GÖTALANDS LÄN</t>
        </is>
      </c>
      <c r="E76" t="inlineStr">
        <is>
          <t>DALS-ED</t>
        </is>
      </c>
      <c r="G76" t="n">
        <v>2.1</v>
      </c>
      <c r="H76" t="n">
        <v>0</v>
      </c>
      <c r="I76" t="n">
        <v>0</v>
      </c>
      <c r="J76" t="n">
        <v>0</v>
      </c>
      <c r="K76" t="n">
        <v>0</v>
      </c>
      <c r="L76" t="n">
        <v>0</v>
      </c>
      <c r="M76" t="n">
        <v>0</v>
      </c>
      <c r="N76" t="n">
        <v>0</v>
      </c>
      <c r="O76" t="n">
        <v>0</v>
      </c>
      <c r="P76" t="n">
        <v>0</v>
      </c>
      <c r="Q76" t="n">
        <v>0</v>
      </c>
      <c r="R76" s="2" t="inlineStr"/>
    </row>
    <row r="77" ht="15" customHeight="1">
      <c r="A77" t="inlineStr">
        <is>
          <t>A 20979-2019</t>
        </is>
      </c>
      <c r="B77" s="1" t="n">
        <v>43578</v>
      </c>
      <c r="C77" s="1" t="n">
        <v>45358</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22554-2019</t>
        </is>
      </c>
      <c r="B78" s="1" t="n">
        <v>43587</v>
      </c>
      <c r="C78" s="1" t="n">
        <v>45358</v>
      </c>
      <c r="D78" t="inlineStr">
        <is>
          <t>VÄSTRA GÖTALANDS LÄN</t>
        </is>
      </c>
      <c r="E78" t="inlineStr">
        <is>
          <t>DALS-ED</t>
        </is>
      </c>
      <c r="G78" t="n">
        <v>1.5</v>
      </c>
      <c r="H78" t="n">
        <v>0</v>
      </c>
      <c r="I78" t="n">
        <v>0</v>
      </c>
      <c r="J78" t="n">
        <v>0</v>
      </c>
      <c r="K78" t="n">
        <v>0</v>
      </c>
      <c r="L78" t="n">
        <v>0</v>
      </c>
      <c r="M78" t="n">
        <v>0</v>
      </c>
      <c r="N78" t="n">
        <v>0</v>
      </c>
      <c r="O78" t="n">
        <v>0</v>
      </c>
      <c r="P78" t="n">
        <v>0</v>
      </c>
      <c r="Q78" t="n">
        <v>0</v>
      </c>
      <c r="R78" s="2" t="inlineStr"/>
    </row>
    <row r="79" ht="15" customHeight="1">
      <c r="A79" t="inlineStr">
        <is>
          <t>A 23597-2019</t>
        </is>
      </c>
      <c r="B79" s="1" t="n">
        <v>43587</v>
      </c>
      <c r="C79" s="1" t="n">
        <v>45358</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23634-2019</t>
        </is>
      </c>
      <c r="B80" s="1" t="n">
        <v>43587</v>
      </c>
      <c r="C80" s="1" t="n">
        <v>45358</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22667-2019</t>
        </is>
      </c>
      <c r="B81" s="1" t="n">
        <v>43587</v>
      </c>
      <c r="C81" s="1" t="n">
        <v>45358</v>
      </c>
      <c r="D81" t="inlineStr">
        <is>
          <t>VÄSTRA GÖTALANDS LÄN</t>
        </is>
      </c>
      <c r="E81" t="inlineStr">
        <is>
          <t>DALS-ED</t>
        </is>
      </c>
      <c r="G81" t="n">
        <v>4.7</v>
      </c>
      <c r="H81" t="n">
        <v>0</v>
      </c>
      <c r="I81" t="n">
        <v>0</v>
      </c>
      <c r="J81" t="n">
        <v>0</v>
      </c>
      <c r="K81" t="n">
        <v>0</v>
      </c>
      <c r="L81" t="n">
        <v>0</v>
      </c>
      <c r="M81" t="n">
        <v>0</v>
      </c>
      <c r="N81" t="n">
        <v>0</v>
      </c>
      <c r="O81" t="n">
        <v>0</v>
      </c>
      <c r="P81" t="n">
        <v>0</v>
      </c>
      <c r="Q81" t="n">
        <v>0</v>
      </c>
      <c r="R81" s="2" t="inlineStr"/>
    </row>
    <row r="82" ht="15" customHeight="1">
      <c r="A82" t="inlineStr">
        <is>
          <t>A 23623-2019</t>
        </is>
      </c>
      <c r="B82" s="1" t="n">
        <v>43587</v>
      </c>
      <c r="C82" s="1" t="n">
        <v>45358</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22662-2019</t>
        </is>
      </c>
      <c r="B83" s="1" t="n">
        <v>43587</v>
      </c>
      <c r="C83" s="1" t="n">
        <v>45358</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22851-2019</t>
        </is>
      </c>
      <c r="B84" s="1" t="n">
        <v>43591</v>
      </c>
      <c r="C84" s="1" t="n">
        <v>45358</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26262-2019</t>
        </is>
      </c>
      <c r="B85" s="1" t="n">
        <v>43610</v>
      </c>
      <c r="C85" s="1" t="n">
        <v>45358</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27112-2019</t>
        </is>
      </c>
      <c r="B86" s="1" t="n">
        <v>43612</v>
      </c>
      <c r="C86" s="1" t="n">
        <v>45358</v>
      </c>
      <c r="D86" t="inlineStr">
        <is>
          <t>VÄSTRA GÖTALANDS LÄN</t>
        </is>
      </c>
      <c r="E86" t="inlineStr">
        <is>
          <t>DALS-ED</t>
        </is>
      </c>
      <c r="G86" t="n">
        <v>11.5</v>
      </c>
      <c r="H86" t="n">
        <v>0</v>
      </c>
      <c r="I86" t="n">
        <v>0</v>
      </c>
      <c r="J86" t="n">
        <v>0</v>
      </c>
      <c r="K86" t="n">
        <v>0</v>
      </c>
      <c r="L86" t="n">
        <v>0</v>
      </c>
      <c r="M86" t="n">
        <v>0</v>
      </c>
      <c r="N86" t="n">
        <v>0</v>
      </c>
      <c r="O86" t="n">
        <v>0</v>
      </c>
      <c r="P86" t="n">
        <v>0</v>
      </c>
      <c r="Q86" t="n">
        <v>0</v>
      </c>
      <c r="R86" s="2" t="inlineStr"/>
    </row>
    <row r="87" ht="15" customHeight="1">
      <c r="A87" t="inlineStr">
        <is>
          <t>A 30280-2019</t>
        </is>
      </c>
      <c r="B87" s="1" t="n">
        <v>43633</v>
      </c>
      <c r="C87" s="1" t="n">
        <v>45358</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30458-2019</t>
        </is>
      </c>
      <c r="B88" s="1" t="n">
        <v>43633</v>
      </c>
      <c r="C88" s="1" t="n">
        <v>45358</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31950-2019</t>
        </is>
      </c>
      <c r="B89" s="1" t="n">
        <v>43643</v>
      </c>
      <c r="C89" s="1" t="n">
        <v>45358</v>
      </c>
      <c r="D89" t="inlineStr">
        <is>
          <t>VÄSTRA GÖTALANDS LÄN</t>
        </is>
      </c>
      <c r="E89" t="inlineStr">
        <is>
          <t>DALS-ED</t>
        </is>
      </c>
      <c r="G89" t="n">
        <v>9.6</v>
      </c>
      <c r="H89" t="n">
        <v>0</v>
      </c>
      <c r="I89" t="n">
        <v>0</v>
      </c>
      <c r="J89" t="n">
        <v>0</v>
      </c>
      <c r="K89" t="n">
        <v>0</v>
      </c>
      <c r="L89" t="n">
        <v>0</v>
      </c>
      <c r="M89" t="n">
        <v>0</v>
      </c>
      <c r="N89" t="n">
        <v>0</v>
      </c>
      <c r="O89" t="n">
        <v>0</v>
      </c>
      <c r="P89" t="n">
        <v>0</v>
      </c>
      <c r="Q89" t="n">
        <v>0</v>
      </c>
      <c r="R89" s="2" t="inlineStr"/>
    </row>
    <row r="90" ht="15" customHeight="1">
      <c r="A90" t="inlineStr">
        <is>
          <t>A 32345-2019</t>
        </is>
      </c>
      <c r="B90" s="1" t="n">
        <v>43644</v>
      </c>
      <c r="C90" s="1" t="n">
        <v>45358</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33501-2019</t>
        </is>
      </c>
      <c r="B91" s="1" t="n">
        <v>43651</v>
      </c>
      <c r="C91" s="1" t="n">
        <v>45358</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33500-2019</t>
        </is>
      </c>
      <c r="B92" s="1" t="n">
        <v>43651</v>
      </c>
      <c r="C92" s="1" t="n">
        <v>45358</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34607-2019</t>
        </is>
      </c>
      <c r="B93" s="1" t="n">
        <v>43657</v>
      </c>
      <c r="C93" s="1" t="n">
        <v>45358</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38502-2019</t>
        </is>
      </c>
      <c r="B94" s="1" t="n">
        <v>43685</v>
      </c>
      <c r="C94" s="1" t="n">
        <v>45358</v>
      </c>
      <c r="D94" t="inlineStr">
        <is>
          <t>VÄSTRA GÖTALANDS LÄN</t>
        </is>
      </c>
      <c r="E94" t="inlineStr">
        <is>
          <t>DALS-ED</t>
        </is>
      </c>
      <c r="G94" t="n">
        <v>15.9</v>
      </c>
      <c r="H94" t="n">
        <v>0</v>
      </c>
      <c r="I94" t="n">
        <v>0</v>
      </c>
      <c r="J94" t="n">
        <v>0</v>
      </c>
      <c r="K94" t="n">
        <v>0</v>
      </c>
      <c r="L94" t="n">
        <v>0</v>
      </c>
      <c r="M94" t="n">
        <v>0</v>
      </c>
      <c r="N94" t="n">
        <v>0</v>
      </c>
      <c r="O94" t="n">
        <v>0</v>
      </c>
      <c r="P94" t="n">
        <v>0</v>
      </c>
      <c r="Q94" t="n">
        <v>0</v>
      </c>
      <c r="R94" s="2" t="inlineStr"/>
    </row>
    <row r="95" ht="15" customHeight="1">
      <c r="A95" t="inlineStr">
        <is>
          <t>A 38512-2019</t>
        </is>
      </c>
      <c r="B95" s="1" t="n">
        <v>43685</v>
      </c>
      <c r="C95" s="1" t="n">
        <v>45358</v>
      </c>
      <c r="D95" t="inlineStr">
        <is>
          <t>VÄSTRA GÖTALANDS LÄN</t>
        </is>
      </c>
      <c r="E95" t="inlineStr">
        <is>
          <t>DALS-ED</t>
        </is>
      </c>
      <c r="G95" t="n">
        <v>24.8</v>
      </c>
      <c r="H95" t="n">
        <v>0</v>
      </c>
      <c r="I95" t="n">
        <v>0</v>
      </c>
      <c r="J95" t="n">
        <v>0</v>
      </c>
      <c r="K95" t="n">
        <v>0</v>
      </c>
      <c r="L95" t="n">
        <v>0</v>
      </c>
      <c r="M95" t="n">
        <v>0</v>
      </c>
      <c r="N95" t="n">
        <v>0</v>
      </c>
      <c r="O95" t="n">
        <v>0</v>
      </c>
      <c r="P95" t="n">
        <v>0</v>
      </c>
      <c r="Q95" t="n">
        <v>0</v>
      </c>
      <c r="R95" s="2" t="inlineStr"/>
    </row>
    <row r="96" ht="15" customHeight="1">
      <c r="A96" t="inlineStr">
        <is>
          <t>A 39062-2019</t>
        </is>
      </c>
      <c r="B96" s="1" t="n">
        <v>43689</v>
      </c>
      <c r="C96" s="1" t="n">
        <v>45358</v>
      </c>
      <c r="D96" t="inlineStr">
        <is>
          <t>VÄSTRA GÖTALANDS LÄN</t>
        </is>
      </c>
      <c r="E96" t="inlineStr">
        <is>
          <t>DALS-ED</t>
        </is>
      </c>
      <c r="F96" t="inlineStr">
        <is>
          <t>Övriga Aktiebolag</t>
        </is>
      </c>
      <c r="G96" t="n">
        <v>0.4</v>
      </c>
      <c r="H96" t="n">
        <v>0</v>
      </c>
      <c r="I96" t="n">
        <v>0</v>
      </c>
      <c r="J96" t="n">
        <v>0</v>
      </c>
      <c r="K96" t="n">
        <v>0</v>
      </c>
      <c r="L96" t="n">
        <v>0</v>
      </c>
      <c r="M96" t="n">
        <v>0</v>
      </c>
      <c r="N96" t="n">
        <v>0</v>
      </c>
      <c r="O96" t="n">
        <v>0</v>
      </c>
      <c r="P96" t="n">
        <v>0</v>
      </c>
      <c r="Q96" t="n">
        <v>0</v>
      </c>
      <c r="R96" s="2" t="inlineStr"/>
    </row>
    <row r="97" ht="15" customHeight="1">
      <c r="A97" t="inlineStr">
        <is>
          <t>A 42213-2019</t>
        </is>
      </c>
      <c r="B97" s="1" t="n">
        <v>43698</v>
      </c>
      <c r="C97" s="1" t="n">
        <v>45358</v>
      </c>
      <c r="D97" t="inlineStr">
        <is>
          <t>VÄSTRA GÖTALANDS LÄN</t>
        </is>
      </c>
      <c r="E97" t="inlineStr">
        <is>
          <t>DALS-ED</t>
        </is>
      </c>
      <c r="G97" t="n">
        <v>5.4</v>
      </c>
      <c r="H97" t="n">
        <v>0</v>
      </c>
      <c r="I97" t="n">
        <v>0</v>
      </c>
      <c r="J97" t="n">
        <v>0</v>
      </c>
      <c r="K97" t="n">
        <v>0</v>
      </c>
      <c r="L97" t="n">
        <v>0</v>
      </c>
      <c r="M97" t="n">
        <v>0</v>
      </c>
      <c r="N97" t="n">
        <v>0</v>
      </c>
      <c r="O97" t="n">
        <v>0</v>
      </c>
      <c r="P97" t="n">
        <v>0</v>
      </c>
      <c r="Q97" t="n">
        <v>0</v>
      </c>
      <c r="R97" s="2" t="inlineStr"/>
    </row>
    <row r="98" ht="15" customHeight="1">
      <c r="A98" t="inlineStr">
        <is>
          <t>A 43847-2019</t>
        </is>
      </c>
      <c r="B98" s="1" t="n">
        <v>43707</v>
      </c>
      <c r="C98" s="1" t="n">
        <v>45358</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46829-2019</t>
        </is>
      </c>
      <c r="B99" s="1" t="n">
        <v>43720</v>
      </c>
      <c r="C99" s="1" t="n">
        <v>45358</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46969-2019</t>
        </is>
      </c>
      <c r="B100" s="1" t="n">
        <v>43720</v>
      </c>
      <c r="C100" s="1" t="n">
        <v>45358</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48070-2019</t>
        </is>
      </c>
      <c r="B101" s="1" t="n">
        <v>43725</v>
      </c>
      <c r="C101" s="1" t="n">
        <v>45358</v>
      </c>
      <c r="D101" t="inlineStr">
        <is>
          <t>VÄSTRA GÖTALANDS LÄN</t>
        </is>
      </c>
      <c r="E101" t="inlineStr">
        <is>
          <t>DALS-ED</t>
        </is>
      </c>
      <c r="G101" t="n">
        <v>12.5</v>
      </c>
      <c r="H101" t="n">
        <v>0</v>
      </c>
      <c r="I101" t="n">
        <v>0</v>
      </c>
      <c r="J101" t="n">
        <v>0</v>
      </c>
      <c r="K101" t="n">
        <v>0</v>
      </c>
      <c r="L101" t="n">
        <v>0</v>
      </c>
      <c r="M101" t="n">
        <v>0</v>
      </c>
      <c r="N101" t="n">
        <v>0</v>
      </c>
      <c r="O101" t="n">
        <v>0</v>
      </c>
      <c r="P101" t="n">
        <v>0</v>
      </c>
      <c r="Q101" t="n">
        <v>0</v>
      </c>
      <c r="R101" s="2" t="inlineStr"/>
    </row>
    <row r="102" ht="15" customHeight="1">
      <c r="A102" t="inlineStr">
        <is>
          <t>A 51591-2019</t>
        </is>
      </c>
      <c r="B102" s="1" t="n">
        <v>43740</v>
      </c>
      <c r="C102" s="1" t="n">
        <v>45358</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53697-2019</t>
        </is>
      </c>
      <c r="B103" s="1" t="n">
        <v>43741</v>
      </c>
      <c r="C103" s="1" t="n">
        <v>45358</v>
      </c>
      <c r="D103" t="inlineStr">
        <is>
          <t>VÄSTRA GÖTALANDS LÄN</t>
        </is>
      </c>
      <c r="E103" t="inlineStr">
        <is>
          <t>DALS-ED</t>
        </is>
      </c>
      <c r="G103" t="n">
        <v>6.8</v>
      </c>
      <c r="H103" t="n">
        <v>0</v>
      </c>
      <c r="I103" t="n">
        <v>0</v>
      </c>
      <c r="J103" t="n">
        <v>0</v>
      </c>
      <c r="K103" t="n">
        <v>0</v>
      </c>
      <c r="L103" t="n">
        <v>0</v>
      </c>
      <c r="M103" t="n">
        <v>0</v>
      </c>
      <c r="N103" t="n">
        <v>0</v>
      </c>
      <c r="O103" t="n">
        <v>0</v>
      </c>
      <c r="P103" t="n">
        <v>0</v>
      </c>
      <c r="Q103" t="n">
        <v>0</v>
      </c>
      <c r="R103" s="2" t="inlineStr"/>
    </row>
    <row r="104" ht="15" customHeight="1">
      <c r="A104" t="inlineStr">
        <is>
          <t>A 53043-2019</t>
        </is>
      </c>
      <c r="B104" s="1" t="n">
        <v>43747</v>
      </c>
      <c r="C104" s="1" t="n">
        <v>45358</v>
      </c>
      <c r="D104" t="inlineStr">
        <is>
          <t>VÄSTRA GÖTALANDS LÄN</t>
        </is>
      </c>
      <c r="E104" t="inlineStr">
        <is>
          <t>DALS-ED</t>
        </is>
      </c>
      <c r="G104" t="n">
        <v>2.7</v>
      </c>
      <c r="H104" t="n">
        <v>0</v>
      </c>
      <c r="I104" t="n">
        <v>0</v>
      </c>
      <c r="J104" t="n">
        <v>0</v>
      </c>
      <c r="K104" t="n">
        <v>0</v>
      </c>
      <c r="L104" t="n">
        <v>0</v>
      </c>
      <c r="M104" t="n">
        <v>0</v>
      </c>
      <c r="N104" t="n">
        <v>0</v>
      </c>
      <c r="O104" t="n">
        <v>0</v>
      </c>
      <c r="P104" t="n">
        <v>0</v>
      </c>
      <c r="Q104" t="n">
        <v>0</v>
      </c>
      <c r="R104" s="2" t="inlineStr"/>
    </row>
    <row r="105" ht="15" customHeight="1">
      <c r="A105" t="inlineStr">
        <is>
          <t>A 58120-2019</t>
        </is>
      </c>
      <c r="B105" s="1" t="n">
        <v>43766</v>
      </c>
      <c r="C105" s="1" t="n">
        <v>45358</v>
      </c>
      <c r="D105" t="inlineStr">
        <is>
          <t>VÄSTRA GÖTALANDS LÄN</t>
        </is>
      </c>
      <c r="E105" t="inlineStr">
        <is>
          <t>DALS-ED</t>
        </is>
      </c>
      <c r="G105" t="n">
        <v>4.9</v>
      </c>
      <c r="H105" t="n">
        <v>0</v>
      </c>
      <c r="I105" t="n">
        <v>0</v>
      </c>
      <c r="J105" t="n">
        <v>0</v>
      </c>
      <c r="K105" t="n">
        <v>0</v>
      </c>
      <c r="L105" t="n">
        <v>0</v>
      </c>
      <c r="M105" t="n">
        <v>0</v>
      </c>
      <c r="N105" t="n">
        <v>0</v>
      </c>
      <c r="O105" t="n">
        <v>0</v>
      </c>
      <c r="P105" t="n">
        <v>0</v>
      </c>
      <c r="Q105" t="n">
        <v>0</v>
      </c>
      <c r="R105" s="2" t="inlineStr"/>
    </row>
    <row r="106" ht="15" customHeight="1">
      <c r="A106" t="inlineStr">
        <is>
          <t>A 56957-2019</t>
        </is>
      </c>
      <c r="B106" s="1" t="n">
        <v>43766</v>
      </c>
      <c r="C106" s="1" t="n">
        <v>45358</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57953-2019</t>
        </is>
      </c>
      <c r="B107" s="1" t="n">
        <v>43769</v>
      </c>
      <c r="C107" s="1" t="n">
        <v>45358</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57954-2019</t>
        </is>
      </c>
      <c r="B108" s="1" t="n">
        <v>43769</v>
      </c>
      <c r="C108" s="1" t="n">
        <v>45358</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60276-2019</t>
        </is>
      </c>
      <c r="B109" s="1" t="n">
        <v>43776</v>
      </c>
      <c r="C109" s="1" t="n">
        <v>45358</v>
      </c>
      <c r="D109" t="inlineStr">
        <is>
          <t>VÄSTRA GÖTALANDS LÄN</t>
        </is>
      </c>
      <c r="E109" t="inlineStr">
        <is>
          <t>DALS-ED</t>
        </is>
      </c>
      <c r="F109" t="inlineStr">
        <is>
          <t>Kyrkan</t>
        </is>
      </c>
      <c r="G109" t="n">
        <v>4.9</v>
      </c>
      <c r="H109" t="n">
        <v>0</v>
      </c>
      <c r="I109" t="n">
        <v>0</v>
      </c>
      <c r="J109" t="n">
        <v>0</v>
      </c>
      <c r="K109" t="n">
        <v>0</v>
      </c>
      <c r="L109" t="n">
        <v>0</v>
      </c>
      <c r="M109" t="n">
        <v>0</v>
      </c>
      <c r="N109" t="n">
        <v>0</v>
      </c>
      <c r="O109" t="n">
        <v>0</v>
      </c>
      <c r="P109" t="n">
        <v>0</v>
      </c>
      <c r="Q109" t="n">
        <v>0</v>
      </c>
      <c r="R109" s="2" t="inlineStr"/>
    </row>
    <row r="110" ht="15" customHeight="1">
      <c r="A110" t="inlineStr">
        <is>
          <t>A 60680-2019</t>
        </is>
      </c>
      <c r="B110" s="1" t="n">
        <v>43781</v>
      </c>
      <c r="C110" s="1" t="n">
        <v>45358</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61245-2019</t>
        </is>
      </c>
      <c r="B111" s="1" t="n">
        <v>43783</v>
      </c>
      <c r="C111" s="1" t="n">
        <v>45358</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62146-2019</t>
        </is>
      </c>
      <c r="B112" s="1" t="n">
        <v>43787</v>
      </c>
      <c r="C112" s="1" t="n">
        <v>45358</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63317-2019</t>
        </is>
      </c>
      <c r="B113" s="1" t="n">
        <v>43787</v>
      </c>
      <c r="C113" s="1" t="n">
        <v>45358</v>
      </c>
      <c r="D113" t="inlineStr">
        <is>
          <t>VÄSTRA GÖTALANDS LÄN</t>
        </is>
      </c>
      <c r="E113" t="inlineStr">
        <is>
          <t>DALS-ED</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62277-2019</t>
        </is>
      </c>
      <c r="B114" s="1" t="n">
        <v>43788</v>
      </c>
      <c r="C114" s="1" t="n">
        <v>45358</v>
      </c>
      <c r="D114" t="inlineStr">
        <is>
          <t>VÄSTRA GÖTALANDS LÄN</t>
        </is>
      </c>
      <c r="E114" t="inlineStr">
        <is>
          <t>DALS-ED</t>
        </is>
      </c>
      <c r="G114" t="n">
        <v>7.2</v>
      </c>
      <c r="H114" t="n">
        <v>0</v>
      </c>
      <c r="I114" t="n">
        <v>0</v>
      </c>
      <c r="J114" t="n">
        <v>0</v>
      </c>
      <c r="K114" t="n">
        <v>0</v>
      </c>
      <c r="L114" t="n">
        <v>0</v>
      </c>
      <c r="M114" t="n">
        <v>0</v>
      </c>
      <c r="N114" t="n">
        <v>0</v>
      </c>
      <c r="O114" t="n">
        <v>0</v>
      </c>
      <c r="P114" t="n">
        <v>0</v>
      </c>
      <c r="Q114" t="n">
        <v>0</v>
      </c>
      <c r="R114" s="2" t="inlineStr"/>
    </row>
    <row r="115" ht="15" customHeight="1">
      <c r="A115" t="inlineStr">
        <is>
          <t>A 64700-2019</t>
        </is>
      </c>
      <c r="B115" s="1" t="n">
        <v>43798</v>
      </c>
      <c r="C115" s="1" t="n">
        <v>45358</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65437-2019</t>
        </is>
      </c>
      <c r="B116" s="1" t="n">
        <v>43803</v>
      </c>
      <c r="C116" s="1" t="n">
        <v>45358</v>
      </c>
      <c r="D116" t="inlineStr">
        <is>
          <t>VÄSTRA GÖTALANDS LÄN</t>
        </is>
      </c>
      <c r="E116" t="inlineStr">
        <is>
          <t>DALS-ED</t>
        </is>
      </c>
      <c r="G116" t="n">
        <v>4.6</v>
      </c>
      <c r="H116" t="n">
        <v>0</v>
      </c>
      <c r="I116" t="n">
        <v>0</v>
      </c>
      <c r="J116" t="n">
        <v>0</v>
      </c>
      <c r="K116" t="n">
        <v>0</v>
      </c>
      <c r="L116" t="n">
        <v>0</v>
      </c>
      <c r="M116" t="n">
        <v>0</v>
      </c>
      <c r="N116" t="n">
        <v>0</v>
      </c>
      <c r="O116" t="n">
        <v>0</v>
      </c>
      <c r="P116" t="n">
        <v>0</v>
      </c>
      <c r="Q116" t="n">
        <v>0</v>
      </c>
      <c r="R116" s="2" t="inlineStr"/>
    </row>
    <row r="117" ht="15" customHeight="1">
      <c r="A117" t="inlineStr">
        <is>
          <t>A 67868-2019</t>
        </is>
      </c>
      <c r="B117" s="1" t="n">
        <v>43816</v>
      </c>
      <c r="C117" s="1" t="n">
        <v>45358</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4601-2020</t>
        </is>
      </c>
      <c r="B118" s="1" t="n">
        <v>43851</v>
      </c>
      <c r="C118" s="1" t="n">
        <v>45358</v>
      </c>
      <c r="D118" t="inlineStr">
        <is>
          <t>VÄSTRA GÖTALANDS LÄN</t>
        </is>
      </c>
      <c r="E118" t="inlineStr">
        <is>
          <t>DALS-ED</t>
        </is>
      </c>
      <c r="G118" t="n">
        <v>1.2</v>
      </c>
      <c r="H118" t="n">
        <v>0</v>
      </c>
      <c r="I118" t="n">
        <v>0</v>
      </c>
      <c r="J118" t="n">
        <v>0</v>
      </c>
      <c r="K118" t="n">
        <v>0</v>
      </c>
      <c r="L118" t="n">
        <v>0</v>
      </c>
      <c r="M118" t="n">
        <v>0</v>
      </c>
      <c r="N118" t="n">
        <v>0</v>
      </c>
      <c r="O118" t="n">
        <v>0</v>
      </c>
      <c r="P118" t="n">
        <v>0</v>
      </c>
      <c r="Q118" t="n">
        <v>0</v>
      </c>
      <c r="R118" s="2" t="inlineStr"/>
    </row>
    <row r="119" ht="15" customHeight="1">
      <c r="A119" t="inlineStr">
        <is>
          <t>A 5324-2020</t>
        </is>
      </c>
      <c r="B119" s="1" t="n">
        <v>43857</v>
      </c>
      <c r="C119" s="1" t="n">
        <v>45358</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6322-2020</t>
        </is>
      </c>
      <c r="B120" s="1" t="n">
        <v>43866</v>
      </c>
      <c r="C120" s="1" t="n">
        <v>45358</v>
      </c>
      <c r="D120" t="inlineStr">
        <is>
          <t>VÄSTRA GÖTALANDS LÄN</t>
        </is>
      </c>
      <c r="E120" t="inlineStr">
        <is>
          <t>DALS-ED</t>
        </is>
      </c>
      <c r="G120" t="n">
        <v>7.4</v>
      </c>
      <c r="H120" t="n">
        <v>0</v>
      </c>
      <c r="I120" t="n">
        <v>0</v>
      </c>
      <c r="J120" t="n">
        <v>0</v>
      </c>
      <c r="K120" t="n">
        <v>0</v>
      </c>
      <c r="L120" t="n">
        <v>0</v>
      </c>
      <c r="M120" t="n">
        <v>0</v>
      </c>
      <c r="N120" t="n">
        <v>0</v>
      </c>
      <c r="O120" t="n">
        <v>0</v>
      </c>
      <c r="P120" t="n">
        <v>0</v>
      </c>
      <c r="Q120" t="n">
        <v>0</v>
      </c>
      <c r="R120" s="2" t="inlineStr"/>
    </row>
    <row r="121" ht="15" customHeight="1">
      <c r="A121" t="inlineStr">
        <is>
          <t>A 7594-2020</t>
        </is>
      </c>
      <c r="B121" s="1" t="n">
        <v>43871</v>
      </c>
      <c r="C121" s="1" t="n">
        <v>45358</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7522-2020</t>
        </is>
      </c>
      <c r="B122" s="1" t="n">
        <v>43872</v>
      </c>
      <c r="C122" s="1" t="n">
        <v>45358</v>
      </c>
      <c r="D122" t="inlineStr">
        <is>
          <t>VÄSTRA GÖTALANDS LÄN</t>
        </is>
      </c>
      <c r="E122" t="inlineStr">
        <is>
          <t>DALS-ED</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7534-2020</t>
        </is>
      </c>
      <c r="B123" s="1" t="n">
        <v>43872</v>
      </c>
      <c r="C123" s="1" t="n">
        <v>45358</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7771-2020</t>
        </is>
      </c>
      <c r="B124" s="1" t="n">
        <v>43872</v>
      </c>
      <c r="C124" s="1" t="n">
        <v>45358</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9713-2020</t>
        </is>
      </c>
      <c r="B125" s="1" t="n">
        <v>43881</v>
      </c>
      <c r="C125" s="1" t="n">
        <v>45358</v>
      </c>
      <c r="D125" t="inlineStr">
        <is>
          <t>VÄSTRA GÖTALANDS LÄN</t>
        </is>
      </c>
      <c r="E125" t="inlineStr">
        <is>
          <t>DALS-ED</t>
        </is>
      </c>
      <c r="G125" t="n">
        <v>1</v>
      </c>
      <c r="H125" t="n">
        <v>0</v>
      </c>
      <c r="I125" t="n">
        <v>0</v>
      </c>
      <c r="J125" t="n">
        <v>0</v>
      </c>
      <c r="K125" t="n">
        <v>0</v>
      </c>
      <c r="L125" t="n">
        <v>0</v>
      </c>
      <c r="M125" t="n">
        <v>0</v>
      </c>
      <c r="N125" t="n">
        <v>0</v>
      </c>
      <c r="O125" t="n">
        <v>0</v>
      </c>
      <c r="P125" t="n">
        <v>0</v>
      </c>
      <c r="Q125" t="n">
        <v>0</v>
      </c>
      <c r="R125" s="2" t="inlineStr"/>
    </row>
    <row r="126" ht="15" customHeight="1">
      <c r="A126" t="inlineStr">
        <is>
          <t>A 9715-2020</t>
        </is>
      </c>
      <c r="B126" s="1" t="n">
        <v>43881</v>
      </c>
      <c r="C126" s="1" t="n">
        <v>45358</v>
      </c>
      <c r="D126" t="inlineStr">
        <is>
          <t>VÄSTRA GÖTALANDS LÄN</t>
        </is>
      </c>
      <c r="E126" t="inlineStr">
        <is>
          <t>DALS-ED</t>
        </is>
      </c>
      <c r="G126" t="n">
        <v>1.2</v>
      </c>
      <c r="H126" t="n">
        <v>0</v>
      </c>
      <c r="I126" t="n">
        <v>0</v>
      </c>
      <c r="J126" t="n">
        <v>0</v>
      </c>
      <c r="K126" t="n">
        <v>0</v>
      </c>
      <c r="L126" t="n">
        <v>0</v>
      </c>
      <c r="M126" t="n">
        <v>0</v>
      </c>
      <c r="N126" t="n">
        <v>0</v>
      </c>
      <c r="O126" t="n">
        <v>0</v>
      </c>
      <c r="P126" t="n">
        <v>0</v>
      </c>
      <c r="Q126" t="n">
        <v>0</v>
      </c>
      <c r="R126" s="2" t="inlineStr"/>
    </row>
    <row r="127" ht="15" customHeight="1">
      <c r="A127" t="inlineStr">
        <is>
          <t>A 9709-2020</t>
        </is>
      </c>
      <c r="B127" s="1" t="n">
        <v>43881</v>
      </c>
      <c r="C127" s="1" t="n">
        <v>45358</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10433-2020</t>
        </is>
      </c>
      <c r="B128" s="1" t="n">
        <v>43886</v>
      </c>
      <c r="C128" s="1" t="n">
        <v>45358</v>
      </c>
      <c r="D128" t="inlineStr">
        <is>
          <t>VÄSTRA GÖTALANDS LÄN</t>
        </is>
      </c>
      <c r="E128" t="inlineStr">
        <is>
          <t>DALS-ED</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11366-2020</t>
        </is>
      </c>
      <c r="B129" s="1" t="n">
        <v>43886</v>
      </c>
      <c r="C129" s="1" t="n">
        <v>45358</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11370-2020</t>
        </is>
      </c>
      <c r="B130" s="1" t="n">
        <v>43886</v>
      </c>
      <c r="C130" s="1" t="n">
        <v>45358</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11080-2020</t>
        </is>
      </c>
      <c r="B131" s="1" t="n">
        <v>43889</v>
      </c>
      <c r="C131" s="1" t="n">
        <v>45358</v>
      </c>
      <c r="D131" t="inlineStr">
        <is>
          <t>VÄSTRA GÖTALANDS LÄN</t>
        </is>
      </c>
      <c r="E131" t="inlineStr">
        <is>
          <t>DALS-ED</t>
        </is>
      </c>
      <c r="G131" t="n">
        <v>4.4</v>
      </c>
      <c r="H131" t="n">
        <v>0</v>
      </c>
      <c r="I131" t="n">
        <v>0</v>
      </c>
      <c r="J131" t="n">
        <v>0</v>
      </c>
      <c r="K131" t="n">
        <v>0</v>
      </c>
      <c r="L131" t="n">
        <v>0</v>
      </c>
      <c r="M131" t="n">
        <v>0</v>
      </c>
      <c r="N131" t="n">
        <v>0</v>
      </c>
      <c r="O131" t="n">
        <v>0</v>
      </c>
      <c r="P131" t="n">
        <v>0</v>
      </c>
      <c r="Q131" t="n">
        <v>0</v>
      </c>
      <c r="R131" s="2" t="inlineStr"/>
    </row>
    <row r="132" ht="15" customHeight="1">
      <c r="A132" t="inlineStr">
        <is>
          <t>A 11091-2020</t>
        </is>
      </c>
      <c r="B132" s="1" t="n">
        <v>43889</v>
      </c>
      <c r="C132" s="1" t="n">
        <v>45358</v>
      </c>
      <c r="D132" t="inlineStr">
        <is>
          <t>VÄSTRA GÖTALANDS LÄN</t>
        </is>
      </c>
      <c r="E132" t="inlineStr">
        <is>
          <t>DALS-ED</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13421-2020</t>
        </is>
      </c>
      <c r="B133" s="1" t="n">
        <v>43894</v>
      </c>
      <c r="C133" s="1" t="n">
        <v>45358</v>
      </c>
      <c r="D133" t="inlineStr">
        <is>
          <t>VÄSTRA GÖTALANDS LÄN</t>
        </is>
      </c>
      <c r="E133" t="inlineStr">
        <is>
          <t>DALS-ED</t>
        </is>
      </c>
      <c r="G133" t="n">
        <v>2.9</v>
      </c>
      <c r="H133" t="n">
        <v>0</v>
      </c>
      <c r="I133" t="n">
        <v>0</v>
      </c>
      <c r="J133" t="n">
        <v>0</v>
      </c>
      <c r="K133" t="n">
        <v>0</v>
      </c>
      <c r="L133" t="n">
        <v>0</v>
      </c>
      <c r="M133" t="n">
        <v>0</v>
      </c>
      <c r="N133" t="n">
        <v>0</v>
      </c>
      <c r="O133" t="n">
        <v>0</v>
      </c>
      <c r="P133" t="n">
        <v>0</v>
      </c>
      <c r="Q133" t="n">
        <v>0</v>
      </c>
      <c r="R133" s="2" t="inlineStr"/>
    </row>
    <row r="134" ht="15" customHeight="1">
      <c r="A134" t="inlineStr">
        <is>
          <t>A 12582-2020</t>
        </is>
      </c>
      <c r="B134" s="1" t="n">
        <v>43899</v>
      </c>
      <c r="C134" s="1" t="n">
        <v>45358</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12586-2020</t>
        </is>
      </c>
      <c r="B135" s="1" t="n">
        <v>43899</v>
      </c>
      <c r="C135" s="1" t="n">
        <v>45358</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13127-2020</t>
        </is>
      </c>
      <c r="B136" s="1" t="n">
        <v>43901</v>
      </c>
      <c r="C136" s="1" t="n">
        <v>45358</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13134-2020</t>
        </is>
      </c>
      <c r="B137" s="1" t="n">
        <v>43901</v>
      </c>
      <c r="C137" s="1" t="n">
        <v>45358</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14603-2020</t>
        </is>
      </c>
      <c r="B138" s="1" t="n">
        <v>43901</v>
      </c>
      <c r="C138" s="1" t="n">
        <v>45358</v>
      </c>
      <c r="D138" t="inlineStr">
        <is>
          <t>VÄSTRA GÖTALANDS LÄN</t>
        </is>
      </c>
      <c r="E138" t="inlineStr">
        <is>
          <t>DALS-ED</t>
        </is>
      </c>
      <c r="F138" t="inlineStr">
        <is>
          <t>Kyrkan</t>
        </is>
      </c>
      <c r="G138" t="n">
        <v>0.8</v>
      </c>
      <c r="H138" t="n">
        <v>0</v>
      </c>
      <c r="I138" t="n">
        <v>0</v>
      </c>
      <c r="J138" t="n">
        <v>0</v>
      </c>
      <c r="K138" t="n">
        <v>0</v>
      </c>
      <c r="L138" t="n">
        <v>0</v>
      </c>
      <c r="M138" t="n">
        <v>0</v>
      </c>
      <c r="N138" t="n">
        <v>0</v>
      </c>
      <c r="O138" t="n">
        <v>0</v>
      </c>
      <c r="P138" t="n">
        <v>0</v>
      </c>
      <c r="Q138" t="n">
        <v>0</v>
      </c>
      <c r="R138" s="2" t="inlineStr"/>
    </row>
    <row r="139" ht="15" customHeight="1">
      <c r="A139" t="inlineStr">
        <is>
          <t>A 14413-2020</t>
        </is>
      </c>
      <c r="B139" s="1" t="n">
        <v>43908</v>
      </c>
      <c r="C139" s="1" t="n">
        <v>45358</v>
      </c>
      <c r="D139" t="inlineStr">
        <is>
          <t>VÄSTRA GÖTALANDS LÄN</t>
        </is>
      </c>
      <c r="E139" t="inlineStr">
        <is>
          <t>DALS-ED</t>
        </is>
      </c>
      <c r="G139" t="n">
        <v>5.9</v>
      </c>
      <c r="H139" t="n">
        <v>0</v>
      </c>
      <c r="I139" t="n">
        <v>0</v>
      </c>
      <c r="J139" t="n">
        <v>0</v>
      </c>
      <c r="K139" t="n">
        <v>0</v>
      </c>
      <c r="L139" t="n">
        <v>0</v>
      </c>
      <c r="M139" t="n">
        <v>0</v>
      </c>
      <c r="N139" t="n">
        <v>0</v>
      </c>
      <c r="O139" t="n">
        <v>0</v>
      </c>
      <c r="P139" t="n">
        <v>0</v>
      </c>
      <c r="Q139" t="n">
        <v>0</v>
      </c>
      <c r="R139" s="2" t="inlineStr"/>
    </row>
    <row r="140" ht="15" customHeight="1">
      <c r="A140" t="inlineStr">
        <is>
          <t>A 14568-2020</t>
        </is>
      </c>
      <c r="B140" s="1" t="n">
        <v>43908</v>
      </c>
      <c r="C140" s="1" t="n">
        <v>45358</v>
      </c>
      <c r="D140" t="inlineStr">
        <is>
          <t>VÄSTRA GÖTALANDS LÄN</t>
        </is>
      </c>
      <c r="E140" t="inlineStr">
        <is>
          <t>DALS-ED</t>
        </is>
      </c>
      <c r="G140" t="n">
        <v>1.7</v>
      </c>
      <c r="H140" t="n">
        <v>0</v>
      </c>
      <c r="I140" t="n">
        <v>0</v>
      </c>
      <c r="J140" t="n">
        <v>0</v>
      </c>
      <c r="K140" t="n">
        <v>0</v>
      </c>
      <c r="L140" t="n">
        <v>0</v>
      </c>
      <c r="M140" t="n">
        <v>0</v>
      </c>
      <c r="N140" t="n">
        <v>0</v>
      </c>
      <c r="O140" t="n">
        <v>0</v>
      </c>
      <c r="P140" t="n">
        <v>0</v>
      </c>
      <c r="Q140" t="n">
        <v>0</v>
      </c>
      <c r="R140" s="2" t="inlineStr"/>
    </row>
    <row r="141" ht="15" customHeight="1">
      <c r="A141" t="inlineStr">
        <is>
          <t>A 14646-2020</t>
        </is>
      </c>
      <c r="B141" s="1" t="n">
        <v>43909</v>
      </c>
      <c r="C141" s="1" t="n">
        <v>45358</v>
      </c>
      <c r="D141" t="inlineStr">
        <is>
          <t>VÄSTRA GÖTALANDS LÄN</t>
        </is>
      </c>
      <c r="E141" t="inlineStr">
        <is>
          <t>DALS-ED</t>
        </is>
      </c>
      <c r="G141" t="n">
        <v>4.3</v>
      </c>
      <c r="H141" t="n">
        <v>0</v>
      </c>
      <c r="I141" t="n">
        <v>0</v>
      </c>
      <c r="J141" t="n">
        <v>0</v>
      </c>
      <c r="K141" t="n">
        <v>0</v>
      </c>
      <c r="L141" t="n">
        <v>0</v>
      </c>
      <c r="M141" t="n">
        <v>0</v>
      </c>
      <c r="N141" t="n">
        <v>0</v>
      </c>
      <c r="O141" t="n">
        <v>0</v>
      </c>
      <c r="P141" t="n">
        <v>0</v>
      </c>
      <c r="Q141" t="n">
        <v>0</v>
      </c>
      <c r="R141" s="2" t="inlineStr"/>
    </row>
    <row r="142" ht="15" customHeight="1">
      <c r="A142" t="inlineStr">
        <is>
          <t>A 15841-2020</t>
        </is>
      </c>
      <c r="B142" s="1" t="n">
        <v>43915</v>
      </c>
      <c r="C142" s="1" t="n">
        <v>45358</v>
      </c>
      <c r="D142" t="inlineStr">
        <is>
          <t>VÄSTRA GÖTALANDS LÄN</t>
        </is>
      </c>
      <c r="E142" t="inlineStr">
        <is>
          <t>DALS-ED</t>
        </is>
      </c>
      <c r="G142" t="n">
        <v>2.4</v>
      </c>
      <c r="H142" t="n">
        <v>0</v>
      </c>
      <c r="I142" t="n">
        <v>0</v>
      </c>
      <c r="J142" t="n">
        <v>0</v>
      </c>
      <c r="K142" t="n">
        <v>0</v>
      </c>
      <c r="L142" t="n">
        <v>0</v>
      </c>
      <c r="M142" t="n">
        <v>0</v>
      </c>
      <c r="N142" t="n">
        <v>0</v>
      </c>
      <c r="O142" t="n">
        <v>0</v>
      </c>
      <c r="P142" t="n">
        <v>0</v>
      </c>
      <c r="Q142" t="n">
        <v>0</v>
      </c>
      <c r="R142" s="2" t="inlineStr"/>
    </row>
    <row r="143" ht="15" customHeight="1">
      <c r="A143" t="inlineStr">
        <is>
          <t>A 15819-2020</t>
        </is>
      </c>
      <c r="B143" s="1" t="n">
        <v>43915</v>
      </c>
      <c r="C143" s="1" t="n">
        <v>45358</v>
      </c>
      <c r="D143" t="inlineStr">
        <is>
          <t>VÄSTRA GÖTALANDS LÄN</t>
        </is>
      </c>
      <c r="E143" t="inlineStr">
        <is>
          <t>DALS-ED</t>
        </is>
      </c>
      <c r="G143" t="n">
        <v>10.1</v>
      </c>
      <c r="H143" t="n">
        <v>0</v>
      </c>
      <c r="I143" t="n">
        <v>0</v>
      </c>
      <c r="J143" t="n">
        <v>0</v>
      </c>
      <c r="K143" t="n">
        <v>0</v>
      </c>
      <c r="L143" t="n">
        <v>0</v>
      </c>
      <c r="M143" t="n">
        <v>0</v>
      </c>
      <c r="N143" t="n">
        <v>0</v>
      </c>
      <c r="O143" t="n">
        <v>0</v>
      </c>
      <c r="P143" t="n">
        <v>0</v>
      </c>
      <c r="Q143" t="n">
        <v>0</v>
      </c>
      <c r="R143" s="2" t="inlineStr"/>
    </row>
    <row r="144" ht="15" customHeight="1">
      <c r="A144" t="inlineStr">
        <is>
          <t>A 15827-2020</t>
        </is>
      </c>
      <c r="B144" s="1" t="n">
        <v>43915</v>
      </c>
      <c r="C144" s="1" t="n">
        <v>45358</v>
      </c>
      <c r="D144" t="inlineStr">
        <is>
          <t>VÄSTRA GÖTALANDS LÄN</t>
        </is>
      </c>
      <c r="E144" t="inlineStr">
        <is>
          <t>DALS-ED</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16256-2020</t>
        </is>
      </c>
      <c r="B145" s="1" t="n">
        <v>43917</v>
      </c>
      <c r="C145" s="1" t="n">
        <v>45358</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16411-2020</t>
        </is>
      </c>
      <c r="B146" s="1" t="n">
        <v>43918</v>
      </c>
      <c r="C146" s="1" t="n">
        <v>45358</v>
      </c>
      <c r="D146" t="inlineStr">
        <is>
          <t>VÄSTRA GÖTALANDS LÄN</t>
        </is>
      </c>
      <c r="E146" t="inlineStr">
        <is>
          <t>DALS-ED</t>
        </is>
      </c>
      <c r="G146" t="n">
        <v>1.7</v>
      </c>
      <c r="H146" t="n">
        <v>0</v>
      </c>
      <c r="I146" t="n">
        <v>0</v>
      </c>
      <c r="J146" t="n">
        <v>0</v>
      </c>
      <c r="K146" t="n">
        <v>0</v>
      </c>
      <c r="L146" t="n">
        <v>0</v>
      </c>
      <c r="M146" t="n">
        <v>0</v>
      </c>
      <c r="N146" t="n">
        <v>0</v>
      </c>
      <c r="O146" t="n">
        <v>0</v>
      </c>
      <c r="P146" t="n">
        <v>0</v>
      </c>
      <c r="Q146" t="n">
        <v>0</v>
      </c>
      <c r="R146" s="2" t="inlineStr"/>
    </row>
    <row r="147" ht="15" customHeight="1">
      <c r="A147" t="inlineStr">
        <is>
          <t>A 17539-2020</t>
        </is>
      </c>
      <c r="B147" s="1" t="n">
        <v>43923</v>
      </c>
      <c r="C147" s="1" t="n">
        <v>45358</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17537-2020</t>
        </is>
      </c>
      <c r="B148" s="1" t="n">
        <v>43923</v>
      </c>
      <c r="C148" s="1" t="n">
        <v>45358</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17839-2020</t>
        </is>
      </c>
      <c r="B149" s="1" t="n">
        <v>43924</v>
      </c>
      <c r="C149" s="1" t="n">
        <v>45358</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18152-2020</t>
        </is>
      </c>
      <c r="B150" s="1" t="n">
        <v>43927</v>
      </c>
      <c r="C150" s="1" t="n">
        <v>45358</v>
      </c>
      <c r="D150" t="inlineStr">
        <is>
          <t>VÄSTRA GÖTALANDS LÄN</t>
        </is>
      </c>
      <c r="E150" t="inlineStr">
        <is>
          <t>DALS-ED</t>
        </is>
      </c>
      <c r="G150" t="n">
        <v>1.9</v>
      </c>
      <c r="H150" t="n">
        <v>0</v>
      </c>
      <c r="I150" t="n">
        <v>0</v>
      </c>
      <c r="J150" t="n">
        <v>0</v>
      </c>
      <c r="K150" t="n">
        <v>0</v>
      </c>
      <c r="L150" t="n">
        <v>0</v>
      </c>
      <c r="M150" t="n">
        <v>0</v>
      </c>
      <c r="N150" t="n">
        <v>0</v>
      </c>
      <c r="O150" t="n">
        <v>0</v>
      </c>
      <c r="P150" t="n">
        <v>0</v>
      </c>
      <c r="Q150" t="n">
        <v>0</v>
      </c>
      <c r="R150" s="2" t="inlineStr"/>
    </row>
    <row r="151" ht="15" customHeight="1">
      <c r="A151" t="inlineStr">
        <is>
          <t>A 19132-2020</t>
        </is>
      </c>
      <c r="B151" s="1" t="n">
        <v>43936</v>
      </c>
      <c r="C151" s="1" t="n">
        <v>45358</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20265-2020</t>
        </is>
      </c>
      <c r="B152" s="1" t="n">
        <v>43945</v>
      </c>
      <c r="C152" s="1" t="n">
        <v>45358</v>
      </c>
      <c r="D152" t="inlineStr">
        <is>
          <t>VÄSTRA GÖTALANDS LÄN</t>
        </is>
      </c>
      <c r="E152" t="inlineStr">
        <is>
          <t>DALS-ED</t>
        </is>
      </c>
      <c r="G152" t="n">
        <v>3.9</v>
      </c>
      <c r="H152" t="n">
        <v>0</v>
      </c>
      <c r="I152" t="n">
        <v>0</v>
      </c>
      <c r="J152" t="n">
        <v>0</v>
      </c>
      <c r="K152" t="n">
        <v>0</v>
      </c>
      <c r="L152" t="n">
        <v>0</v>
      </c>
      <c r="M152" t="n">
        <v>0</v>
      </c>
      <c r="N152" t="n">
        <v>0</v>
      </c>
      <c r="O152" t="n">
        <v>0</v>
      </c>
      <c r="P152" t="n">
        <v>0</v>
      </c>
      <c r="Q152" t="n">
        <v>0</v>
      </c>
      <c r="R152" s="2" t="inlineStr"/>
    </row>
    <row r="153" ht="15" customHeight="1">
      <c r="A153" t="inlineStr">
        <is>
          <t>A 20470-2020</t>
        </is>
      </c>
      <c r="B153" s="1" t="n">
        <v>43945</v>
      </c>
      <c r="C153" s="1" t="n">
        <v>45358</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20966-2020</t>
        </is>
      </c>
      <c r="B154" s="1" t="n">
        <v>43950</v>
      </c>
      <c r="C154" s="1" t="n">
        <v>45358</v>
      </c>
      <c r="D154" t="inlineStr">
        <is>
          <t>VÄSTRA GÖTALANDS LÄN</t>
        </is>
      </c>
      <c r="E154" t="inlineStr">
        <is>
          <t>DALS-ED</t>
        </is>
      </c>
      <c r="G154" t="n">
        <v>2.1</v>
      </c>
      <c r="H154" t="n">
        <v>0</v>
      </c>
      <c r="I154" t="n">
        <v>0</v>
      </c>
      <c r="J154" t="n">
        <v>0</v>
      </c>
      <c r="K154" t="n">
        <v>0</v>
      </c>
      <c r="L154" t="n">
        <v>0</v>
      </c>
      <c r="M154" t="n">
        <v>0</v>
      </c>
      <c r="N154" t="n">
        <v>0</v>
      </c>
      <c r="O154" t="n">
        <v>0</v>
      </c>
      <c r="P154" t="n">
        <v>0</v>
      </c>
      <c r="Q154" t="n">
        <v>0</v>
      </c>
      <c r="R154" s="2" t="inlineStr"/>
    </row>
    <row r="155" ht="15" customHeight="1">
      <c r="A155" t="inlineStr">
        <is>
          <t>A 20882-2020</t>
        </is>
      </c>
      <c r="B155" s="1" t="n">
        <v>43950</v>
      </c>
      <c r="C155" s="1" t="n">
        <v>45358</v>
      </c>
      <c r="D155" t="inlineStr">
        <is>
          <t>VÄSTRA GÖTALANDS LÄN</t>
        </is>
      </c>
      <c r="E155" t="inlineStr">
        <is>
          <t>DALS-ED</t>
        </is>
      </c>
      <c r="G155" t="n">
        <v>10.2</v>
      </c>
      <c r="H155" t="n">
        <v>0</v>
      </c>
      <c r="I155" t="n">
        <v>0</v>
      </c>
      <c r="J155" t="n">
        <v>0</v>
      </c>
      <c r="K155" t="n">
        <v>0</v>
      </c>
      <c r="L155" t="n">
        <v>0</v>
      </c>
      <c r="M155" t="n">
        <v>0</v>
      </c>
      <c r="N155" t="n">
        <v>0</v>
      </c>
      <c r="O155" t="n">
        <v>0</v>
      </c>
      <c r="P155" t="n">
        <v>0</v>
      </c>
      <c r="Q155" t="n">
        <v>0</v>
      </c>
      <c r="R155" s="2" t="inlineStr"/>
    </row>
    <row r="156" ht="15" customHeight="1">
      <c r="A156" t="inlineStr">
        <is>
          <t>A 21253-2020</t>
        </is>
      </c>
      <c r="B156" s="1" t="n">
        <v>43955</v>
      </c>
      <c r="C156" s="1" t="n">
        <v>45358</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22559-2020</t>
        </is>
      </c>
      <c r="B157" s="1" t="n">
        <v>43959</v>
      </c>
      <c r="C157" s="1" t="n">
        <v>45358</v>
      </c>
      <c r="D157" t="inlineStr">
        <is>
          <t>VÄSTRA GÖTALANDS LÄN</t>
        </is>
      </c>
      <c r="E157" t="inlineStr">
        <is>
          <t>DALS-ED</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23239-2020</t>
        </is>
      </c>
      <c r="B158" s="1" t="n">
        <v>43964</v>
      </c>
      <c r="C158" s="1" t="n">
        <v>45358</v>
      </c>
      <c r="D158" t="inlineStr">
        <is>
          <t>VÄSTRA GÖTALANDS LÄN</t>
        </is>
      </c>
      <c r="E158" t="inlineStr">
        <is>
          <t>DALS-ED</t>
        </is>
      </c>
      <c r="G158" t="n">
        <v>5.5</v>
      </c>
      <c r="H158" t="n">
        <v>0</v>
      </c>
      <c r="I158" t="n">
        <v>0</v>
      </c>
      <c r="J158" t="n">
        <v>0</v>
      </c>
      <c r="K158" t="n">
        <v>0</v>
      </c>
      <c r="L158" t="n">
        <v>0</v>
      </c>
      <c r="M158" t="n">
        <v>0</v>
      </c>
      <c r="N158" t="n">
        <v>0</v>
      </c>
      <c r="O158" t="n">
        <v>0</v>
      </c>
      <c r="P158" t="n">
        <v>0</v>
      </c>
      <c r="Q158" t="n">
        <v>0</v>
      </c>
      <c r="R158" s="2" t="inlineStr"/>
    </row>
    <row r="159" ht="15" customHeight="1">
      <c r="A159" t="inlineStr">
        <is>
          <t>A 25847-2020</t>
        </is>
      </c>
      <c r="B159" s="1" t="n">
        <v>43983</v>
      </c>
      <c r="C159" s="1" t="n">
        <v>45358</v>
      </c>
      <c r="D159" t="inlineStr">
        <is>
          <t>VÄSTRA GÖTALANDS LÄN</t>
        </is>
      </c>
      <c r="E159" t="inlineStr">
        <is>
          <t>DALS-ED</t>
        </is>
      </c>
      <c r="G159" t="n">
        <v>3.4</v>
      </c>
      <c r="H159" t="n">
        <v>0</v>
      </c>
      <c r="I159" t="n">
        <v>0</v>
      </c>
      <c r="J159" t="n">
        <v>0</v>
      </c>
      <c r="K159" t="n">
        <v>0</v>
      </c>
      <c r="L159" t="n">
        <v>0</v>
      </c>
      <c r="M159" t="n">
        <v>0</v>
      </c>
      <c r="N159" t="n">
        <v>0</v>
      </c>
      <c r="O159" t="n">
        <v>0</v>
      </c>
      <c r="P159" t="n">
        <v>0</v>
      </c>
      <c r="Q159" t="n">
        <v>0</v>
      </c>
      <c r="R159" s="2" t="inlineStr"/>
    </row>
    <row r="160" ht="15" customHeight="1">
      <c r="A160" t="inlineStr">
        <is>
          <t>A 26804-2020</t>
        </is>
      </c>
      <c r="B160" s="1" t="n">
        <v>43987</v>
      </c>
      <c r="C160" s="1" t="n">
        <v>45358</v>
      </c>
      <c r="D160" t="inlineStr">
        <is>
          <t>VÄSTRA GÖTALANDS LÄN</t>
        </is>
      </c>
      <c r="E160" t="inlineStr">
        <is>
          <t>DALS-ED</t>
        </is>
      </c>
      <c r="G160" t="n">
        <v>3.3</v>
      </c>
      <c r="H160" t="n">
        <v>0</v>
      </c>
      <c r="I160" t="n">
        <v>0</v>
      </c>
      <c r="J160" t="n">
        <v>0</v>
      </c>
      <c r="K160" t="n">
        <v>0</v>
      </c>
      <c r="L160" t="n">
        <v>0</v>
      </c>
      <c r="M160" t="n">
        <v>0</v>
      </c>
      <c r="N160" t="n">
        <v>0</v>
      </c>
      <c r="O160" t="n">
        <v>0</v>
      </c>
      <c r="P160" t="n">
        <v>0</v>
      </c>
      <c r="Q160" t="n">
        <v>0</v>
      </c>
      <c r="R160" s="2" t="inlineStr"/>
    </row>
    <row r="161" ht="15" customHeight="1">
      <c r="A161" t="inlineStr">
        <is>
          <t>A 32111-2020</t>
        </is>
      </c>
      <c r="B161" s="1" t="n">
        <v>44014</v>
      </c>
      <c r="C161" s="1" t="n">
        <v>45358</v>
      </c>
      <c r="D161" t="inlineStr">
        <is>
          <t>VÄSTRA GÖTALANDS LÄN</t>
        </is>
      </c>
      <c r="E161" t="inlineStr">
        <is>
          <t>DALS-ED</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32100-2020</t>
        </is>
      </c>
      <c r="B162" s="1" t="n">
        <v>44014</v>
      </c>
      <c r="C162" s="1" t="n">
        <v>45358</v>
      </c>
      <c r="D162" t="inlineStr">
        <is>
          <t>VÄSTRA GÖTALANDS LÄN</t>
        </is>
      </c>
      <c r="E162" t="inlineStr">
        <is>
          <t>DALS-ED</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33377-2020</t>
        </is>
      </c>
      <c r="B163" s="1" t="n">
        <v>44021</v>
      </c>
      <c r="C163" s="1" t="n">
        <v>45358</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33698-2020</t>
        </is>
      </c>
      <c r="B164" s="1" t="n">
        <v>44022</v>
      </c>
      <c r="C164" s="1" t="n">
        <v>45358</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33706-2020</t>
        </is>
      </c>
      <c r="B165" s="1" t="n">
        <v>44022</v>
      </c>
      <c r="C165" s="1" t="n">
        <v>45358</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35885-2020</t>
        </is>
      </c>
      <c r="B166" s="1" t="n">
        <v>44047</v>
      </c>
      <c r="C166" s="1" t="n">
        <v>45358</v>
      </c>
      <c r="D166" t="inlineStr">
        <is>
          <t>VÄSTRA GÖTALANDS LÄN</t>
        </is>
      </c>
      <c r="E166" t="inlineStr">
        <is>
          <t>DALS-ED</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36266-2020</t>
        </is>
      </c>
      <c r="B167" s="1" t="n">
        <v>44049</v>
      </c>
      <c r="C167" s="1" t="n">
        <v>45358</v>
      </c>
      <c r="D167" t="inlineStr">
        <is>
          <t>VÄSTRA GÖTALANDS LÄN</t>
        </is>
      </c>
      <c r="E167" t="inlineStr">
        <is>
          <t>DALS-ED</t>
        </is>
      </c>
      <c r="G167" t="n">
        <v>5.7</v>
      </c>
      <c r="H167" t="n">
        <v>0</v>
      </c>
      <c r="I167" t="n">
        <v>0</v>
      </c>
      <c r="J167" t="n">
        <v>0</v>
      </c>
      <c r="K167" t="n">
        <v>0</v>
      </c>
      <c r="L167" t="n">
        <v>0</v>
      </c>
      <c r="M167" t="n">
        <v>0</v>
      </c>
      <c r="N167" t="n">
        <v>0</v>
      </c>
      <c r="O167" t="n">
        <v>0</v>
      </c>
      <c r="P167" t="n">
        <v>0</v>
      </c>
      <c r="Q167" t="n">
        <v>0</v>
      </c>
      <c r="R167" s="2" t="inlineStr"/>
    </row>
    <row r="168" ht="15" customHeight="1">
      <c r="A168" t="inlineStr">
        <is>
          <t>A 36260-2020</t>
        </is>
      </c>
      <c r="B168" s="1" t="n">
        <v>44049</v>
      </c>
      <c r="C168" s="1" t="n">
        <v>45358</v>
      </c>
      <c r="D168" t="inlineStr">
        <is>
          <t>VÄSTRA GÖTALANDS LÄN</t>
        </is>
      </c>
      <c r="E168" t="inlineStr">
        <is>
          <t>DALS-ED</t>
        </is>
      </c>
      <c r="G168" t="n">
        <v>13.6</v>
      </c>
      <c r="H168" t="n">
        <v>0</v>
      </c>
      <c r="I168" t="n">
        <v>0</v>
      </c>
      <c r="J168" t="n">
        <v>0</v>
      </c>
      <c r="K168" t="n">
        <v>0</v>
      </c>
      <c r="L168" t="n">
        <v>0</v>
      </c>
      <c r="M168" t="n">
        <v>0</v>
      </c>
      <c r="N168" t="n">
        <v>0</v>
      </c>
      <c r="O168" t="n">
        <v>0</v>
      </c>
      <c r="P168" t="n">
        <v>0</v>
      </c>
      <c r="Q168" t="n">
        <v>0</v>
      </c>
      <c r="R168" s="2" t="inlineStr"/>
    </row>
    <row r="169" ht="15" customHeight="1">
      <c r="A169" t="inlineStr">
        <is>
          <t>A 38892-2020</t>
        </is>
      </c>
      <c r="B169" s="1" t="n">
        <v>44062</v>
      </c>
      <c r="C169" s="1" t="n">
        <v>45358</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40706-2020</t>
        </is>
      </c>
      <c r="B170" s="1" t="n">
        <v>44069</v>
      </c>
      <c r="C170" s="1" t="n">
        <v>45358</v>
      </c>
      <c r="D170" t="inlineStr">
        <is>
          <t>VÄSTRA GÖTALANDS LÄN</t>
        </is>
      </c>
      <c r="E170" t="inlineStr">
        <is>
          <t>DALS-ED</t>
        </is>
      </c>
      <c r="G170" t="n">
        <v>3</v>
      </c>
      <c r="H170" t="n">
        <v>0</v>
      </c>
      <c r="I170" t="n">
        <v>0</v>
      </c>
      <c r="J170" t="n">
        <v>0</v>
      </c>
      <c r="K170" t="n">
        <v>0</v>
      </c>
      <c r="L170" t="n">
        <v>0</v>
      </c>
      <c r="M170" t="n">
        <v>0</v>
      </c>
      <c r="N170" t="n">
        <v>0</v>
      </c>
      <c r="O170" t="n">
        <v>0</v>
      </c>
      <c r="P170" t="n">
        <v>0</v>
      </c>
      <c r="Q170" t="n">
        <v>0</v>
      </c>
      <c r="R170" s="2" t="inlineStr"/>
    </row>
    <row r="171" ht="15" customHeight="1">
      <c r="A171" t="inlineStr">
        <is>
          <t>A 42497-2020</t>
        </is>
      </c>
      <c r="B171" s="1" t="n">
        <v>44077</v>
      </c>
      <c r="C171" s="1" t="n">
        <v>45358</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46213-2020</t>
        </is>
      </c>
      <c r="B172" s="1" t="n">
        <v>44092</v>
      </c>
      <c r="C172" s="1" t="n">
        <v>45358</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50118-2020</t>
        </is>
      </c>
      <c r="B173" s="1" t="n">
        <v>44109</v>
      </c>
      <c r="C173" s="1" t="n">
        <v>45358</v>
      </c>
      <c r="D173" t="inlineStr">
        <is>
          <t>VÄSTRA GÖTALANDS LÄN</t>
        </is>
      </c>
      <c r="E173" t="inlineStr">
        <is>
          <t>DALS-ED</t>
        </is>
      </c>
      <c r="G173" t="n">
        <v>13.4</v>
      </c>
      <c r="H173" t="n">
        <v>0</v>
      </c>
      <c r="I173" t="n">
        <v>0</v>
      </c>
      <c r="J173" t="n">
        <v>0</v>
      </c>
      <c r="K173" t="n">
        <v>0</v>
      </c>
      <c r="L173" t="n">
        <v>0</v>
      </c>
      <c r="M173" t="n">
        <v>0</v>
      </c>
      <c r="N173" t="n">
        <v>0</v>
      </c>
      <c r="O173" t="n">
        <v>0</v>
      </c>
      <c r="P173" t="n">
        <v>0</v>
      </c>
      <c r="Q173" t="n">
        <v>0</v>
      </c>
      <c r="R173" s="2" t="inlineStr"/>
    </row>
    <row r="174" ht="15" customHeight="1">
      <c r="A174" t="inlineStr">
        <is>
          <t>A 50064-2020</t>
        </is>
      </c>
      <c r="B174" s="1" t="n">
        <v>44109</v>
      </c>
      <c r="C174" s="1" t="n">
        <v>45358</v>
      </c>
      <c r="D174" t="inlineStr">
        <is>
          <t>VÄSTRA GÖTALANDS LÄN</t>
        </is>
      </c>
      <c r="E174" t="inlineStr">
        <is>
          <t>DALS-ED</t>
        </is>
      </c>
      <c r="G174" t="n">
        <v>3.8</v>
      </c>
      <c r="H174" t="n">
        <v>0</v>
      </c>
      <c r="I174" t="n">
        <v>0</v>
      </c>
      <c r="J174" t="n">
        <v>0</v>
      </c>
      <c r="K174" t="n">
        <v>0</v>
      </c>
      <c r="L174" t="n">
        <v>0</v>
      </c>
      <c r="M174" t="n">
        <v>0</v>
      </c>
      <c r="N174" t="n">
        <v>0</v>
      </c>
      <c r="O174" t="n">
        <v>0</v>
      </c>
      <c r="P174" t="n">
        <v>0</v>
      </c>
      <c r="Q174" t="n">
        <v>0</v>
      </c>
      <c r="R174" s="2" t="inlineStr"/>
    </row>
    <row r="175" ht="15" customHeight="1">
      <c r="A175" t="inlineStr">
        <is>
          <t>A 50104-2020</t>
        </is>
      </c>
      <c r="B175" s="1" t="n">
        <v>44109</v>
      </c>
      <c r="C175" s="1" t="n">
        <v>45358</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53567-2020</t>
        </is>
      </c>
      <c r="B176" s="1" t="n">
        <v>44124</v>
      </c>
      <c r="C176" s="1" t="n">
        <v>45358</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53595-2020</t>
        </is>
      </c>
      <c r="B177" s="1" t="n">
        <v>44124</v>
      </c>
      <c r="C177" s="1" t="n">
        <v>45358</v>
      </c>
      <c r="D177" t="inlineStr">
        <is>
          <t>VÄSTRA GÖTALANDS LÄN</t>
        </is>
      </c>
      <c r="E177" t="inlineStr">
        <is>
          <t>DALS-ED</t>
        </is>
      </c>
      <c r="G177" t="n">
        <v>5</v>
      </c>
      <c r="H177" t="n">
        <v>0</v>
      </c>
      <c r="I177" t="n">
        <v>0</v>
      </c>
      <c r="J177" t="n">
        <v>0</v>
      </c>
      <c r="K177" t="n">
        <v>0</v>
      </c>
      <c r="L177" t="n">
        <v>0</v>
      </c>
      <c r="M177" t="n">
        <v>0</v>
      </c>
      <c r="N177" t="n">
        <v>0</v>
      </c>
      <c r="O177" t="n">
        <v>0</v>
      </c>
      <c r="P177" t="n">
        <v>0</v>
      </c>
      <c r="Q177" t="n">
        <v>0</v>
      </c>
      <c r="R177" s="2" t="inlineStr"/>
    </row>
    <row r="178" ht="15" customHeight="1">
      <c r="A178" t="inlineStr">
        <is>
          <t>A 53606-2020</t>
        </is>
      </c>
      <c r="B178" s="1" t="n">
        <v>44124</v>
      </c>
      <c r="C178" s="1" t="n">
        <v>45358</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55728-2020</t>
        </is>
      </c>
      <c r="B179" s="1" t="n">
        <v>44132</v>
      </c>
      <c r="C179" s="1" t="n">
        <v>45358</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55763-2020</t>
        </is>
      </c>
      <c r="B180" s="1" t="n">
        <v>44132</v>
      </c>
      <c r="C180" s="1" t="n">
        <v>45358</v>
      </c>
      <c r="D180" t="inlineStr">
        <is>
          <t>VÄSTRA GÖTALANDS LÄN</t>
        </is>
      </c>
      <c r="E180" t="inlineStr">
        <is>
          <t>DALS-ED</t>
        </is>
      </c>
      <c r="G180" t="n">
        <v>3</v>
      </c>
      <c r="H180" t="n">
        <v>0</v>
      </c>
      <c r="I180" t="n">
        <v>0</v>
      </c>
      <c r="J180" t="n">
        <v>0</v>
      </c>
      <c r="K180" t="n">
        <v>0</v>
      </c>
      <c r="L180" t="n">
        <v>0</v>
      </c>
      <c r="M180" t="n">
        <v>0</v>
      </c>
      <c r="N180" t="n">
        <v>0</v>
      </c>
      <c r="O180" t="n">
        <v>0</v>
      </c>
      <c r="P180" t="n">
        <v>0</v>
      </c>
      <c r="Q180" t="n">
        <v>0</v>
      </c>
      <c r="R180" s="2" t="inlineStr"/>
    </row>
    <row r="181" ht="15" customHeight="1">
      <c r="A181" t="inlineStr">
        <is>
          <t>A 55940-2020</t>
        </is>
      </c>
      <c r="B181" s="1" t="n">
        <v>44133</v>
      </c>
      <c r="C181" s="1" t="n">
        <v>45358</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56016-2020</t>
        </is>
      </c>
      <c r="B182" s="1" t="n">
        <v>44133</v>
      </c>
      <c r="C182" s="1" t="n">
        <v>45358</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57201-2020</t>
        </is>
      </c>
      <c r="B183" s="1" t="n">
        <v>44139</v>
      </c>
      <c r="C183" s="1" t="n">
        <v>45358</v>
      </c>
      <c r="D183" t="inlineStr">
        <is>
          <t>VÄSTRA GÖTALANDS LÄN</t>
        </is>
      </c>
      <c r="E183" t="inlineStr">
        <is>
          <t>DALS-ED</t>
        </is>
      </c>
      <c r="G183" t="n">
        <v>10.8</v>
      </c>
      <c r="H183" t="n">
        <v>0</v>
      </c>
      <c r="I183" t="n">
        <v>0</v>
      </c>
      <c r="J183" t="n">
        <v>0</v>
      </c>
      <c r="K183" t="n">
        <v>0</v>
      </c>
      <c r="L183" t="n">
        <v>0</v>
      </c>
      <c r="M183" t="n">
        <v>0</v>
      </c>
      <c r="N183" t="n">
        <v>0</v>
      </c>
      <c r="O183" t="n">
        <v>0</v>
      </c>
      <c r="P183" t="n">
        <v>0</v>
      </c>
      <c r="Q183" t="n">
        <v>0</v>
      </c>
      <c r="R183" s="2" t="inlineStr"/>
    </row>
    <row r="184" ht="15" customHeight="1">
      <c r="A184" t="inlineStr">
        <is>
          <t>A 59943-2020</t>
        </is>
      </c>
      <c r="B184" s="1" t="n">
        <v>44151</v>
      </c>
      <c r="C184" s="1" t="n">
        <v>45358</v>
      </c>
      <c r="D184" t="inlineStr">
        <is>
          <t>VÄSTRA GÖTALANDS LÄN</t>
        </is>
      </c>
      <c r="E184" t="inlineStr">
        <is>
          <t>DALS-ED</t>
        </is>
      </c>
      <c r="G184" t="n">
        <v>3.4</v>
      </c>
      <c r="H184" t="n">
        <v>0</v>
      </c>
      <c r="I184" t="n">
        <v>0</v>
      </c>
      <c r="J184" t="n">
        <v>0</v>
      </c>
      <c r="K184" t="n">
        <v>0</v>
      </c>
      <c r="L184" t="n">
        <v>0</v>
      </c>
      <c r="M184" t="n">
        <v>0</v>
      </c>
      <c r="N184" t="n">
        <v>0</v>
      </c>
      <c r="O184" t="n">
        <v>0</v>
      </c>
      <c r="P184" t="n">
        <v>0</v>
      </c>
      <c r="Q184" t="n">
        <v>0</v>
      </c>
      <c r="R184" s="2" t="inlineStr"/>
    </row>
    <row r="185" ht="15" customHeight="1">
      <c r="A185" t="inlineStr">
        <is>
          <t>A 63280-2020</t>
        </is>
      </c>
      <c r="B185" s="1" t="n">
        <v>44165</v>
      </c>
      <c r="C185" s="1" t="n">
        <v>45358</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65174-2020</t>
        </is>
      </c>
      <c r="B186" s="1" t="n">
        <v>44168</v>
      </c>
      <c r="C186" s="1" t="n">
        <v>45358</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67113-2020</t>
        </is>
      </c>
      <c r="B187" s="1" t="n">
        <v>44180</v>
      </c>
      <c r="C187" s="1" t="n">
        <v>45358</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67873-2020</t>
        </is>
      </c>
      <c r="B188" s="1" t="n">
        <v>44182</v>
      </c>
      <c r="C188" s="1" t="n">
        <v>45358</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68347-2020</t>
        </is>
      </c>
      <c r="B189" s="1" t="n">
        <v>44182</v>
      </c>
      <c r="C189" s="1" t="n">
        <v>45358</v>
      </c>
      <c r="D189" t="inlineStr">
        <is>
          <t>VÄSTRA GÖTALANDS LÄN</t>
        </is>
      </c>
      <c r="E189" t="inlineStr">
        <is>
          <t>DALS-ED</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69122-2020</t>
        </is>
      </c>
      <c r="B190" s="1" t="n">
        <v>44188</v>
      </c>
      <c r="C190" s="1" t="n">
        <v>45358</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3147-2021</t>
        </is>
      </c>
      <c r="B191" s="1" t="n">
        <v>44217</v>
      </c>
      <c r="C191" s="1" t="n">
        <v>45358</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3846-2021</t>
        </is>
      </c>
      <c r="B192" s="1" t="n">
        <v>44217</v>
      </c>
      <c r="C192" s="1" t="n">
        <v>45358</v>
      </c>
      <c r="D192" t="inlineStr">
        <is>
          <t>VÄSTRA GÖTALANDS LÄN</t>
        </is>
      </c>
      <c r="E192" t="inlineStr">
        <is>
          <t>DALS-ED</t>
        </is>
      </c>
      <c r="G192" t="n">
        <v>8.5</v>
      </c>
      <c r="H192" t="n">
        <v>0</v>
      </c>
      <c r="I192" t="n">
        <v>0</v>
      </c>
      <c r="J192" t="n">
        <v>0</v>
      </c>
      <c r="K192" t="n">
        <v>0</v>
      </c>
      <c r="L192" t="n">
        <v>0</v>
      </c>
      <c r="M192" t="n">
        <v>0</v>
      </c>
      <c r="N192" t="n">
        <v>0</v>
      </c>
      <c r="O192" t="n">
        <v>0</v>
      </c>
      <c r="P192" t="n">
        <v>0</v>
      </c>
      <c r="Q192" t="n">
        <v>0</v>
      </c>
      <c r="R192" s="2" t="inlineStr"/>
    </row>
    <row r="193" ht="15" customHeight="1">
      <c r="A193" t="inlineStr">
        <is>
          <t>A 3773-2021</t>
        </is>
      </c>
      <c r="B193" s="1" t="n">
        <v>44217</v>
      </c>
      <c r="C193" s="1" t="n">
        <v>45358</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3468-2021</t>
        </is>
      </c>
      <c r="B194" s="1" t="n">
        <v>44218</v>
      </c>
      <c r="C194" s="1" t="n">
        <v>45358</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3390-2021</t>
        </is>
      </c>
      <c r="B195" s="1" t="n">
        <v>44218</v>
      </c>
      <c r="C195" s="1" t="n">
        <v>45358</v>
      </c>
      <c r="D195" t="inlineStr">
        <is>
          <t>VÄSTRA GÖTALANDS LÄN</t>
        </is>
      </c>
      <c r="E195" t="inlineStr">
        <is>
          <t>DALS-ED</t>
        </is>
      </c>
      <c r="G195" t="n">
        <v>2.3</v>
      </c>
      <c r="H195" t="n">
        <v>0</v>
      </c>
      <c r="I195" t="n">
        <v>0</v>
      </c>
      <c r="J195" t="n">
        <v>0</v>
      </c>
      <c r="K195" t="n">
        <v>0</v>
      </c>
      <c r="L195" t="n">
        <v>0</v>
      </c>
      <c r="M195" t="n">
        <v>0</v>
      </c>
      <c r="N195" t="n">
        <v>0</v>
      </c>
      <c r="O195" t="n">
        <v>0</v>
      </c>
      <c r="P195" t="n">
        <v>0</v>
      </c>
      <c r="Q195" t="n">
        <v>0</v>
      </c>
      <c r="R195" s="2" t="inlineStr"/>
    </row>
    <row r="196" ht="15" customHeight="1">
      <c r="A196" t="inlineStr">
        <is>
          <t>A 4075-2021</t>
        </is>
      </c>
      <c r="B196" s="1" t="n">
        <v>44222</v>
      </c>
      <c r="C196" s="1" t="n">
        <v>45358</v>
      </c>
      <c r="D196" t="inlineStr">
        <is>
          <t>VÄSTRA GÖTALANDS LÄN</t>
        </is>
      </c>
      <c r="E196" t="inlineStr">
        <is>
          <t>DALS-ED</t>
        </is>
      </c>
      <c r="G196" t="n">
        <v>10.4</v>
      </c>
      <c r="H196" t="n">
        <v>0</v>
      </c>
      <c r="I196" t="n">
        <v>0</v>
      </c>
      <c r="J196" t="n">
        <v>0</v>
      </c>
      <c r="K196" t="n">
        <v>0</v>
      </c>
      <c r="L196" t="n">
        <v>0</v>
      </c>
      <c r="M196" t="n">
        <v>0</v>
      </c>
      <c r="N196" t="n">
        <v>0</v>
      </c>
      <c r="O196" t="n">
        <v>0</v>
      </c>
      <c r="P196" t="n">
        <v>0</v>
      </c>
      <c r="Q196" t="n">
        <v>0</v>
      </c>
      <c r="R196" s="2" t="inlineStr"/>
    </row>
    <row r="197" ht="15" customHeight="1">
      <c r="A197" t="inlineStr">
        <is>
          <t>A 5003-2021</t>
        </is>
      </c>
      <c r="B197" s="1" t="n">
        <v>44228</v>
      </c>
      <c r="C197" s="1" t="n">
        <v>45358</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5532-2021</t>
        </is>
      </c>
      <c r="B198" s="1" t="n">
        <v>44230</v>
      </c>
      <c r="C198" s="1" t="n">
        <v>45358</v>
      </c>
      <c r="D198" t="inlineStr">
        <is>
          <t>VÄSTRA GÖTALANDS LÄN</t>
        </is>
      </c>
      <c r="E198" t="inlineStr">
        <is>
          <t>DALS-ED</t>
        </is>
      </c>
      <c r="G198" t="n">
        <v>9</v>
      </c>
      <c r="H198" t="n">
        <v>0</v>
      </c>
      <c r="I198" t="n">
        <v>0</v>
      </c>
      <c r="J198" t="n">
        <v>0</v>
      </c>
      <c r="K198" t="n">
        <v>0</v>
      </c>
      <c r="L198" t="n">
        <v>0</v>
      </c>
      <c r="M198" t="n">
        <v>0</v>
      </c>
      <c r="N198" t="n">
        <v>0</v>
      </c>
      <c r="O198" t="n">
        <v>0</v>
      </c>
      <c r="P198" t="n">
        <v>0</v>
      </c>
      <c r="Q198" t="n">
        <v>0</v>
      </c>
      <c r="R198" s="2" t="inlineStr"/>
    </row>
    <row r="199" ht="15" customHeight="1">
      <c r="A199" t="inlineStr">
        <is>
          <t>A 5766-2021</t>
        </is>
      </c>
      <c r="B199" s="1" t="n">
        <v>44230</v>
      </c>
      <c r="C199" s="1" t="n">
        <v>45358</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6113-2021</t>
        </is>
      </c>
      <c r="B200" s="1" t="n">
        <v>44232</v>
      </c>
      <c r="C200" s="1" t="n">
        <v>45358</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6690-2021</t>
        </is>
      </c>
      <c r="B201" s="1" t="n">
        <v>44236</v>
      </c>
      <c r="C201" s="1" t="n">
        <v>45358</v>
      </c>
      <c r="D201" t="inlineStr">
        <is>
          <t>VÄSTRA GÖTALANDS LÄN</t>
        </is>
      </c>
      <c r="E201" t="inlineStr">
        <is>
          <t>DALS-ED</t>
        </is>
      </c>
      <c r="G201" t="n">
        <v>1.7</v>
      </c>
      <c r="H201" t="n">
        <v>0</v>
      </c>
      <c r="I201" t="n">
        <v>0</v>
      </c>
      <c r="J201" t="n">
        <v>0</v>
      </c>
      <c r="K201" t="n">
        <v>0</v>
      </c>
      <c r="L201" t="n">
        <v>0</v>
      </c>
      <c r="M201" t="n">
        <v>0</v>
      </c>
      <c r="N201" t="n">
        <v>0</v>
      </c>
      <c r="O201" t="n">
        <v>0</v>
      </c>
      <c r="P201" t="n">
        <v>0</v>
      </c>
      <c r="Q201" t="n">
        <v>0</v>
      </c>
      <c r="R201" s="2" t="inlineStr"/>
    </row>
    <row r="202" ht="15" customHeight="1">
      <c r="A202" t="inlineStr">
        <is>
          <t>A 6668-2021</t>
        </is>
      </c>
      <c r="B202" s="1" t="n">
        <v>44236</v>
      </c>
      <c r="C202" s="1" t="n">
        <v>45358</v>
      </c>
      <c r="D202" t="inlineStr">
        <is>
          <t>VÄSTRA GÖTALANDS LÄN</t>
        </is>
      </c>
      <c r="E202" t="inlineStr">
        <is>
          <t>DALS-ED</t>
        </is>
      </c>
      <c r="G202" t="n">
        <v>5.2</v>
      </c>
      <c r="H202" t="n">
        <v>0</v>
      </c>
      <c r="I202" t="n">
        <v>0</v>
      </c>
      <c r="J202" t="n">
        <v>0</v>
      </c>
      <c r="K202" t="n">
        <v>0</v>
      </c>
      <c r="L202" t="n">
        <v>0</v>
      </c>
      <c r="M202" t="n">
        <v>0</v>
      </c>
      <c r="N202" t="n">
        <v>0</v>
      </c>
      <c r="O202" t="n">
        <v>0</v>
      </c>
      <c r="P202" t="n">
        <v>0</v>
      </c>
      <c r="Q202" t="n">
        <v>0</v>
      </c>
      <c r="R202" s="2" t="inlineStr"/>
    </row>
    <row r="203" ht="15" customHeight="1">
      <c r="A203" t="inlineStr">
        <is>
          <t>A 6674-2021</t>
        </is>
      </c>
      <c r="B203" s="1" t="n">
        <v>44236</v>
      </c>
      <c r="C203" s="1" t="n">
        <v>45358</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6829-2021</t>
        </is>
      </c>
      <c r="B204" s="1" t="n">
        <v>44237</v>
      </c>
      <c r="C204" s="1" t="n">
        <v>45358</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6826-2021</t>
        </is>
      </c>
      <c r="B205" s="1" t="n">
        <v>44237</v>
      </c>
      <c r="C205" s="1" t="n">
        <v>45358</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9084-2021</t>
        </is>
      </c>
      <c r="B206" s="1" t="n">
        <v>44249</v>
      </c>
      <c r="C206" s="1" t="n">
        <v>45358</v>
      </c>
      <c r="D206" t="inlineStr">
        <is>
          <t>VÄSTRA GÖTALANDS LÄN</t>
        </is>
      </c>
      <c r="E206" t="inlineStr">
        <is>
          <t>DALS-ED</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45358</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11526-2021</t>
        </is>
      </c>
      <c r="B208" s="1" t="n">
        <v>44264</v>
      </c>
      <c r="C208" s="1" t="n">
        <v>45358</v>
      </c>
      <c r="D208" t="inlineStr">
        <is>
          <t>VÄSTRA GÖTALANDS LÄN</t>
        </is>
      </c>
      <c r="E208" t="inlineStr">
        <is>
          <t>DALS-ED</t>
        </is>
      </c>
      <c r="G208" t="n">
        <v>5.6</v>
      </c>
      <c r="H208" t="n">
        <v>0</v>
      </c>
      <c r="I208" t="n">
        <v>0</v>
      </c>
      <c r="J208" t="n">
        <v>0</v>
      </c>
      <c r="K208" t="n">
        <v>0</v>
      </c>
      <c r="L208" t="n">
        <v>0</v>
      </c>
      <c r="M208" t="n">
        <v>0</v>
      </c>
      <c r="N208" t="n">
        <v>0</v>
      </c>
      <c r="O208" t="n">
        <v>0</v>
      </c>
      <c r="P208" t="n">
        <v>0</v>
      </c>
      <c r="Q208" t="n">
        <v>0</v>
      </c>
      <c r="R208" s="2" t="inlineStr"/>
    </row>
    <row r="209" ht="15" customHeight="1">
      <c r="A209" t="inlineStr">
        <is>
          <t>A 11656-2021</t>
        </is>
      </c>
      <c r="B209" s="1" t="n">
        <v>44264</v>
      </c>
      <c r="C209" s="1" t="n">
        <v>45358</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12046-2021</t>
        </is>
      </c>
      <c r="B210" s="1" t="n">
        <v>44266</v>
      </c>
      <c r="C210" s="1" t="n">
        <v>45358</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12052-2021</t>
        </is>
      </c>
      <c r="B211" s="1" t="n">
        <v>44266</v>
      </c>
      <c r="C211" s="1" t="n">
        <v>45358</v>
      </c>
      <c r="D211" t="inlineStr">
        <is>
          <t>VÄSTRA GÖTALANDS LÄN</t>
        </is>
      </c>
      <c r="E211" t="inlineStr">
        <is>
          <t>DALS-ED</t>
        </is>
      </c>
      <c r="G211" t="n">
        <v>2.1</v>
      </c>
      <c r="H211" t="n">
        <v>0</v>
      </c>
      <c r="I211" t="n">
        <v>0</v>
      </c>
      <c r="J211" t="n">
        <v>0</v>
      </c>
      <c r="K211" t="n">
        <v>0</v>
      </c>
      <c r="L211" t="n">
        <v>0</v>
      </c>
      <c r="M211" t="n">
        <v>0</v>
      </c>
      <c r="N211" t="n">
        <v>0</v>
      </c>
      <c r="O211" t="n">
        <v>0</v>
      </c>
      <c r="P211" t="n">
        <v>0</v>
      </c>
      <c r="Q211" t="n">
        <v>0</v>
      </c>
      <c r="R211" s="2" t="inlineStr"/>
    </row>
    <row r="212" ht="15" customHeight="1">
      <c r="A212" t="inlineStr">
        <is>
          <t>A 13413-2021</t>
        </is>
      </c>
      <c r="B212" s="1" t="n">
        <v>44273</v>
      </c>
      <c r="C212" s="1" t="n">
        <v>45358</v>
      </c>
      <c r="D212" t="inlineStr">
        <is>
          <t>VÄSTRA GÖTALANDS LÄN</t>
        </is>
      </c>
      <c r="E212" t="inlineStr">
        <is>
          <t>DALS-ED</t>
        </is>
      </c>
      <c r="F212" t="inlineStr">
        <is>
          <t>Övriga Aktiebolag</t>
        </is>
      </c>
      <c r="G212" t="n">
        <v>4.6</v>
      </c>
      <c r="H212" t="n">
        <v>0</v>
      </c>
      <c r="I212" t="n">
        <v>0</v>
      </c>
      <c r="J212" t="n">
        <v>0</v>
      </c>
      <c r="K212" t="n">
        <v>0</v>
      </c>
      <c r="L212" t="n">
        <v>0</v>
      </c>
      <c r="M212" t="n">
        <v>0</v>
      </c>
      <c r="N212" t="n">
        <v>0</v>
      </c>
      <c r="O212" t="n">
        <v>0</v>
      </c>
      <c r="P212" t="n">
        <v>0</v>
      </c>
      <c r="Q212" t="n">
        <v>0</v>
      </c>
      <c r="R212" s="2" t="inlineStr"/>
    </row>
    <row r="213" ht="15" customHeight="1">
      <c r="A213" t="inlineStr">
        <is>
          <t>A 13940-2021</t>
        </is>
      </c>
      <c r="B213" s="1" t="n">
        <v>44277</v>
      </c>
      <c r="C213" s="1" t="n">
        <v>45358</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13998-2021</t>
        </is>
      </c>
      <c r="B214" s="1" t="n">
        <v>44277</v>
      </c>
      <c r="C214" s="1" t="n">
        <v>45358</v>
      </c>
      <c r="D214" t="inlineStr">
        <is>
          <t>VÄSTRA GÖTALANDS LÄN</t>
        </is>
      </c>
      <c r="E214" t="inlineStr">
        <is>
          <t>DALS-ED</t>
        </is>
      </c>
      <c r="G214" t="n">
        <v>5.3</v>
      </c>
      <c r="H214" t="n">
        <v>0</v>
      </c>
      <c r="I214" t="n">
        <v>0</v>
      </c>
      <c r="J214" t="n">
        <v>0</v>
      </c>
      <c r="K214" t="n">
        <v>0</v>
      </c>
      <c r="L214" t="n">
        <v>0</v>
      </c>
      <c r="M214" t="n">
        <v>0</v>
      </c>
      <c r="N214" t="n">
        <v>0</v>
      </c>
      <c r="O214" t="n">
        <v>0</v>
      </c>
      <c r="P214" t="n">
        <v>0</v>
      </c>
      <c r="Q214" t="n">
        <v>0</v>
      </c>
      <c r="R214" s="2" t="inlineStr"/>
    </row>
    <row r="215" ht="15" customHeight="1">
      <c r="A215" t="inlineStr">
        <is>
          <t>A 13949-2021</t>
        </is>
      </c>
      <c r="B215" s="1" t="n">
        <v>44277</v>
      </c>
      <c r="C215" s="1" t="n">
        <v>45358</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15009-2021</t>
        </is>
      </c>
      <c r="B216" s="1" t="n">
        <v>44281</v>
      </c>
      <c r="C216" s="1" t="n">
        <v>45358</v>
      </c>
      <c r="D216" t="inlineStr">
        <is>
          <t>VÄSTRA GÖTALANDS LÄN</t>
        </is>
      </c>
      <c r="E216" t="inlineStr">
        <is>
          <t>DALS-ED</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16924-2021</t>
        </is>
      </c>
      <c r="B217" s="1" t="n">
        <v>44295</v>
      </c>
      <c r="C217" s="1" t="n">
        <v>45358</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17156-2021</t>
        </is>
      </c>
      <c r="B218" s="1" t="n">
        <v>44298</v>
      </c>
      <c r="C218" s="1" t="n">
        <v>45358</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17193-2021</t>
        </is>
      </c>
      <c r="B219" s="1" t="n">
        <v>44298</v>
      </c>
      <c r="C219" s="1" t="n">
        <v>45358</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17681-2021</t>
        </is>
      </c>
      <c r="B220" s="1" t="n">
        <v>44299</v>
      </c>
      <c r="C220" s="1" t="n">
        <v>45358</v>
      </c>
      <c r="D220" t="inlineStr">
        <is>
          <t>VÄSTRA GÖTALANDS LÄN</t>
        </is>
      </c>
      <c r="E220" t="inlineStr">
        <is>
          <t>DALS-ED</t>
        </is>
      </c>
      <c r="G220" t="n">
        <v>12.7</v>
      </c>
      <c r="H220" t="n">
        <v>0</v>
      </c>
      <c r="I220" t="n">
        <v>0</v>
      </c>
      <c r="J220" t="n">
        <v>0</v>
      </c>
      <c r="K220" t="n">
        <v>0</v>
      </c>
      <c r="L220" t="n">
        <v>0</v>
      </c>
      <c r="M220" t="n">
        <v>0</v>
      </c>
      <c r="N220" t="n">
        <v>0</v>
      </c>
      <c r="O220" t="n">
        <v>0</v>
      </c>
      <c r="P220" t="n">
        <v>0</v>
      </c>
      <c r="Q220" t="n">
        <v>0</v>
      </c>
      <c r="R220" s="2" t="inlineStr"/>
    </row>
    <row r="221" ht="15" customHeight="1">
      <c r="A221" t="inlineStr">
        <is>
          <t>A 17842-2021</t>
        </is>
      </c>
      <c r="B221" s="1" t="n">
        <v>44300</v>
      </c>
      <c r="C221" s="1" t="n">
        <v>45358</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22200-2021</t>
        </is>
      </c>
      <c r="B222" s="1" t="n">
        <v>44326</v>
      </c>
      <c r="C222" s="1" t="n">
        <v>45358</v>
      </c>
      <c r="D222" t="inlineStr">
        <is>
          <t>VÄSTRA GÖTALANDS LÄN</t>
        </is>
      </c>
      <c r="E222" t="inlineStr">
        <is>
          <t>DALS-ED</t>
        </is>
      </c>
      <c r="G222" t="n">
        <v>5.4</v>
      </c>
      <c r="H222" t="n">
        <v>0</v>
      </c>
      <c r="I222" t="n">
        <v>0</v>
      </c>
      <c r="J222" t="n">
        <v>0</v>
      </c>
      <c r="K222" t="n">
        <v>0</v>
      </c>
      <c r="L222" t="n">
        <v>0</v>
      </c>
      <c r="M222" t="n">
        <v>0</v>
      </c>
      <c r="N222" t="n">
        <v>0</v>
      </c>
      <c r="O222" t="n">
        <v>0</v>
      </c>
      <c r="P222" t="n">
        <v>0</v>
      </c>
      <c r="Q222" t="n">
        <v>0</v>
      </c>
      <c r="R222" s="2" t="inlineStr"/>
    </row>
    <row r="223" ht="15" customHeight="1">
      <c r="A223" t="inlineStr">
        <is>
          <t>A 22847-2021</t>
        </is>
      </c>
      <c r="B223" s="1" t="n">
        <v>44328</v>
      </c>
      <c r="C223" s="1" t="n">
        <v>45358</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26787-2021</t>
        </is>
      </c>
      <c r="B224" s="1" t="n">
        <v>44349</v>
      </c>
      <c r="C224" s="1" t="n">
        <v>45358</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30385-2021</t>
        </is>
      </c>
      <c r="B225" s="1" t="n">
        <v>44364</v>
      </c>
      <c r="C225" s="1" t="n">
        <v>45358</v>
      </c>
      <c r="D225" t="inlineStr">
        <is>
          <t>VÄSTRA GÖTALANDS LÄN</t>
        </is>
      </c>
      <c r="E225" t="inlineStr">
        <is>
          <t>DALS-ED</t>
        </is>
      </c>
      <c r="G225" t="n">
        <v>10.5</v>
      </c>
      <c r="H225" t="n">
        <v>0</v>
      </c>
      <c r="I225" t="n">
        <v>0</v>
      </c>
      <c r="J225" t="n">
        <v>0</v>
      </c>
      <c r="K225" t="n">
        <v>0</v>
      </c>
      <c r="L225" t="n">
        <v>0</v>
      </c>
      <c r="M225" t="n">
        <v>0</v>
      </c>
      <c r="N225" t="n">
        <v>0</v>
      </c>
      <c r="O225" t="n">
        <v>0</v>
      </c>
      <c r="P225" t="n">
        <v>0</v>
      </c>
      <c r="Q225" t="n">
        <v>0</v>
      </c>
      <c r="R225" s="2" t="inlineStr"/>
    </row>
    <row r="226" ht="15" customHeight="1">
      <c r="A226" t="inlineStr">
        <is>
          <t>A 30380-2021</t>
        </is>
      </c>
      <c r="B226" s="1" t="n">
        <v>44364</v>
      </c>
      <c r="C226" s="1" t="n">
        <v>45358</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31078-2021</t>
        </is>
      </c>
      <c r="B227" s="1" t="n">
        <v>44368</v>
      </c>
      <c r="C227" s="1" t="n">
        <v>45358</v>
      </c>
      <c r="D227" t="inlineStr">
        <is>
          <t>VÄSTRA GÖTALANDS LÄN</t>
        </is>
      </c>
      <c r="E227" t="inlineStr">
        <is>
          <t>DALS-ED</t>
        </is>
      </c>
      <c r="G227" t="n">
        <v>5.2</v>
      </c>
      <c r="H227" t="n">
        <v>0</v>
      </c>
      <c r="I227" t="n">
        <v>0</v>
      </c>
      <c r="J227" t="n">
        <v>0</v>
      </c>
      <c r="K227" t="n">
        <v>0</v>
      </c>
      <c r="L227" t="n">
        <v>0</v>
      </c>
      <c r="M227" t="n">
        <v>0</v>
      </c>
      <c r="N227" t="n">
        <v>0</v>
      </c>
      <c r="O227" t="n">
        <v>0</v>
      </c>
      <c r="P227" t="n">
        <v>0</v>
      </c>
      <c r="Q227" t="n">
        <v>0</v>
      </c>
      <c r="R227" s="2" t="inlineStr"/>
    </row>
    <row r="228" ht="15" customHeight="1">
      <c r="A228" t="inlineStr">
        <is>
          <t>A 33190-2021</t>
        </is>
      </c>
      <c r="B228" s="1" t="n">
        <v>44376</v>
      </c>
      <c r="C228" s="1" t="n">
        <v>45358</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34030-2021</t>
        </is>
      </c>
      <c r="B229" s="1" t="n">
        <v>44378</v>
      </c>
      <c r="C229" s="1" t="n">
        <v>45358</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34760-2021</t>
        </is>
      </c>
      <c r="B230" s="1" t="n">
        <v>44382</v>
      </c>
      <c r="C230" s="1" t="n">
        <v>45358</v>
      </c>
      <c r="D230" t="inlineStr">
        <is>
          <t>VÄSTRA GÖTALANDS LÄN</t>
        </is>
      </c>
      <c r="E230" t="inlineStr">
        <is>
          <t>DALS-ED</t>
        </is>
      </c>
      <c r="G230" t="n">
        <v>0.2</v>
      </c>
      <c r="H230" t="n">
        <v>0</v>
      </c>
      <c r="I230" t="n">
        <v>0</v>
      </c>
      <c r="J230" t="n">
        <v>0</v>
      </c>
      <c r="K230" t="n">
        <v>0</v>
      </c>
      <c r="L230" t="n">
        <v>0</v>
      </c>
      <c r="M230" t="n">
        <v>0</v>
      </c>
      <c r="N230" t="n">
        <v>0</v>
      </c>
      <c r="O230" t="n">
        <v>0</v>
      </c>
      <c r="P230" t="n">
        <v>0</v>
      </c>
      <c r="Q230" t="n">
        <v>0</v>
      </c>
      <c r="R230" s="2" t="inlineStr"/>
    </row>
    <row r="231" ht="15" customHeight="1">
      <c r="A231" t="inlineStr">
        <is>
          <t>A 36167-2021</t>
        </is>
      </c>
      <c r="B231" s="1" t="n">
        <v>44386</v>
      </c>
      <c r="C231" s="1" t="n">
        <v>45358</v>
      </c>
      <c r="D231" t="inlineStr">
        <is>
          <t>VÄSTRA GÖTALANDS LÄN</t>
        </is>
      </c>
      <c r="E231" t="inlineStr">
        <is>
          <t>DALS-ED</t>
        </is>
      </c>
      <c r="F231" t="inlineStr">
        <is>
          <t>Kyrkan</t>
        </is>
      </c>
      <c r="G231" t="n">
        <v>5.4</v>
      </c>
      <c r="H231" t="n">
        <v>0</v>
      </c>
      <c r="I231" t="n">
        <v>0</v>
      </c>
      <c r="J231" t="n">
        <v>0</v>
      </c>
      <c r="K231" t="n">
        <v>0</v>
      </c>
      <c r="L231" t="n">
        <v>0</v>
      </c>
      <c r="M231" t="n">
        <v>0</v>
      </c>
      <c r="N231" t="n">
        <v>0</v>
      </c>
      <c r="O231" t="n">
        <v>0</v>
      </c>
      <c r="P231" t="n">
        <v>0</v>
      </c>
      <c r="Q231" t="n">
        <v>0</v>
      </c>
      <c r="R231" s="2" t="inlineStr"/>
    </row>
    <row r="232" ht="15" customHeight="1">
      <c r="A232" t="inlineStr">
        <is>
          <t>A 35948-2021</t>
        </is>
      </c>
      <c r="B232" s="1" t="n">
        <v>44388</v>
      </c>
      <c r="C232" s="1" t="n">
        <v>45358</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39093-2021</t>
        </is>
      </c>
      <c r="B233" s="1" t="n">
        <v>44412</v>
      </c>
      <c r="C233" s="1" t="n">
        <v>45358</v>
      </c>
      <c r="D233" t="inlineStr">
        <is>
          <t>VÄSTRA GÖTALANDS LÄN</t>
        </is>
      </c>
      <c r="E233" t="inlineStr">
        <is>
          <t>DALS-ED</t>
        </is>
      </c>
      <c r="G233" t="n">
        <v>1.3</v>
      </c>
      <c r="H233" t="n">
        <v>0</v>
      </c>
      <c r="I233" t="n">
        <v>0</v>
      </c>
      <c r="J233" t="n">
        <v>0</v>
      </c>
      <c r="K233" t="n">
        <v>0</v>
      </c>
      <c r="L233" t="n">
        <v>0</v>
      </c>
      <c r="M233" t="n">
        <v>0</v>
      </c>
      <c r="N233" t="n">
        <v>0</v>
      </c>
      <c r="O233" t="n">
        <v>0</v>
      </c>
      <c r="P233" t="n">
        <v>0</v>
      </c>
      <c r="Q233" t="n">
        <v>0</v>
      </c>
      <c r="R233" s="2" t="inlineStr"/>
    </row>
    <row r="234" ht="15" customHeight="1">
      <c r="A234" t="inlineStr">
        <is>
          <t>A 39016-2021</t>
        </is>
      </c>
      <c r="B234" s="1" t="n">
        <v>44412</v>
      </c>
      <c r="C234" s="1" t="n">
        <v>45358</v>
      </c>
      <c r="D234" t="inlineStr">
        <is>
          <t>VÄSTRA GÖTALANDS LÄN</t>
        </is>
      </c>
      <c r="E234" t="inlineStr">
        <is>
          <t>DALS-ED</t>
        </is>
      </c>
      <c r="G234" t="n">
        <v>12.3</v>
      </c>
      <c r="H234" t="n">
        <v>0</v>
      </c>
      <c r="I234" t="n">
        <v>0</v>
      </c>
      <c r="J234" t="n">
        <v>0</v>
      </c>
      <c r="K234" t="n">
        <v>0</v>
      </c>
      <c r="L234" t="n">
        <v>0</v>
      </c>
      <c r="M234" t="n">
        <v>0</v>
      </c>
      <c r="N234" t="n">
        <v>0</v>
      </c>
      <c r="O234" t="n">
        <v>0</v>
      </c>
      <c r="P234" t="n">
        <v>0</v>
      </c>
      <c r="Q234" t="n">
        <v>0</v>
      </c>
      <c r="R234" s="2" t="inlineStr"/>
    </row>
    <row r="235" ht="15" customHeight="1">
      <c r="A235" t="inlineStr">
        <is>
          <t>A 41696-2021</t>
        </is>
      </c>
      <c r="B235" s="1" t="n">
        <v>44425</v>
      </c>
      <c r="C235" s="1" t="n">
        <v>45358</v>
      </c>
      <c r="D235" t="inlineStr">
        <is>
          <t>VÄSTRA GÖTALANDS LÄN</t>
        </is>
      </c>
      <c r="E235" t="inlineStr">
        <is>
          <t>DALS-ED</t>
        </is>
      </c>
      <c r="G235" t="n">
        <v>6</v>
      </c>
      <c r="H235" t="n">
        <v>0</v>
      </c>
      <c r="I235" t="n">
        <v>0</v>
      </c>
      <c r="J235" t="n">
        <v>0</v>
      </c>
      <c r="K235" t="n">
        <v>0</v>
      </c>
      <c r="L235" t="n">
        <v>0</v>
      </c>
      <c r="M235" t="n">
        <v>0</v>
      </c>
      <c r="N235" t="n">
        <v>0</v>
      </c>
      <c r="O235" t="n">
        <v>0</v>
      </c>
      <c r="P235" t="n">
        <v>0</v>
      </c>
      <c r="Q235" t="n">
        <v>0</v>
      </c>
      <c r="R235" s="2" t="inlineStr"/>
    </row>
    <row r="236" ht="15" customHeight="1">
      <c r="A236" t="inlineStr">
        <is>
          <t>A 42341-2021</t>
        </is>
      </c>
      <c r="B236" s="1" t="n">
        <v>44427</v>
      </c>
      <c r="C236" s="1" t="n">
        <v>45358</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45358</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43380-2021</t>
        </is>
      </c>
      <c r="B238" s="1" t="n">
        <v>44432</v>
      </c>
      <c r="C238" s="1" t="n">
        <v>45358</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44403-2021</t>
        </is>
      </c>
      <c r="B239" s="1" t="n">
        <v>44435</v>
      </c>
      <c r="C239" s="1" t="n">
        <v>45358</v>
      </c>
      <c r="D239" t="inlineStr">
        <is>
          <t>VÄSTRA GÖTALANDS LÄN</t>
        </is>
      </c>
      <c r="E239" t="inlineStr">
        <is>
          <t>DALS-ED</t>
        </is>
      </c>
      <c r="G239" t="n">
        <v>7.9</v>
      </c>
      <c r="H239" t="n">
        <v>0</v>
      </c>
      <c r="I239" t="n">
        <v>0</v>
      </c>
      <c r="J239" t="n">
        <v>0</v>
      </c>
      <c r="K239" t="n">
        <v>0</v>
      </c>
      <c r="L239" t="n">
        <v>0</v>
      </c>
      <c r="M239" t="n">
        <v>0</v>
      </c>
      <c r="N239" t="n">
        <v>0</v>
      </c>
      <c r="O239" t="n">
        <v>0</v>
      </c>
      <c r="P239" t="n">
        <v>0</v>
      </c>
      <c r="Q239" t="n">
        <v>0</v>
      </c>
      <c r="R239" s="2" t="inlineStr"/>
    </row>
    <row r="240" ht="15" customHeight="1">
      <c r="A240" t="inlineStr">
        <is>
          <t>A 46306-2021</t>
        </is>
      </c>
      <c r="B240" s="1" t="n">
        <v>44442</v>
      </c>
      <c r="C240" s="1" t="n">
        <v>45358</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46336-2021</t>
        </is>
      </c>
      <c r="B241" s="1" t="n">
        <v>44442</v>
      </c>
      <c r="C241" s="1" t="n">
        <v>45358</v>
      </c>
      <c r="D241" t="inlineStr">
        <is>
          <t>VÄSTRA GÖTALANDS LÄN</t>
        </is>
      </c>
      <c r="E241" t="inlineStr">
        <is>
          <t>DALS-ED</t>
        </is>
      </c>
      <c r="G241" t="n">
        <v>3.4</v>
      </c>
      <c r="H241" t="n">
        <v>0</v>
      </c>
      <c r="I241" t="n">
        <v>0</v>
      </c>
      <c r="J241" t="n">
        <v>0</v>
      </c>
      <c r="K241" t="n">
        <v>0</v>
      </c>
      <c r="L241" t="n">
        <v>0</v>
      </c>
      <c r="M241" t="n">
        <v>0</v>
      </c>
      <c r="N241" t="n">
        <v>0</v>
      </c>
      <c r="O241" t="n">
        <v>0</v>
      </c>
      <c r="P241" t="n">
        <v>0</v>
      </c>
      <c r="Q241" t="n">
        <v>0</v>
      </c>
      <c r="R241" s="2" t="inlineStr"/>
    </row>
    <row r="242" ht="15" customHeight="1">
      <c r="A242" t="inlineStr">
        <is>
          <t>A 46447-2021</t>
        </is>
      </c>
      <c r="B242" s="1" t="n">
        <v>44442</v>
      </c>
      <c r="C242" s="1" t="n">
        <v>45358</v>
      </c>
      <c r="D242" t="inlineStr">
        <is>
          <t>VÄSTRA GÖTALANDS LÄN</t>
        </is>
      </c>
      <c r="E242" t="inlineStr">
        <is>
          <t>DALS-ED</t>
        </is>
      </c>
      <c r="G242" t="n">
        <v>3.6</v>
      </c>
      <c r="H242" t="n">
        <v>0</v>
      </c>
      <c r="I242" t="n">
        <v>0</v>
      </c>
      <c r="J242" t="n">
        <v>0</v>
      </c>
      <c r="K242" t="n">
        <v>0</v>
      </c>
      <c r="L242" t="n">
        <v>0</v>
      </c>
      <c r="M242" t="n">
        <v>0</v>
      </c>
      <c r="N242" t="n">
        <v>0</v>
      </c>
      <c r="O242" t="n">
        <v>0</v>
      </c>
      <c r="P242" t="n">
        <v>0</v>
      </c>
      <c r="Q242" t="n">
        <v>0</v>
      </c>
      <c r="R242" s="2" t="inlineStr"/>
    </row>
    <row r="243" ht="15" customHeight="1">
      <c r="A243" t="inlineStr">
        <is>
          <t>A 47227-2021</t>
        </is>
      </c>
      <c r="B243" s="1" t="n">
        <v>44446</v>
      </c>
      <c r="C243" s="1" t="n">
        <v>45358</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48658-2021</t>
        </is>
      </c>
      <c r="B244" s="1" t="n">
        <v>44452</v>
      </c>
      <c r="C244" s="1" t="n">
        <v>45358</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50465-2021</t>
        </is>
      </c>
      <c r="B245" s="1" t="n">
        <v>44459</v>
      </c>
      <c r="C245" s="1" t="n">
        <v>45358</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50459-2021</t>
        </is>
      </c>
      <c r="B246" s="1" t="n">
        <v>44459</v>
      </c>
      <c r="C246" s="1" t="n">
        <v>45358</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50462-2021</t>
        </is>
      </c>
      <c r="B247" s="1" t="n">
        <v>44459</v>
      </c>
      <c r="C247" s="1" t="n">
        <v>45358</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50665-2021</t>
        </is>
      </c>
      <c r="B248" s="1" t="n">
        <v>44460</v>
      </c>
      <c r="C248" s="1" t="n">
        <v>45358</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51701-2021</t>
        </is>
      </c>
      <c r="B249" s="1" t="n">
        <v>44462</v>
      </c>
      <c r="C249" s="1" t="n">
        <v>45358</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51564-2021</t>
        </is>
      </c>
      <c r="B250" s="1" t="n">
        <v>44462</v>
      </c>
      <c r="C250" s="1" t="n">
        <v>45358</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54018-2021</t>
        </is>
      </c>
      <c r="B251" s="1" t="n">
        <v>44468</v>
      </c>
      <c r="C251" s="1" t="n">
        <v>45358</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54107-2021</t>
        </is>
      </c>
      <c r="B252" s="1" t="n">
        <v>44470</v>
      </c>
      <c r="C252" s="1" t="n">
        <v>45358</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54161-2021</t>
        </is>
      </c>
      <c r="B253" s="1" t="n">
        <v>44470</v>
      </c>
      <c r="C253" s="1" t="n">
        <v>45358</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56551-2021</t>
        </is>
      </c>
      <c r="B254" s="1" t="n">
        <v>44480</v>
      </c>
      <c r="C254" s="1" t="n">
        <v>45358</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58213-2021</t>
        </is>
      </c>
      <c r="B255" s="1" t="n">
        <v>44487</v>
      </c>
      <c r="C255" s="1" t="n">
        <v>45358</v>
      </c>
      <c r="D255" t="inlineStr">
        <is>
          <t>VÄSTRA GÖTALANDS LÄN</t>
        </is>
      </c>
      <c r="E255" t="inlineStr">
        <is>
          <t>DALS-ED</t>
        </is>
      </c>
      <c r="G255" t="n">
        <v>5.7</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45358</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62303-2021</t>
        </is>
      </c>
      <c r="B257" s="1" t="n">
        <v>44503</v>
      </c>
      <c r="C257" s="1" t="n">
        <v>45358</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62849-2021</t>
        </is>
      </c>
      <c r="B258" s="1" t="n">
        <v>44504</v>
      </c>
      <c r="C258" s="1" t="n">
        <v>45358</v>
      </c>
      <c r="D258" t="inlineStr">
        <is>
          <t>VÄSTRA GÖTALANDS LÄN</t>
        </is>
      </c>
      <c r="E258" t="inlineStr">
        <is>
          <t>DALS-ED</t>
        </is>
      </c>
      <c r="G258" t="n">
        <v>3.2</v>
      </c>
      <c r="H258" t="n">
        <v>0</v>
      </c>
      <c r="I258" t="n">
        <v>0</v>
      </c>
      <c r="J258" t="n">
        <v>0</v>
      </c>
      <c r="K258" t="n">
        <v>0</v>
      </c>
      <c r="L258" t="n">
        <v>0</v>
      </c>
      <c r="M258" t="n">
        <v>0</v>
      </c>
      <c r="N258" t="n">
        <v>0</v>
      </c>
      <c r="O258" t="n">
        <v>0</v>
      </c>
      <c r="P258" t="n">
        <v>0</v>
      </c>
      <c r="Q258" t="n">
        <v>0</v>
      </c>
      <c r="R258" s="2" t="inlineStr"/>
    </row>
    <row r="259" ht="15" customHeight="1">
      <c r="A259" t="inlineStr">
        <is>
          <t>A 63192-2021</t>
        </is>
      </c>
      <c r="B259" s="1" t="n">
        <v>44507</v>
      </c>
      <c r="C259" s="1" t="n">
        <v>45358</v>
      </c>
      <c r="D259" t="inlineStr">
        <is>
          <t>VÄSTRA GÖTALANDS LÄN</t>
        </is>
      </c>
      <c r="E259" t="inlineStr">
        <is>
          <t>DALS-ED</t>
        </is>
      </c>
      <c r="G259" t="n">
        <v>4.9</v>
      </c>
      <c r="H259" t="n">
        <v>0</v>
      </c>
      <c r="I259" t="n">
        <v>0</v>
      </c>
      <c r="J259" t="n">
        <v>0</v>
      </c>
      <c r="K259" t="n">
        <v>0</v>
      </c>
      <c r="L259" t="n">
        <v>0</v>
      </c>
      <c r="M259" t="n">
        <v>0</v>
      </c>
      <c r="N259" t="n">
        <v>0</v>
      </c>
      <c r="O259" t="n">
        <v>0</v>
      </c>
      <c r="P259" t="n">
        <v>0</v>
      </c>
      <c r="Q259" t="n">
        <v>0</v>
      </c>
      <c r="R259" s="2" t="inlineStr"/>
    </row>
    <row r="260" ht="15" customHeight="1">
      <c r="A260" t="inlineStr">
        <is>
          <t>A 63186-2021</t>
        </is>
      </c>
      <c r="B260" s="1" t="n">
        <v>44507</v>
      </c>
      <c r="C260" s="1" t="n">
        <v>45358</v>
      </c>
      <c r="D260" t="inlineStr">
        <is>
          <t>VÄSTRA GÖTALANDS LÄN</t>
        </is>
      </c>
      <c r="E260" t="inlineStr">
        <is>
          <t>DALS-ED</t>
        </is>
      </c>
      <c r="G260" t="n">
        <v>4.6</v>
      </c>
      <c r="H260" t="n">
        <v>0</v>
      </c>
      <c r="I260" t="n">
        <v>0</v>
      </c>
      <c r="J260" t="n">
        <v>0</v>
      </c>
      <c r="K260" t="n">
        <v>0</v>
      </c>
      <c r="L260" t="n">
        <v>0</v>
      </c>
      <c r="M260" t="n">
        <v>0</v>
      </c>
      <c r="N260" t="n">
        <v>0</v>
      </c>
      <c r="O260" t="n">
        <v>0</v>
      </c>
      <c r="P260" t="n">
        <v>0</v>
      </c>
      <c r="Q260" t="n">
        <v>0</v>
      </c>
      <c r="R260" s="2" t="inlineStr"/>
    </row>
    <row r="261" ht="15" customHeight="1">
      <c r="A261" t="inlineStr">
        <is>
          <t>A 64338-2021</t>
        </is>
      </c>
      <c r="B261" s="1" t="n">
        <v>44511</v>
      </c>
      <c r="C261" s="1" t="n">
        <v>45358</v>
      </c>
      <c r="D261" t="inlineStr">
        <is>
          <t>VÄSTRA GÖTALANDS LÄN</t>
        </is>
      </c>
      <c r="E261" t="inlineStr">
        <is>
          <t>DALS-ED</t>
        </is>
      </c>
      <c r="G261" t="n">
        <v>5.6</v>
      </c>
      <c r="H261" t="n">
        <v>0</v>
      </c>
      <c r="I261" t="n">
        <v>0</v>
      </c>
      <c r="J261" t="n">
        <v>0</v>
      </c>
      <c r="K261" t="n">
        <v>0</v>
      </c>
      <c r="L261" t="n">
        <v>0</v>
      </c>
      <c r="M261" t="n">
        <v>0</v>
      </c>
      <c r="N261" t="n">
        <v>0</v>
      </c>
      <c r="O261" t="n">
        <v>0</v>
      </c>
      <c r="P261" t="n">
        <v>0</v>
      </c>
      <c r="Q261" t="n">
        <v>0</v>
      </c>
      <c r="R261" s="2" t="inlineStr"/>
    </row>
    <row r="262" ht="15" customHeight="1">
      <c r="A262" t="inlineStr">
        <is>
          <t>A 70027-2021</t>
        </is>
      </c>
      <c r="B262" s="1" t="n">
        <v>44533</v>
      </c>
      <c r="C262" s="1" t="n">
        <v>45358</v>
      </c>
      <c r="D262" t="inlineStr">
        <is>
          <t>VÄSTRA GÖTALANDS LÄN</t>
        </is>
      </c>
      <c r="E262" t="inlineStr">
        <is>
          <t>DALS-ED</t>
        </is>
      </c>
      <c r="G262" t="n">
        <v>7.6</v>
      </c>
      <c r="H262" t="n">
        <v>0</v>
      </c>
      <c r="I262" t="n">
        <v>0</v>
      </c>
      <c r="J262" t="n">
        <v>0</v>
      </c>
      <c r="K262" t="n">
        <v>0</v>
      </c>
      <c r="L262" t="n">
        <v>0</v>
      </c>
      <c r="M262" t="n">
        <v>0</v>
      </c>
      <c r="N262" t="n">
        <v>0</v>
      </c>
      <c r="O262" t="n">
        <v>0</v>
      </c>
      <c r="P262" t="n">
        <v>0</v>
      </c>
      <c r="Q262" t="n">
        <v>0</v>
      </c>
      <c r="R262" s="2" t="inlineStr"/>
    </row>
    <row r="263" ht="15" customHeight="1">
      <c r="A263" t="inlineStr">
        <is>
          <t>A 70370-2021</t>
        </is>
      </c>
      <c r="B263" s="1" t="n">
        <v>44536</v>
      </c>
      <c r="C263" s="1" t="n">
        <v>45358</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70374-2021</t>
        </is>
      </c>
      <c r="B264" s="1" t="n">
        <v>44536</v>
      </c>
      <c r="C264" s="1" t="n">
        <v>45358</v>
      </c>
      <c r="D264" t="inlineStr">
        <is>
          <t>VÄSTRA GÖTALANDS LÄN</t>
        </is>
      </c>
      <c r="E264" t="inlineStr">
        <is>
          <t>DALS-ED</t>
        </is>
      </c>
      <c r="G264" t="n">
        <v>7.8</v>
      </c>
      <c r="H264" t="n">
        <v>0</v>
      </c>
      <c r="I264" t="n">
        <v>0</v>
      </c>
      <c r="J264" t="n">
        <v>0</v>
      </c>
      <c r="K264" t="n">
        <v>0</v>
      </c>
      <c r="L264" t="n">
        <v>0</v>
      </c>
      <c r="M264" t="n">
        <v>0</v>
      </c>
      <c r="N264" t="n">
        <v>0</v>
      </c>
      <c r="O264" t="n">
        <v>0</v>
      </c>
      <c r="P264" t="n">
        <v>0</v>
      </c>
      <c r="Q264" t="n">
        <v>0</v>
      </c>
      <c r="R264" s="2" t="inlineStr"/>
    </row>
    <row r="265" ht="15" customHeight="1">
      <c r="A265" t="inlineStr">
        <is>
          <t>A 70367-2021</t>
        </is>
      </c>
      <c r="B265" s="1" t="n">
        <v>44536</v>
      </c>
      <c r="C265" s="1" t="n">
        <v>45358</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72456-2021</t>
        </is>
      </c>
      <c r="B266" s="1" t="n">
        <v>44545</v>
      </c>
      <c r="C266" s="1" t="n">
        <v>45358</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2185-2022</t>
        </is>
      </c>
      <c r="B267" s="1" t="n">
        <v>44578</v>
      </c>
      <c r="C267" s="1" t="n">
        <v>45358</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2286-2022</t>
        </is>
      </c>
      <c r="B268" s="1" t="n">
        <v>44578</v>
      </c>
      <c r="C268" s="1" t="n">
        <v>45358</v>
      </c>
      <c r="D268" t="inlineStr">
        <is>
          <t>VÄSTRA GÖTALANDS LÄN</t>
        </is>
      </c>
      <c r="E268" t="inlineStr">
        <is>
          <t>DALS-ED</t>
        </is>
      </c>
      <c r="G268" t="n">
        <v>1.6</v>
      </c>
      <c r="H268" t="n">
        <v>0</v>
      </c>
      <c r="I268" t="n">
        <v>0</v>
      </c>
      <c r="J268" t="n">
        <v>0</v>
      </c>
      <c r="K268" t="n">
        <v>0</v>
      </c>
      <c r="L268" t="n">
        <v>0</v>
      </c>
      <c r="M268" t="n">
        <v>0</v>
      </c>
      <c r="N268" t="n">
        <v>0</v>
      </c>
      <c r="O268" t="n">
        <v>0</v>
      </c>
      <c r="P268" t="n">
        <v>0</v>
      </c>
      <c r="Q268" t="n">
        <v>0</v>
      </c>
      <c r="R268" s="2" t="inlineStr"/>
    </row>
    <row r="269" ht="15" customHeight="1">
      <c r="A269" t="inlineStr">
        <is>
          <t>A 2287-2022</t>
        </is>
      </c>
      <c r="B269" s="1" t="n">
        <v>44578</v>
      </c>
      <c r="C269" s="1" t="n">
        <v>45358</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4133-2022</t>
        </is>
      </c>
      <c r="B270" s="1" t="n">
        <v>44588</v>
      </c>
      <c r="C270" s="1" t="n">
        <v>45358</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4121-2022</t>
        </is>
      </c>
      <c r="B271" s="1" t="n">
        <v>44588</v>
      </c>
      <c r="C271" s="1" t="n">
        <v>45358</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4435-2022</t>
        </is>
      </c>
      <c r="B272" s="1" t="n">
        <v>44589</v>
      </c>
      <c r="C272" s="1" t="n">
        <v>45358</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4724-2022</t>
        </is>
      </c>
      <c r="B273" s="1" t="n">
        <v>44592</v>
      </c>
      <c r="C273" s="1" t="n">
        <v>45358</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4736-2022</t>
        </is>
      </c>
      <c r="B274" s="1" t="n">
        <v>44592</v>
      </c>
      <c r="C274" s="1" t="n">
        <v>45358</v>
      </c>
      <c r="D274" t="inlineStr">
        <is>
          <t>VÄSTRA GÖTALANDS LÄN</t>
        </is>
      </c>
      <c r="E274" t="inlineStr">
        <is>
          <t>DALS-ED</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4727-2022</t>
        </is>
      </c>
      <c r="B275" s="1" t="n">
        <v>44592</v>
      </c>
      <c r="C275" s="1" t="n">
        <v>45358</v>
      </c>
      <c r="D275" t="inlineStr">
        <is>
          <t>VÄSTRA GÖTALANDS LÄN</t>
        </is>
      </c>
      <c r="E275" t="inlineStr">
        <is>
          <t>DALS-ED</t>
        </is>
      </c>
      <c r="G275" t="n">
        <v>5</v>
      </c>
      <c r="H275" t="n">
        <v>0</v>
      </c>
      <c r="I275" t="n">
        <v>0</v>
      </c>
      <c r="J275" t="n">
        <v>0</v>
      </c>
      <c r="K275" t="n">
        <v>0</v>
      </c>
      <c r="L275" t="n">
        <v>0</v>
      </c>
      <c r="M275" t="n">
        <v>0</v>
      </c>
      <c r="N275" t="n">
        <v>0</v>
      </c>
      <c r="O275" t="n">
        <v>0</v>
      </c>
      <c r="P275" t="n">
        <v>0</v>
      </c>
      <c r="Q275" t="n">
        <v>0</v>
      </c>
      <c r="R275" s="2" t="inlineStr"/>
    </row>
    <row r="276" ht="15" customHeight="1">
      <c r="A276" t="inlineStr">
        <is>
          <t>A 4731-2022</t>
        </is>
      </c>
      <c r="B276" s="1" t="n">
        <v>44592</v>
      </c>
      <c r="C276" s="1" t="n">
        <v>45358</v>
      </c>
      <c r="D276" t="inlineStr">
        <is>
          <t>VÄSTRA GÖTALANDS LÄN</t>
        </is>
      </c>
      <c r="E276" t="inlineStr">
        <is>
          <t>DALS-ED</t>
        </is>
      </c>
      <c r="G276" t="n">
        <v>2.6</v>
      </c>
      <c r="H276" t="n">
        <v>0</v>
      </c>
      <c r="I276" t="n">
        <v>0</v>
      </c>
      <c r="J276" t="n">
        <v>0</v>
      </c>
      <c r="K276" t="n">
        <v>0</v>
      </c>
      <c r="L276" t="n">
        <v>0</v>
      </c>
      <c r="M276" t="n">
        <v>0</v>
      </c>
      <c r="N276" t="n">
        <v>0</v>
      </c>
      <c r="O276" t="n">
        <v>0</v>
      </c>
      <c r="P276" t="n">
        <v>0</v>
      </c>
      <c r="Q276" t="n">
        <v>0</v>
      </c>
      <c r="R276" s="2" t="inlineStr"/>
    </row>
    <row r="277" ht="15" customHeight="1">
      <c r="A277" t="inlineStr">
        <is>
          <t>A 6368-2022</t>
        </is>
      </c>
      <c r="B277" s="1" t="n">
        <v>44600</v>
      </c>
      <c r="C277" s="1" t="n">
        <v>45358</v>
      </c>
      <c r="D277" t="inlineStr">
        <is>
          <t>VÄSTRA GÖTALANDS LÄN</t>
        </is>
      </c>
      <c r="E277" t="inlineStr">
        <is>
          <t>DALS-ED</t>
        </is>
      </c>
      <c r="F277" t="inlineStr">
        <is>
          <t>Kyrkan</t>
        </is>
      </c>
      <c r="G277" t="n">
        <v>7</v>
      </c>
      <c r="H277" t="n">
        <v>0</v>
      </c>
      <c r="I277" t="n">
        <v>0</v>
      </c>
      <c r="J277" t="n">
        <v>0</v>
      </c>
      <c r="K277" t="n">
        <v>0</v>
      </c>
      <c r="L277" t="n">
        <v>0</v>
      </c>
      <c r="M277" t="n">
        <v>0</v>
      </c>
      <c r="N277" t="n">
        <v>0</v>
      </c>
      <c r="O277" t="n">
        <v>0</v>
      </c>
      <c r="P277" t="n">
        <v>0</v>
      </c>
      <c r="Q277" t="n">
        <v>0</v>
      </c>
      <c r="R277" s="2" t="inlineStr"/>
    </row>
    <row r="278" ht="15" customHeight="1">
      <c r="A278" t="inlineStr">
        <is>
          <t>A 6464-2022</t>
        </is>
      </c>
      <c r="B278" s="1" t="n">
        <v>44601</v>
      </c>
      <c r="C278" s="1" t="n">
        <v>45358</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6528-2022</t>
        </is>
      </c>
      <c r="B279" s="1" t="n">
        <v>44601</v>
      </c>
      <c r="C279" s="1" t="n">
        <v>45358</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6570-2022</t>
        </is>
      </c>
      <c r="B280" s="1" t="n">
        <v>44601</v>
      </c>
      <c r="C280" s="1" t="n">
        <v>45358</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7933-2022</t>
        </is>
      </c>
      <c r="B281" s="1" t="n">
        <v>44608</v>
      </c>
      <c r="C281" s="1" t="n">
        <v>45358</v>
      </c>
      <c r="D281" t="inlineStr">
        <is>
          <t>VÄSTRA GÖTALANDS LÄN</t>
        </is>
      </c>
      <c r="E281" t="inlineStr">
        <is>
          <t>DALS-ED</t>
        </is>
      </c>
      <c r="G281" t="n">
        <v>5.2</v>
      </c>
      <c r="H281" t="n">
        <v>0</v>
      </c>
      <c r="I281" t="n">
        <v>0</v>
      </c>
      <c r="J281" t="n">
        <v>0</v>
      </c>
      <c r="K281" t="n">
        <v>0</v>
      </c>
      <c r="L281" t="n">
        <v>0</v>
      </c>
      <c r="M281" t="n">
        <v>0</v>
      </c>
      <c r="N281" t="n">
        <v>0</v>
      </c>
      <c r="O281" t="n">
        <v>0</v>
      </c>
      <c r="P281" t="n">
        <v>0</v>
      </c>
      <c r="Q281" t="n">
        <v>0</v>
      </c>
      <c r="R281" s="2" t="inlineStr"/>
    </row>
    <row r="282" ht="15" customHeight="1">
      <c r="A282" t="inlineStr">
        <is>
          <t>A 8654-2022</t>
        </is>
      </c>
      <c r="B282" s="1" t="n">
        <v>44613</v>
      </c>
      <c r="C282" s="1" t="n">
        <v>45358</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8651-2022</t>
        </is>
      </c>
      <c r="B283" s="1" t="n">
        <v>44613</v>
      </c>
      <c r="C283" s="1" t="n">
        <v>45358</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8892-2022</t>
        </is>
      </c>
      <c r="B284" s="1" t="n">
        <v>44614</v>
      </c>
      <c r="C284" s="1" t="n">
        <v>45358</v>
      </c>
      <c r="D284" t="inlineStr">
        <is>
          <t>VÄSTRA GÖTALANDS LÄN</t>
        </is>
      </c>
      <c r="E284" t="inlineStr">
        <is>
          <t>DALS-ED</t>
        </is>
      </c>
      <c r="G284" t="n">
        <v>0.2</v>
      </c>
      <c r="H284" t="n">
        <v>0</v>
      </c>
      <c r="I284" t="n">
        <v>0</v>
      </c>
      <c r="J284" t="n">
        <v>0</v>
      </c>
      <c r="K284" t="n">
        <v>0</v>
      </c>
      <c r="L284" t="n">
        <v>0</v>
      </c>
      <c r="M284" t="n">
        <v>0</v>
      </c>
      <c r="N284" t="n">
        <v>0</v>
      </c>
      <c r="O284" t="n">
        <v>0</v>
      </c>
      <c r="P284" t="n">
        <v>0</v>
      </c>
      <c r="Q284" t="n">
        <v>0</v>
      </c>
      <c r="R284" s="2" t="inlineStr"/>
    </row>
    <row r="285" ht="15" customHeight="1">
      <c r="A285" t="inlineStr">
        <is>
          <t>A 9157-2022</t>
        </is>
      </c>
      <c r="B285" s="1" t="n">
        <v>44615</v>
      </c>
      <c r="C285" s="1" t="n">
        <v>45358</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9144-2022</t>
        </is>
      </c>
      <c r="B286" s="1" t="n">
        <v>44615</v>
      </c>
      <c r="C286" s="1" t="n">
        <v>45358</v>
      </c>
      <c r="D286" t="inlineStr">
        <is>
          <t>VÄSTRA GÖTALANDS LÄN</t>
        </is>
      </c>
      <c r="E286" t="inlineStr">
        <is>
          <t>DALS-ED</t>
        </is>
      </c>
      <c r="G286" t="n">
        <v>1.5</v>
      </c>
      <c r="H286" t="n">
        <v>0</v>
      </c>
      <c r="I286" t="n">
        <v>0</v>
      </c>
      <c r="J286" t="n">
        <v>0</v>
      </c>
      <c r="K286" t="n">
        <v>0</v>
      </c>
      <c r="L286" t="n">
        <v>0</v>
      </c>
      <c r="M286" t="n">
        <v>0</v>
      </c>
      <c r="N286" t="n">
        <v>0</v>
      </c>
      <c r="O286" t="n">
        <v>0</v>
      </c>
      <c r="P286" t="n">
        <v>0</v>
      </c>
      <c r="Q286" t="n">
        <v>0</v>
      </c>
      <c r="R286" s="2" t="inlineStr"/>
    </row>
    <row r="287" ht="15" customHeight="1">
      <c r="A287" t="inlineStr">
        <is>
          <t>A 9153-2022</t>
        </is>
      </c>
      <c r="B287" s="1" t="n">
        <v>44615</v>
      </c>
      <c r="C287" s="1" t="n">
        <v>45358</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9154-2022</t>
        </is>
      </c>
      <c r="B288" s="1" t="n">
        <v>44615</v>
      </c>
      <c r="C288" s="1" t="n">
        <v>45358</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9226-2022</t>
        </is>
      </c>
      <c r="B289" s="1" t="n">
        <v>44616</v>
      </c>
      <c r="C289" s="1" t="n">
        <v>45358</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10095-2022</t>
        </is>
      </c>
      <c r="B290" s="1" t="n">
        <v>44621</v>
      </c>
      <c r="C290" s="1" t="n">
        <v>45358</v>
      </c>
      <c r="D290" t="inlineStr">
        <is>
          <t>VÄSTRA GÖTALANDS LÄN</t>
        </is>
      </c>
      <c r="E290" t="inlineStr">
        <is>
          <t>DALS-ED</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10092-2022</t>
        </is>
      </c>
      <c r="B291" s="1" t="n">
        <v>44621</v>
      </c>
      <c r="C291" s="1" t="n">
        <v>45358</v>
      </c>
      <c r="D291" t="inlineStr">
        <is>
          <t>VÄSTRA GÖTALANDS LÄN</t>
        </is>
      </c>
      <c r="E291" t="inlineStr">
        <is>
          <t>DALS-ED</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10749-2022</t>
        </is>
      </c>
      <c r="B292" s="1" t="n">
        <v>44627</v>
      </c>
      <c r="C292" s="1" t="n">
        <v>45358</v>
      </c>
      <c r="D292" t="inlineStr">
        <is>
          <t>VÄSTRA GÖTALANDS LÄN</t>
        </is>
      </c>
      <c r="E292" t="inlineStr">
        <is>
          <t>DALS-ED</t>
        </is>
      </c>
      <c r="G292" t="n">
        <v>4.8</v>
      </c>
      <c r="H292" t="n">
        <v>0</v>
      </c>
      <c r="I292" t="n">
        <v>0</v>
      </c>
      <c r="J292" t="n">
        <v>0</v>
      </c>
      <c r="K292" t="n">
        <v>0</v>
      </c>
      <c r="L292" t="n">
        <v>0</v>
      </c>
      <c r="M292" t="n">
        <v>0</v>
      </c>
      <c r="N292" t="n">
        <v>0</v>
      </c>
      <c r="O292" t="n">
        <v>0</v>
      </c>
      <c r="P292" t="n">
        <v>0</v>
      </c>
      <c r="Q292" t="n">
        <v>0</v>
      </c>
      <c r="R292" s="2" t="inlineStr"/>
    </row>
    <row r="293" ht="15" customHeight="1">
      <c r="A293" t="inlineStr">
        <is>
          <t>A 13581-2022</t>
        </is>
      </c>
      <c r="B293" s="1" t="n">
        <v>44648</v>
      </c>
      <c r="C293" s="1" t="n">
        <v>45358</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14993-2022</t>
        </is>
      </c>
      <c r="B294" s="1" t="n">
        <v>44657</v>
      </c>
      <c r="C294" s="1" t="n">
        <v>45358</v>
      </c>
      <c r="D294" t="inlineStr">
        <is>
          <t>VÄSTRA GÖTALANDS LÄN</t>
        </is>
      </c>
      <c r="E294" t="inlineStr">
        <is>
          <t>DALS-ED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15364-2022</t>
        </is>
      </c>
      <c r="B295" s="1" t="n">
        <v>44659</v>
      </c>
      <c r="C295" s="1" t="n">
        <v>45358</v>
      </c>
      <c r="D295" t="inlineStr">
        <is>
          <t>VÄSTRA GÖTALANDS LÄN</t>
        </is>
      </c>
      <c r="E295" t="inlineStr">
        <is>
          <t>DALS-ED</t>
        </is>
      </c>
      <c r="G295" t="n">
        <v>6.5</v>
      </c>
      <c r="H295" t="n">
        <v>0</v>
      </c>
      <c r="I295" t="n">
        <v>0</v>
      </c>
      <c r="J295" t="n">
        <v>0</v>
      </c>
      <c r="K295" t="n">
        <v>0</v>
      </c>
      <c r="L295" t="n">
        <v>0</v>
      </c>
      <c r="M295" t="n">
        <v>0</v>
      </c>
      <c r="N295" t="n">
        <v>0</v>
      </c>
      <c r="O295" t="n">
        <v>0</v>
      </c>
      <c r="P295" t="n">
        <v>0</v>
      </c>
      <c r="Q295" t="n">
        <v>0</v>
      </c>
      <c r="R295" s="2" t="inlineStr"/>
    </row>
    <row r="296" ht="15" customHeight="1">
      <c r="A296" t="inlineStr">
        <is>
          <t>A 16935-2022</t>
        </is>
      </c>
      <c r="B296" s="1" t="n">
        <v>44676</v>
      </c>
      <c r="C296" s="1" t="n">
        <v>45358</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18360-2022</t>
        </is>
      </c>
      <c r="B297" s="1" t="n">
        <v>44685</v>
      </c>
      <c r="C297" s="1" t="n">
        <v>45358</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18362-2022</t>
        </is>
      </c>
      <c r="B298" s="1" t="n">
        <v>44685</v>
      </c>
      <c r="C298" s="1" t="n">
        <v>45358</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18356-2022</t>
        </is>
      </c>
      <c r="B299" s="1" t="n">
        <v>44685</v>
      </c>
      <c r="C299" s="1" t="n">
        <v>45358</v>
      </c>
      <c r="D299" t="inlineStr">
        <is>
          <t>VÄSTRA GÖTALANDS LÄN</t>
        </is>
      </c>
      <c r="E299" t="inlineStr">
        <is>
          <t>DALS-ED</t>
        </is>
      </c>
      <c r="G299" t="n">
        <v>3</v>
      </c>
      <c r="H299" t="n">
        <v>0</v>
      </c>
      <c r="I299" t="n">
        <v>0</v>
      </c>
      <c r="J299" t="n">
        <v>0</v>
      </c>
      <c r="K299" t="n">
        <v>0</v>
      </c>
      <c r="L299" t="n">
        <v>0</v>
      </c>
      <c r="M299" t="n">
        <v>0</v>
      </c>
      <c r="N299" t="n">
        <v>0</v>
      </c>
      <c r="O299" t="n">
        <v>0</v>
      </c>
      <c r="P299" t="n">
        <v>0</v>
      </c>
      <c r="Q299" t="n">
        <v>0</v>
      </c>
      <c r="R299" s="2" t="inlineStr"/>
    </row>
    <row r="300" ht="15" customHeight="1">
      <c r="A300" t="inlineStr">
        <is>
          <t>A 18361-2022</t>
        </is>
      </c>
      <c r="B300" s="1" t="n">
        <v>44685</v>
      </c>
      <c r="C300" s="1" t="n">
        <v>45358</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18358-2022</t>
        </is>
      </c>
      <c r="B301" s="1" t="n">
        <v>44685</v>
      </c>
      <c r="C301" s="1" t="n">
        <v>45358</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18837-2022</t>
        </is>
      </c>
      <c r="B302" s="1" t="n">
        <v>44690</v>
      </c>
      <c r="C302" s="1" t="n">
        <v>45358</v>
      </c>
      <c r="D302" t="inlineStr">
        <is>
          <t>VÄSTRA GÖTALANDS LÄN</t>
        </is>
      </c>
      <c r="E302" t="inlineStr">
        <is>
          <t>DALS-ED</t>
        </is>
      </c>
      <c r="G302" t="n">
        <v>4.7</v>
      </c>
      <c r="H302" t="n">
        <v>0</v>
      </c>
      <c r="I302" t="n">
        <v>0</v>
      </c>
      <c r="J302" t="n">
        <v>0</v>
      </c>
      <c r="K302" t="n">
        <v>0</v>
      </c>
      <c r="L302" t="n">
        <v>0</v>
      </c>
      <c r="M302" t="n">
        <v>0</v>
      </c>
      <c r="N302" t="n">
        <v>0</v>
      </c>
      <c r="O302" t="n">
        <v>0</v>
      </c>
      <c r="P302" t="n">
        <v>0</v>
      </c>
      <c r="Q302" t="n">
        <v>0</v>
      </c>
      <c r="R302" s="2" t="inlineStr"/>
    </row>
    <row r="303" ht="15" customHeight="1">
      <c r="A303" t="inlineStr">
        <is>
          <t>A 18839-2022</t>
        </is>
      </c>
      <c r="B303" s="1" t="n">
        <v>44690</v>
      </c>
      <c r="C303" s="1" t="n">
        <v>45358</v>
      </c>
      <c r="D303" t="inlineStr">
        <is>
          <t>VÄSTRA GÖTALANDS LÄN</t>
        </is>
      </c>
      <c r="E303" t="inlineStr">
        <is>
          <t>DALS-ED</t>
        </is>
      </c>
      <c r="G303" t="n">
        <v>8.9</v>
      </c>
      <c r="H303" t="n">
        <v>0</v>
      </c>
      <c r="I303" t="n">
        <v>0</v>
      </c>
      <c r="J303" t="n">
        <v>0</v>
      </c>
      <c r="K303" t="n">
        <v>0</v>
      </c>
      <c r="L303" t="n">
        <v>0</v>
      </c>
      <c r="M303" t="n">
        <v>0</v>
      </c>
      <c r="N303" t="n">
        <v>0</v>
      </c>
      <c r="O303" t="n">
        <v>0</v>
      </c>
      <c r="P303" t="n">
        <v>0</v>
      </c>
      <c r="Q303" t="n">
        <v>0</v>
      </c>
      <c r="R303" s="2" t="inlineStr"/>
    </row>
    <row r="304" ht="15" customHeight="1">
      <c r="A304" t="inlineStr">
        <is>
          <t>A 20889-2022</t>
        </is>
      </c>
      <c r="B304" s="1" t="n">
        <v>44701</v>
      </c>
      <c r="C304" s="1" t="n">
        <v>45358</v>
      </c>
      <c r="D304" t="inlineStr">
        <is>
          <t>VÄSTRA GÖTALANDS LÄN</t>
        </is>
      </c>
      <c r="E304" t="inlineStr">
        <is>
          <t>DALS-ED</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20887-2022</t>
        </is>
      </c>
      <c r="B305" s="1" t="n">
        <v>44701</v>
      </c>
      <c r="C305" s="1" t="n">
        <v>45358</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20908-2022</t>
        </is>
      </c>
      <c r="B306" s="1" t="n">
        <v>44701</v>
      </c>
      <c r="C306" s="1" t="n">
        <v>45358</v>
      </c>
      <c r="D306" t="inlineStr">
        <is>
          <t>VÄSTRA GÖTALANDS LÄN</t>
        </is>
      </c>
      <c r="E306" t="inlineStr">
        <is>
          <t>DALS-ED</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21370-2022</t>
        </is>
      </c>
      <c r="B307" s="1" t="n">
        <v>44705</v>
      </c>
      <c r="C307" s="1" t="n">
        <v>45358</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21368-2022</t>
        </is>
      </c>
      <c r="B308" s="1" t="n">
        <v>44705</v>
      </c>
      <c r="C308" s="1" t="n">
        <v>45358</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21373-2022</t>
        </is>
      </c>
      <c r="B309" s="1" t="n">
        <v>44705</v>
      </c>
      <c r="C309" s="1" t="n">
        <v>45358</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21367-2022</t>
        </is>
      </c>
      <c r="B310" s="1" t="n">
        <v>44705</v>
      </c>
      <c r="C310" s="1" t="n">
        <v>45358</v>
      </c>
      <c r="D310" t="inlineStr">
        <is>
          <t>VÄSTRA GÖTALANDS LÄN</t>
        </is>
      </c>
      <c r="E310" t="inlineStr">
        <is>
          <t>DALS-ED</t>
        </is>
      </c>
      <c r="G310" t="n">
        <v>6.8</v>
      </c>
      <c r="H310" t="n">
        <v>0</v>
      </c>
      <c r="I310" t="n">
        <v>0</v>
      </c>
      <c r="J310" t="n">
        <v>0</v>
      </c>
      <c r="K310" t="n">
        <v>0</v>
      </c>
      <c r="L310" t="n">
        <v>0</v>
      </c>
      <c r="M310" t="n">
        <v>0</v>
      </c>
      <c r="N310" t="n">
        <v>0</v>
      </c>
      <c r="O310" t="n">
        <v>0</v>
      </c>
      <c r="P310" t="n">
        <v>0</v>
      </c>
      <c r="Q310" t="n">
        <v>0</v>
      </c>
      <c r="R310" s="2" t="inlineStr"/>
    </row>
    <row r="311" ht="15" customHeight="1">
      <c r="A311" t="inlineStr">
        <is>
          <t>A 21372-2022</t>
        </is>
      </c>
      <c r="B311" s="1" t="n">
        <v>44705</v>
      </c>
      <c r="C311" s="1" t="n">
        <v>45358</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23317-2022</t>
        </is>
      </c>
      <c r="B312" s="1" t="n">
        <v>44720</v>
      </c>
      <c r="C312" s="1" t="n">
        <v>45358</v>
      </c>
      <c r="D312" t="inlineStr">
        <is>
          <t>VÄSTRA GÖTALANDS LÄN</t>
        </is>
      </c>
      <c r="E312" t="inlineStr">
        <is>
          <t>DALS-ED</t>
        </is>
      </c>
      <c r="G312" t="n">
        <v>6.9</v>
      </c>
      <c r="H312" t="n">
        <v>0</v>
      </c>
      <c r="I312" t="n">
        <v>0</v>
      </c>
      <c r="J312" t="n">
        <v>0</v>
      </c>
      <c r="K312" t="n">
        <v>0</v>
      </c>
      <c r="L312" t="n">
        <v>0</v>
      </c>
      <c r="M312" t="n">
        <v>0</v>
      </c>
      <c r="N312" t="n">
        <v>0</v>
      </c>
      <c r="O312" t="n">
        <v>0</v>
      </c>
      <c r="P312" t="n">
        <v>0</v>
      </c>
      <c r="Q312" t="n">
        <v>0</v>
      </c>
      <c r="R312" s="2" t="inlineStr"/>
    </row>
    <row r="313" ht="15" customHeight="1">
      <c r="A313" t="inlineStr">
        <is>
          <t>A 25762-2022</t>
        </is>
      </c>
      <c r="B313" s="1" t="n">
        <v>44733</v>
      </c>
      <c r="C313" s="1" t="n">
        <v>45358</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27308-2022</t>
        </is>
      </c>
      <c r="B314" s="1" t="n">
        <v>44742</v>
      </c>
      <c r="C314" s="1" t="n">
        <v>45358</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27682-2022</t>
        </is>
      </c>
      <c r="B315" s="1" t="n">
        <v>44743</v>
      </c>
      <c r="C315" s="1" t="n">
        <v>45358</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27685-2022</t>
        </is>
      </c>
      <c r="B316" s="1" t="n">
        <v>44743</v>
      </c>
      <c r="C316" s="1" t="n">
        <v>45358</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27796-2022</t>
        </is>
      </c>
      <c r="B317" s="1" t="n">
        <v>44743</v>
      </c>
      <c r="C317" s="1" t="n">
        <v>45358</v>
      </c>
      <c r="D317" t="inlineStr">
        <is>
          <t>VÄSTRA GÖTALANDS LÄN</t>
        </is>
      </c>
      <c r="E317" t="inlineStr">
        <is>
          <t>DALS-ED</t>
        </is>
      </c>
      <c r="G317" t="n">
        <v>5.1</v>
      </c>
      <c r="H317" t="n">
        <v>0</v>
      </c>
      <c r="I317" t="n">
        <v>0</v>
      </c>
      <c r="J317" t="n">
        <v>0</v>
      </c>
      <c r="K317" t="n">
        <v>0</v>
      </c>
      <c r="L317" t="n">
        <v>0</v>
      </c>
      <c r="M317" t="n">
        <v>0</v>
      </c>
      <c r="N317" t="n">
        <v>0</v>
      </c>
      <c r="O317" t="n">
        <v>0</v>
      </c>
      <c r="P317" t="n">
        <v>0</v>
      </c>
      <c r="Q317" t="n">
        <v>0</v>
      </c>
      <c r="R317" s="2" t="inlineStr"/>
    </row>
    <row r="318" ht="15" customHeight="1">
      <c r="A318" t="inlineStr">
        <is>
          <t>A 27807-2022</t>
        </is>
      </c>
      <c r="B318" s="1" t="n">
        <v>44743</v>
      </c>
      <c r="C318" s="1" t="n">
        <v>45358</v>
      </c>
      <c r="D318" t="inlineStr">
        <is>
          <t>VÄSTRA GÖTALANDS LÄN</t>
        </is>
      </c>
      <c r="E318" t="inlineStr">
        <is>
          <t>DALS-ED</t>
        </is>
      </c>
      <c r="G318" t="n">
        <v>3.8</v>
      </c>
      <c r="H318" t="n">
        <v>0</v>
      </c>
      <c r="I318" t="n">
        <v>0</v>
      </c>
      <c r="J318" t="n">
        <v>0</v>
      </c>
      <c r="K318" t="n">
        <v>0</v>
      </c>
      <c r="L318" t="n">
        <v>0</v>
      </c>
      <c r="M318" t="n">
        <v>0</v>
      </c>
      <c r="N318" t="n">
        <v>0</v>
      </c>
      <c r="O318" t="n">
        <v>0</v>
      </c>
      <c r="P318" t="n">
        <v>0</v>
      </c>
      <c r="Q318" t="n">
        <v>0</v>
      </c>
      <c r="R318" s="2" t="inlineStr"/>
    </row>
    <row r="319" ht="15" customHeight="1">
      <c r="A319" t="inlineStr">
        <is>
          <t>A 27812-2022</t>
        </is>
      </c>
      <c r="B319" s="1" t="n">
        <v>44743</v>
      </c>
      <c r="C319" s="1" t="n">
        <v>45358</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29518-2022</t>
        </is>
      </c>
      <c r="B320" s="1" t="n">
        <v>44753</v>
      </c>
      <c r="C320" s="1" t="n">
        <v>45358</v>
      </c>
      <c r="D320" t="inlineStr">
        <is>
          <t>VÄSTRA GÖTALANDS LÄN</t>
        </is>
      </c>
      <c r="E320" t="inlineStr">
        <is>
          <t>DALS-ED</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45358</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31764-2022</t>
        </is>
      </c>
      <c r="B322" s="1" t="n">
        <v>44776</v>
      </c>
      <c r="C322" s="1" t="n">
        <v>45358</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32193-2022</t>
        </is>
      </c>
      <c r="B323" s="1" t="n">
        <v>44781</v>
      </c>
      <c r="C323" s="1" t="n">
        <v>45358</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32317-2022</t>
        </is>
      </c>
      <c r="B324" s="1" t="n">
        <v>44781</v>
      </c>
      <c r="C324" s="1" t="n">
        <v>45358</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32313-2022</t>
        </is>
      </c>
      <c r="B325" s="1" t="n">
        <v>44781</v>
      </c>
      <c r="C325" s="1" t="n">
        <v>45358</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32872-2022</t>
        </is>
      </c>
      <c r="B326" s="1" t="n">
        <v>44784</v>
      </c>
      <c r="C326" s="1" t="n">
        <v>45358</v>
      </c>
      <c r="D326" t="inlineStr">
        <is>
          <t>VÄSTRA GÖTALANDS LÄN</t>
        </is>
      </c>
      <c r="E326" t="inlineStr">
        <is>
          <t>DALS-ED</t>
        </is>
      </c>
      <c r="G326" t="n">
        <v>18.3</v>
      </c>
      <c r="H326" t="n">
        <v>0</v>
      </c>
      <c r="I326" t="n">
        <v>0</v>
      </c>
      <c r="J326" t="n">
        <v>0</v>
      </c>
      <c r="K326" t="n">
        <v>0</v>
      </c>
      <c r="L326" t="n">
        <v>0</v>
      </c>
      <c r="M326" t="n">
        <v>0</v>
      </c>
      <c r="N326" t="n">
        <v>0</v>
      </c>
      <c r="O326" t="n">
        <v>0</v>
      </c>
      <c r="P326" t="n">
        <v>0</v>
      </c>
      <c r="Q326" t="n">
        <v>0</v>
      </c>
      <c r="R326" s="2" t="inlineStr"/>
    </row>
    <row r="327" ht="15" customHeight="1">
      <c r="A327" t="inlineStr">
        <is>
          <t>A 33688-2022</t>
        </is>
      </c>
      <c r="B327" s="1" t="n">
        <v>44789</v>
      </c>
      <c r="C327" s="1" t="n">
        <v>45358</v>
      </c>
      <c r="D327" t="inlineStr">
        <is>
          <t>VÄSTRA GÖTALANDS LÄN</t>
        </is>
      </c>
      <c r="E327" t="inlineStr">
        <is>
          <t>DALS-ED</t>
        </is>
      </c>
      <c r="G327" t="n">
        <v>12.9</v>
      </c>
      <c r="H327" t="n">
        <v>0</v>
      </c>
      <c r="I327" t="n">
        <v>0</v>
      </c>
      <c r="J327" t="n">
        <v>0</v>
      </c>
      <c r="K327" t="n">
        <v>0</v>
      </c>
      <c r="L327" t="n">
        <v>0</v>
      </c>
      <c r="M327" t="n">
        <v>0</v>
      </c>
      <c r="N327" t="n">
        <v>0</v>
      </c>
      <c r="O327" t="n">
        <v>0</v>
      </c>
      <c r="P327" t="n">
        <v>0</v>
      </c>
      <c r="Q327" t="n">
        <v>0</v>
      </c>
      <c r="R327" s="2" t="inlineStr"/>
    </row>
    <row r="328" ht="15" customHeight="1">
      <c r="A328" t="inlineStr">
        <is>
          <t>A 34888-2022</t>
        </is>
      </c>
      <c r="B328" s="1" t="n">
        <v>44796</v>
      </c>
      <c r="C328" s="1" t="n">
        <v>45358</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35629-2022</t>
        </is>
      </c>
      <c r="B329" s="1" t="n">
        <v>44799</v>
      </c>
      <c r="C329" s="1" t="n">
        <v>45358</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35879-2022</t>
        </is>
      </c>
      <c r="B330" s="1" t="n">
        <v>44802</v>
      </c>
      <c r="C330" s="1" t="n">
        <v>45358</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37168-2022</t>
        </is>
      </c>
      <c r="B331" s="1" t="n">
        <v>44806</v>
      </c>
      <c r="C331" s="1" t="n">
        <v>45358</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37253-2022</t>
        </is>
      </c>
      <c r="B332" s="1" t="n">
        <v>44807</v>
      </c>
      <c r="C332" s="1" t="n">
        <v>45358</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38392-2022</t>
        </is>
      </c>
      <c r="B333" s="1" t="n">
        <v>44812</v>
      </c>
      <c r="C333" s="1" t="n">
        <v>45358</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40372-2022</t>
        </is>
      </c>
      <c r="B334" s="1" t="n">
        <v>44823</v>
      </c>
      <c r="C334" s="1" t="n">
        <v>45358</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40380-2022</t>
        </is>
      </c>
      <c r="B335" s="1" t="n">
        <v>44823</v>
      </c>
      <c r="C335" s="1" t="n">
        <v>45358</v>
      </c>
      <c r="D335" t="inlineStr">
        <is>
          <t>VÄSTRA GÖTALANDS LÄN</t>
        </is>
      </c>
      <c r="E335" t="inlineStr">
        <is>
          <t>DALS-ED</t>
        </is>
      </c>
      <c r="G335" t="n">
        <v>5.1</v>
      </c>
      <c r="H335" t="n">
        <v>0</v>
      </c>
      <c r="I335" t="n">
        <v>0</v>
      </c>
      <c r="J335" t="n">
        <v>0</v>
      </c>
      <c r="K335" t="n">
        <v>0</v>
      </c>
      <c r="L335" t="n">
        <v>0</v>
      </c>
      <c r="M335" t="n">
        <v>0</v>
      </c>
      <c r="N335" t="n">
        <v>0</v>
      </c>
      <c r="O335" t="n">
        <v>0</v>
      </c>
      <c r="P335" t="n">
        <v>0</v>
      </c>
      <c r="Q335" t="n">
        <v>0</v>
      </c>
      <c r="R335" s="2" t="inlineStr"/>
    </row>
    <row r="336" ht="15" customHeight="1">
      <c r="A336" t="inlineStr">
        <is>
          <t>A 40390-2022</t>
        </is>
      </c>
      <c r="B336" s="1" t="n">
        <v>44823</v>
      </c>
      <c r="C336" s="1" t="n">
        <v>45358</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40354-2022</t>
        </is>
      </c>
      <c r="B337" s="1" t="n">
        <v>44823</v>
      </c>
      <c r="C337" s="1" t="n">
        <v>45358</v>
      </c>
      <c r="D337" t="inlineStr">
        <is>
          <t>VÄSTRA GÖTALANDS LÄN</t>
        </is>
      </c>
      <c r="E337" t="inlineStr">
        <is>
          <t>DALS-ED</t>
        </is>
      </c>
      <c r="G337" t="n">
        <v>4.1</v>
      </c>
      <c r="H337" t="n">
        <v>0</v>
      </c>
      <c r="I337" t="n">
        <v>0</v>
      </c>
      <c r="J337" t="n">
        <v>0</v>
      </c>
      <c r="K337" t="n">
        <v>0</v>
      </c>
      <c r="L337" t="n">
        <v>0</v>
      </c>
      <c r="M337" t="n">
        <v>0</v>
      </c>
      <c r="N337" t="n">
        <v>0</v>
      </c>
      <c r="O337" t="n">
        <v>0</v>
      </c>
      <c r="P337" t="n">
        <v>0</v>
      </c>
      <c r="Q337" t="n">
        <v>0</v>
      </c>
      <c r="R337" s="2" t="inlineStr"/>
    </row>
    <row r="338" ht="15" customHeight="1">
      <c r="A338" t="inlineStr">
        <is>
          <t>A 40378-2022</t>
        </is>
      </c>
      <c r="B338" s="1" t="n">
        <v>44823</v>
      </c>
      <c r="C338" s="1" t="n">
        <v>45358</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40482-2022</t>
        </is>
      </c>
      <c r="B339" s="1" t="n">
        <v>44823</v>
      </c>
      <c r="C339" s="1" t="n">
        <v>45358</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40488-2022</t>
        </is>
      </c>
      <c r="B340" s="1" t="n">
        <v>44823</v>
      </c>
      <c r="C340" s="1" t="n">
        <v>45358</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41151-2022</t>
        </is>
      </c>
      <c r="B341" s="1" t="n">
        <v>44825</v>
      </c>
      <c r="C341" s="1" t="n">
        <v>45358</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41255-2022</t>
        </is>
      </c>
      <c r="B342" s="1" t="n">
        <v>44826</v>
      </c>
      <c r="C342" s="1" t="n">
        <v>45358</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42951-2022</t>
        </is>
      </c>
      <c r="B343" s="1" t="n">
        <v>44832</v>
      </c>
      <c r="C343" s="1" t="n">
        <v>45358</v>
      </c>
      <c r="D343" t="inlineStr">
        <is>
          <t>VÄSTRA GÖTALANDS LÄN</t>
        </is>
      </c>
      <c r="E343" t="inlineStr">
        <is>
          <t>DALS-ED</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42979-2022</t>
        </is>
      </c>
      <c r="B344" s="1" t="n">
        <v>44833</v>
      </c>
      <c r="C344" s="1" t="n">
        <v>45358</v>
      </c>
      <c r="D344" t="inlineStr">
        <is>
          <t>VÄSTRA GÖTALANDS LÄN</t>
        </is>
      </c>
      <c r="E344" t="inlineStr">
        <is>
          <t>DALS-ED</t>
        </is>
      </c>
      <c r="G344" t="n">
        <v>4.1</v>
      </c>
      <c r="H344" t="n">
        <v>0</v>
      </c>
      <c r="I344" t="n">
        <v>0</v>
      </c>
      <c r="J344" t="n">
        <v>0</v>
      </c>
      <c r="K344" t="n">
        <v>0</v>
      </c>
      <c r="L344" t="n">
        <v>0</v>
      </c>
      <c r="M344" t="n">
        <v>0</v>
      </c>
      <c r="N344" t="n">
        <v>0</v>
      </c>
      <c r="O344" t="n">
        <v>0</v>
      </c>
      <c r="P344" t="n">
        <v>0</v>
      </c>
      <c r="Q344" t="n">
        <v>0</v>
      </c>
      <c r="R344" s="2" t="inlineStr"/>
    </row>
    <row r="345" ht="15" customHeight="1">
      <c r="A345" t="inlineStr">
        <is>
          <t>A 42944-2022</t>
        </is>
      </c>
      <c r="B345" s="1" t="n">
        <v>44833</v>
      </c>
      <c r="C345" s="1" t="n">
        <v>45358</v>
      </c>
      <c r="D345" t="inlineStr">
        <is>
          <t>VÄSTRA GÖTALANDS LÄN</t>
        </is>
      </c>
      <c r="E345" t="inlineStr">
        <is>
          <t>DALS-ED</t>
        </is>
      </c>
      <c r="G345" t="n">
        <v>10.6</v>
      </c>
      <c r="H345" t="n">
        <v>0</v>
      </c>
      <c r="I345" t="n">
        <v>0</v>
      </c>
      <c r="J345" t="n">
        <v>0</v>
      </c>
      <c r="K345" t="n">
        <v>0</v>
      </c>
      <c r="L345" t="n">
        <v>0</v>
      </c>
      <c r="M345" t="n">
        <v>0</v>
      </c>
      <c r="N345" t="n">
        <v>0</v>
      </c>
      <c r="O345" t="n">
        <v>0</v>
      </c>
      <c r="P345" t="n">
        <v>0</v>
      </c>
      <c r="Q345" t="n">
        <v>0</v>
      </c>
      <c r="R345" s="2" t="inlineStr"/>
    </row>
    <row r="346" ht="15" customHeight="1">
      <c r="A346" t="inlineStr">
        <is>
          <t>A 43027-2022</t>
        </is>
      </c>
      <c r="B346" s="1" t="n">
        <v>44833</v>
      </c>
      <c r="C346" s="1" t="n">
        <v>45358</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43492-2022</t>
        </is>
      </c>
      <c r="B347" s="1" t="n">
        <v>44837</v>
      </c>
      <c r="C347" s="1" t="n">
        <v>45358</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44826-2022</t>
        </is>
      </c>
      <c r="B348" s="1" t="n">
        <v>44841</v>
      </c>
      <c r="C348" s="1" t="n">
        <v>45358</v>
      </c>
      <c r="D348" t="inlineStr">
        <is>
          <t>VÄSTRA GÖTALANDS LÄN</t>
        </is>
      </c>
      <c r="E348" t="inlineStr">
        <is>
          <t>DALS-ED</t>
        </is>
      </c>
      <c r="F348" t="inlineStr">
        <is>
          <t>Övriga Aktiebolag</t>
        </is>
      </c>
      <c r="G348" t="n">
        <v>7.2</v>
      </c>
      <c r="H348" t="n">
        <v>0</v>
      </c>
      <c r="I348" t="n">
        <v>0</v>
      </c>
      <c r="J348" t="n">
        <v>0</v>
      </c>
      <c r="K348" t="n">
        <v>0</v>
      </c>
      <c r="L348" t="n">
        <v>0</v>
      </c>
      <c r="M348" t="n">
        <v>0</v>
      </c>
      <c r="N348" t="n">
        <v>0</v>
      </c>
      <c r="O348" t="n">
        <v>0</v>
      </c>
      <c r="P348" t="n">
        <v>0</v>
      </c>
      <c r="Q348" t="n">
        <v>0</v>
      </c>
      <c r="R348" s="2" t="inlineStr"/>
    </row>
    <row r="349" ht="15" customHeight="1">
      <c r="A349" t="inlineStr">
        <is>
          <t>A 47828-2022</t>
        </is>
      </c>
      <c r="B349" s="1" t="n">
        <v>44855</v>
      </c>
      <c r="C349" s="1" t="n">
        <v>45358</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48278-2022</t>
        </is>
      </c>
      <c r="B350" s="1" t="n">
        <v>44858</v>
      </c>
      <c r="C350" s="1" t="n">
        <v>45358</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48295-2022</t>
        </is>
      </c>
      <c r="B351" s="1" t="n">
        <v>44858</v>
      </c>
      <c r="C351" s="1" t="n">
        <v>45358</v>
      </c>
      <c r="D351" t="inlineStr">
        <is>
          <t>VÄSTRA GÖTALANDS LÄN</t>
        </is>
      </c>
      <c r="E351" t="inlineStr">
        <is>
          <t>DALS-ED</t>
        </is>
      </c>
      <c r="G351" t="n">
        <v>2.4</v>
      </c>
      <c r="H351" t="n">
        <v>0</v>
      </c>
      <c r="I351" t="n">
        <v>0</v>
      </c>
      <c r="J351" t="n">
        <v>0</v>
      </c>
      <c r="K351" t="n">
        <v>0</v>
      </c>
      <c r="L351" t="n">
        <v>0</v>
      </c>
      <c r="M351" t="n">
        <v>0</v>
      </c>
      <c r="N351" t="n">
        <v>0</v>
      </c>
      <c r="O351" t="n">
        <v>0</v>
      </c>
      <c r="P351" t="n">
        <v>0</v>
      </c>
      <c r="Q351" t="n">
        <v>0</v>
      </c>
      <c r="R351" s="2" t="inlineStr"/>
    </row>
    <row r="352" ht="15" customHeight="1">
      <c r="A352" t="inlineStr">
        <is>
          <t>A 48281-2022</t>
        </is>
      </c>
      <c r="B352" s="1" t="n">
        <v>44858</v>
      </c>
      <c r="C352" s="1" t="n">
        <v>45358</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49036-2022</t>
        </is>
      </c>
      <c r="B353" s="1" t="n">
        <v>44860</v>
      </c>
      <c r="C353" s="1" t="n">
        <v>45358</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51214-2022</t>
        </is>
      </c>
      <c r="B354" s="1" t="n">
        <v>44865</v>
      </c>
      <c r="C354" s="1" t="n">
        <v>45358</v>
      </c>
      <c r="D354" t="inlineStr">
        <is>
          <t>VÄSTRA GÖTALANDS LÄN</t>
        </is>
      </c>
      <c r="E354" t="inlineStr">
        <is>
          <t>DALS-ED</t>
        </is>
      </c>
      <c r="F354" t="inlineStr">
        <is>
          <t>Kyrkan</t>
        </is>
      </c>
      <c r="G354" t="n">
        <v>3</v>
      </c>
      <c r="H354" t="n">
        <v>0</v>
      </c>
      <c r="I354" t="n">
        <v>0</v>
      </c>
      <c r="J354" t="n">
        <v>0</v>
      </c>
      <c r="K354" t="n">
        <v>0</v>
      </c>
      <c r="L354" t="n">
        <v>0</v>
      </c>
      <c r="M354" t="n">
        <v>0</v>
      </c>
      <c r="N354" t="n">
        <v>0</v>
      </c>
      <c r="O354" t="n">
        <v>0</v>
      </c>
      <c r="P354" t="n">
        <v>0</v>
      </c>
      <c r="Q354" t="n">
        <v>0</v>
      </c>
      <c r="R354" s="2" t="inlineStr"/>
    </row>
    <row r="355" ht="15" customHeight="1">
      <c r="A355" t="inlineStr">
        <is>
          <t>A 53084-2022</t>
        </is>
      </c>
      <c r="B355" s="1" t="n">
        <v>44873</v>
      </c>
      <c r="C355" s="1" t="n">
        <v>45358</v>
      </c>
      <c r="D355" t="inlineStr">
        <is>
          <t>VÄSTRA GÖTALANDS LÄN</t>
        </is>
      </c>
      <c r="E355" t="inlineStr">
        <is>
          <t>DALS-ED</t>
        </is>
      </c>
      <c r="G355" t="n">
        <v>9.4</v>
      </c>
      <c r="H355" t="n">
        <v>0</v>
      </c>
      <c r="I355" t="n">
        <v>0</v>
      </c>
      <c r="J355" t="n">
        <v>0</v>
      </c>
      <c r="K355" t="n">
        <v>0</v>
      </c>
      <c r="L355" t="n">
        <v>0</v>
      </c>
      <c r="M355" t="n">
        <v>0</v>
      </c>
      <c r="N355" t="n">
        <v>0</v>
      </c>
      <c r="O355" t="n">
        <v>0</v>
      </c>
      <c r="P355" t="n">
        <v>0</v>
      </c>
      <c r="Q355" t="n">
        <v>0</v>
      </c>
      <c r="R355" s="2" t="inlineStr"/>
    </row>
    <row r="356" ht="15" customHeight="1">
      <c r="A356" t="inlineStr">
        <is>
          <t>A 52860-2022</t>
        </is>
      </c>
      <c r="B356" s="1" t="n">
        <v>44875</v>
      </c>
      <c r="C356" s="1" t="n">
        <v>45358</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56310-2022</t>
        </is>
      </c>
      <c r="B357" s="1" t="n">
        <v>44887</v>
      </c>
      <c r="C357" s="1" t="n">
        <v>45358</v>
      </c>
      <c r="D357" t="inlineStr">
        <is>
          <t>VÄSTRA GÖTALANDS LÄN</t>
        </is>
      </c>
      <c r="E357" t="inlineStr">
        <is>
          <t>DALS-ED</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57105-2022</t>
        </is>
      </c>
      <c r="B358" s="1" t="n">
        <v>44895</v>
      </c>
      <c r="C358" s="1" t="n">
        <v>45358</v>
      </c>
      <c r="D358" t="inlineStr">
        <is>
          <t>VÄSTRA GÖTALANDS LÄN</t>
        </is>
      </c>
      <c r="E358" t="inlineStr">
        <is>
          <t>DALS-ED</t>
        </is>
      </c>
      <c r="G358" t="n">
        <v>11.4</v>
      </c>
      <c r="H358" t="n">
        <v>0</v>
      </c>
      <c r="I358" t="n">
        <v>0</v>
      </c>
      <c r="J358" t="n">
        <v>0</v>
      </c>
      <c r="K358" t="n">
        <v>0</v>
      </c>
      <c r="L358" t="n">
        <v>0</v>
      </c>
      <c r="M358" t="n">
        <v>0</v>
      </c>
      <c r="N358" t="n">
        <v>0</v>
      </c>
      <c r="O358" t="n">
        <v>0</v>
      </c>
      <c r="P358" t="n">
        <v>0</v>
      </c>
      <c r="Q358" t="n">
        <v>0</v>
      </c>
      <c r="R358" s="2" t="inlineStr"/>
    </row>
    <row r="359" ht="15" customHeight="1">
      <c r="A359" t="inlineStr">
        <is>
          <t>A 57262-2022</t>
        </is>
      </c>
      <c r="B359" s="1" t="n">
        <v>44895</v>
      </c>
      <c r="C359" s="1" t="n">
        <v>45358</v>
      </c>
      <c r="D359" t="inlineStr">
        <is>
          <t>VÄSTRA GÖTALANDS LÄN</t>
        </is>
      </c>
      <c r="E359" t="inlineStr">
        <is>
          <t>DALS-ED</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58206-2022</t>
        </is>
      </c>
      <c r="B360" s="1" t="n">
        <v>44901</v>
      </c>
      <c r="C360" s="1" t="n">
        <v>45358</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58199-2022</t>
        </is>
      </c>
      <c r="B361" s="1" t="n">
        <v>44901</v>
      </c>
      <c r="C361" s="1" t="n">
        <v>45358</v>
      </c>
      <c r="D361" t="inlineStr">
        <is>
          <t>VÄSTRA GÖTALANDS LÄN</t>
        </is>
      </c>
      <c r="E361" t="inlineStr">
        <is>
          <t>DALS-ED</t>
        </is>
      </c>
      <c r="G361" t="n">
        <v>5.6</v>
      </c>
      <c r="H361" t="n">
        <v>0</v>
      </c>
      <c r="I361" t="n">
        <v>0</v>
      </c>
      <c r="J361" t="n">
        <v>0</v>
      </c>
      <c r="K361" t="n">
        <v>0</v>
      </c>
      <c r="L361" t="n">
        <v>0</v>
      </c>
      <c r="M361" t="n">
        <v>0</v>
      </c>
      <c r="N361" t="n">
        <v>0</v>
      </c>
      <c r="O361" t="n">
        <v>0</v>
      </c>
      <c r="P361" t="n">
        <v>0</v>
      </c>
      <c r="Q361" t="n">
        <v>0</v>
      </c>
      <c r="R361" s="2" t="inlineStr"/>
    </row>
    <row r="362" ht="15" customHeight="1">
      <c r="A362" t="inlineStr">
        <is>
          <t>A 60139-2022</t>
        </is>
      </c>
      <c r="B362" s="1" t="n">
        <v>44902</v>
      </c>
      <c r="C362" s="1" t="n">
        <v>45358</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60146-2022</t>
        </is>
      </c>
      <c r="B363" s="1" t="n">
        <v>44902</v>
      </c>
      <c r="C363" s="1" t="n">
        <v>45358</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59339-2022</t>
        </is>
      </c>
      <c r="B364" s="1" t="n">
        <v>44904</v>
      </c>
      <c r="C364" s="1" t="n">
        <v>45358</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v>
      </c>
      <c r="C365" s="1" t="n">
        <v>45358</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59714-2022</t>
        </is>
      </c>
      <c r="B366" s="1" t="n">
        <v>44908</v>
      </c>
      <c r="C366" s="1" t="n">
        <v>45358</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61073-2022</t>
        </is>
      </c>
      <c r="B367" s="1" t="n">
        <v>44908</v>
      </c>
      <c r="C367" s="1" t="n">
        <v>45358</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v>
      </c>
      <c r="C368" s="1" t="n">
        <v>45358</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61478-2022</t>
        </is>
      </c>
      <c r="B369" s="1" t="n">
        <v>44910</v>
      </c>
      <c r="C369" s="1" t="n">
        <v>45358</v>
      </c>
      <c r="D369" t="inlineStr">
        <is>
          <t>VÄSTRA GÖTALANDS LÄN</t>
        </is>
      </c>
      <c r="E369" t="inlineStr">
        <is>
          <t>DALS-ED</t>
        </is>
      </c>
      <c r="G369" t="n">
        <v>11.1</v>
      </c>
      <c r="H369" t="n">
        <v>0</v>
      </c>
      <c r="I369" t="n">
        <v>0</v>
      </c>
      <c r="J369" t="n">
        <v>0</v>
      </c>
      <c r="K369" t="n">
        <v>0</v>
      </c>
      <c r="L369" t="n">
        <v>0</v>
      </c>
      <c r="M369" t="n">
        <v>0</v>
      </c>
      <c r="N369" t="n">
        <v>0</v>
      </c>
      <c r="O369" t="n">
        <v>0</v>
      </c>
      <c r="P369" t="n">
        <v>0</v>
      </c>
      <c r="Q369" t="n">
        <v>0</v>
      </c>
      <c r="R369" s="2" t="inlineStr"/>
    </row>
    <row r="370" ht="15" customHeight="1">
      <c r="A370" t="inlineStr">
        <is>
          <t>A 61487-2022</t>
        </is>
      </c>
      <c r="B370" s="1" t="n">
        <v>44910</v>
      </c>
      <c r="C370" s="1" t="n">
        <v>45358</v>
      </c>
      <c r="D370" t="inlineStr">
        <is>
          <t>VÄSTRA GÖTALANDS LÄN</t>
        </is>
      </c>
      <c r="E370" t="inlineStr">
        <is>
          <t>DALS-ED</t>
        </is>
      </c>
      <c r="F370" t="inlineStr">
        <is>
          <t>Kyrkan</t>
        </is>
      </c>
      <c r="G370" t="n">
        <v>9.4</v>
      </c>
      <c r="H370" t="n">
        <v>0</v>
      </c>
      <c r="I370" t="n">
        <v>0</v>
      </c>
      <c r="J370" t="n">
        <v>0</v>
      </c>
      <c r="K370" t="n">
        <v>0</v>
      </c>
      <c r="L370" t="n">
        <v>0</v>
      </c>
      <c r="M370" t="n">
        <v>0</v>
      </c>
      <c r="N370" t="n">
        <v>0</v>
      </c>
      <c r="O370" t="n">
        <v>0</v>
      </c>
      <c r="P370" t="n">
        <v>0</v>
      </c>
      <c r="Q370" t="n">
        <v>0</v>
      </c>
      <c r="R370" s="2" t="inlineStr"/>
    </row>
    <row r="371" ht="15" customHeight="1">
      <c r="A371" t="inlineStr">
        <is>
          <t>A 61626-2022</t>
        </is>
      </c>
      <c r="B371" s="1" t="n">
        <v>44916</v>
      </c>
      <c r="C371" s="1" t="n">
        <v>45358</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1491-2023</t>
        </is>
      </c>
      <c r="B372" s="1" t="n">
        <v>44937</v>
      </c>
      <c r="C372" s="1" t="n">
        <v>45358</v>
      </c>
      <c r="D372" t="inlineStr">
        <is>
          <t>VÄSTRA GÖTALANDS LÄN</t>
        </is>
      </c>
      <c r="E372" t="inlineStr">
        <is>
          <t>DALS-ED</t>
        </is>
      </c>
      <c r="G372" t="n">
        <v>11.1</v>
      </c>
      <c r="H372" t="n">
        <v>0</v>
      </c>
      <c r="I372" t="n">
        <v>0</v>
      </c>
      <c r="J372" t="n">
        <v>0</v>
      </c>
      <c r="K372" t="n">
        <v>0</v>
      </c>
      <c r="L372" t="n">
        <v>0</v>
      </c>
      <c r="M372" t="n">
        <v>0</v>
      </c>
      <c r="N372" t="n">
        <v>0</v>
      </c>
      <c r="O372" t="n">
        <v>0</v>
      </c>
      <c r="P372" t="n">
        <v>0</v>
      </c>
      <c r="Q372" t="n">
        <v>0</v>
      </c>
      <c r="R372" s="2" t="inlineStr"/>
    </row>
    <row r="373" ht="15" customHeight="1">
      <c r="A373" t="inlineStr">
        <is>
          <t>A 2278-2023</t>
        </is>
      </c>
      <c r="B373" s="1" t="n">
        <v>44942</v>
      </c>
      <c r="C373" s="1" t="n">
        <v>45358</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2275-2023</t>
        </is>
      </c>
      <c r="B374" s="1" t="n">
        <v>44942</v>
      </c>
      <c r="C374" s="1" t="n">
        <v>45358</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2284-2023</t>
        </is>
      </c>
      <c r="B375" s="1" t="n">
        <v>44942</v>
      </c>
      <c r="C375" s="1" t="n">
        <v>45358</v>
      </c>
      <c r="D375" t="inlineStr">
        <is>
          <t>VÄSTRA GÖTALANDS LÄN</t>
        </is>
      </c>
      <c r="E375" t="inlineStr">
        <is>
          <t>DALS-ED</t>
        </is>
      </c>
      <c r="G375" t="n">
        <v>6.9</v>
      </c>
      <c r="H375" t="n">
        <v>0</v>
      </c>
      <c r="I375" t="n">
        <v>0</v>
      </c>
      <c r="J375" t="n">
        <v>0</v>
      </c>
      <c r="K375" t="n">
        <v>0</v>
      </c>
      <c r="L375" t="n">
        <v>0</v>
      </c>
      <c r="M375" t="n">
        <v>0</v>
      </c>
      <c r="N375" t="n">
        <v>0</v>
      </c>
      <c r="O375" t="n">
        <v>0</v>
      </c>
      <c r="P375" t="n">
        <v>0</v>
      </c>
      <c r="Q375" t="n">
        <v>0</v>
      </c>
      <c r="R375" s="2" t="inlineStr"/>
    </row>
    <row r="376" ht="15" customHeight="1">
      <c r="A376" t="inlineStr">
        <is>
          <t>A 2280-2023</t>
        </is>
      </c>
      <c r="B376" s="1" t="n">
        <v>44942</v>
      </c>
      <c r="C376" s="1" t="n">
        <v>45358</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3398-2023</t>
        </is>
      </c>
      <c r="B377" s="1" t="n">
        <v>44949</v>
      </c>
      <c r="C377" s="1" t="n">
        <v>45358</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4114-2023</t>
        </is>
      </c>
      <c r="B378" s="1" t="n">
        <v>44952</v>
      </c>
      <c r="C378" s="1" t="n">
        <v>45358</v>
      </c>
      <c r="D378" t="inlineStr">
        <is>
          <t>VÄSTRA GÖTALANDS LÄN</t>
        </is>
      </c>
      <c r="E378" t="inlineStr">
        <is>
          <t>DALS-ED</t>
        </is>
      </c>
      <c r="G378" t="n">
        <v>1.6</v>
      </c>
      <c r="H378" t="n">
        <v>0</v>
      </c>
      <c r="I378" t="n">
        <v>0</v>
      </c>
      <c r="J378" t="n">
        <v>0</v>
      </c>
      <c r="K378" t="n">
        <v>0</v>
      </c>
      <c r="L378" t="n">
        <v>0</v>
      </c>
      <c r="M378" t="n">
        <v>0</v>
      </c>
      <c r="N378" t="n">
        <v>0</v>
      </c>
      <c r="O378" t="n">
        <v>0</v>
      </c>
      <c r="P378" t="n">
        <v>0</v>
      </c>
      <c r="Q378" t="n">
        <v>0</v>
      </c>
      <c r="R378" s="2" t="inlineStr"/>
    </row>
    <row r="379" ht="15" customHeight="1">
      <c r="A379" t="inlineStr">
        <is>
          <t>A 4025-2023</t>
        </is>
      </c>
      <c r="B379" s="1" t="n">
        <v>44952</v>
      </c>
      <c r="C379" s="1" t="n">
        <v>45358</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4043-2023</t>
        </is>
      </c>
      <c r="B380" s="1" t="n">
        <v>44952</v>
      </c>
      <c r="C380" s="1" t="n">
        <v>45358</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4108-2023</t>
        </is>
      </c>
      <c r="B381" s="1" t="n">
        <v>44952</v>
      </c>
      <c r="C381" s="1" t="n">
        <v>45358</v>
      </c>
      <c r="D381" t="inlineStr">
        <is>
          <t>VÄSTRA GÖTALANDS LÄN</t>
        </is>
      </c>
      <c r="E381" t="inlineStr">
        <is>
          <t>DALS-ED</t>
        </is>
      </c>
      <c r="G381" t="n">
        <v>4</v>
      </c>
      <c r="H381" t="n">
        <v>0</v>
      </c>
      <c r="I381" t="n">
        <v>0</v>
      </c>
      <c r="J381" t="n">
        <v>0</v>
      </c>
      <c r="K381" t="n">
        <v>0</v>
      </c>
      <c r="L381" t="n">
        <v>0</v>
      </c>
      <c r="M381" t="n">
        <v>0</v>
      </c>
      <c r="N381" t="n">
        <v>0</v>
      </c>
      <c r="O381" t="n">
        <v>0</v>
      </c>
      <c r="P381" t="n">
        <v>0</v>
      </c>
      <c r="Q381" t="n">
        <v>0</v>
      </c>
      <c r="R381" s="2" t="inlineStr"/>
    </row>
    <row r="382" ht="15" customHeight="1">
      <c r="A382" t="inlineStr">
        <is>
          <t>A 4107-2023</t>
        </is>
      </c>
      <c r="B382" s="1" t="n">
        <v>44952</v>
      </c>
      <c r="C382" s="1" t="n">
        <v>45358</v>
      </c>
      <c r="D382" t="inlineStr">
        <is>
          <t>VÄSTRA GÖTALANDS LÄN</t>
        </is>
      </c>
      <c r="E382" t="inlineStr">
        <is>
          <t>DALS-ED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4112-2023</t>
        </is>
      </c>
      <c r="B383" s="1" t="n">
        <v>44952</v>
      </c>
      <c r="C383" s="1" t="n">
        <v>45358</v>
      </c>
      <c r="D383" t="inlineStr">
        <is>
          <t>VÄSTRA GÖTALANDS LÄN</t>
        </is>
      </c>
      <c r="E383" t="inlineStr">
        <is>
          <t>DALS-ED</t>
        </is>
      </c>
      <c r="G383" t="n">
        <v>7.4</v>
      </c>
      <c r="H383" t="n">
        <v>0</v>
      </c>
      <c r="I383" t="n">
        <v>0</v>
      </c>
      <c r="J383" t="n">
        <v>0</v>
      </c>
      <c r="K383" t="n">
        <v>0</v>
      </c>
      <c r="L383" t="n">
        <v>0</v>
      </c>
      <c r="M383" t="n">
        <v>0</v>
      </c>
      <c r="N383" t="n">
        <v>0</v>
      </c>
      <c r="O383" t="n">
        <v>0</v>
      </c>
      <c r="P383" t="n">
        <v>0</v>
      </c>
      <c r="Q383" t="n">
        <v>0</v>
      </c>
      <c r="R383" s="2" t="inlineStr"/>
    </row>
    <row r="384" ht="15" customHeight="1">
      <c r="A384" t="inlineStr">
        <is>
          <t>A 4105-2023</t>
        </is>
      </c>
      <c r="B384" s="1" t="n">
        <v>44952</v>
      </c>
      <c r="C384" s="1" t="n">
        <v>45358</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4110-2023</t>
        </is>
      </c>
      <c r="B385" s="1" t="n">
        <v>44952</v>
      </c>
      <c r="C385" s="1" t="n">
        <v>45358</v>
      </c>
      <c r="D385" t="inlineStr">
        <is>
          <t>VÄSTRA GÖTALANDS LÄN</t>
        </is>
      </c>
      <c r="E385" t="inlineStr">
        <is>
          <t>DALS-ED</t>
        </is>
      </c>
      <c r="G385" t="n">
        <v>27.4</v>
      </c>
      <c r="H385" t="n">
        <v>0</v>
      </c>
      <c r="I385" t="n">
        <v>0</v>
      </c>
      <c r="J385" t="n">
        <v>0</v>
      </c>
      <c r="K385" t="n">
        <v>0</v>
      </c>
      <c r="L385" t="n">
        <v>0</v>
      </c>
      <c r="M385" t="n">
        <v>0</v>
      </c>
      <c r="N385" t="n">
        <v>0</v>
      </c>
      <c r="O385" t="n">
        <v>0</v>
      </c>
      <c r="P385" t="n">
        <v>0</v>
      </c>
      <c r="Q385" t="n">
        <v>0</v>
      </c>
      <c r="R385" s="2" t="inlineStr"/>
    </row>
    <row r="386" ht="15" customHeight="1">
      <c r="A386" t="inlineStr">
        <is>
          <t>A 4115-2023</t>
        </is>
      </c>
      <c r="B386" s="1" t="n">
        <v>44952</v>
      </c>
      <c r="C386" s="1" t="n">
        <v>45358</v>
      </c>
      <c r="D386" t="inlineStr">
        <is>
          <t>VÄSTRA GÖTALANDS LÄN</t>
        </is>
      </c>
      <c r="E386" t="inlineStr">
        <is>
          <t>DALS-ED</t>
        </is>
      </c>
      <c r="G386" t="n">
        <v>4.2</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v>
      </c>
      <c r="C387" s="1" t="n">
        <v>45358</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5114-2023</t>
        </is>
      </c>
      <c r="B388" s="1" t="n">
        <v>44958</v>
      </c>
      <c r="C388" s="1" t="n">
        <v>45358</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5121-2023</t>
        </is>
      </c>
      <c r="B389" s="1" t="n">
        <v>44958</v>
      </c>
      <c r="C389" s="1" t="n">
        <v>45358</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5312-2023</t>
        </is>
      </c>
      <c r="B390" s="1" t="n">
        <v>44959</v>
      </c>
      <c r="C390" s="1" t="n">
        <v>45358</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5385-2023</t>
        </is>
      </c>
      <c r="B391" s="1" t="n">
        <v>44959</v>
      </c>
      <c r="C391" s="1" t="n">
        <v>45358</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45358</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5569-2023</t>
        </is>
      </c>
      <c r="B393" s="1" t="n">
        <v>44960</v>
      </c>
      <c r="C393" s="1" t="n">
        <v>45358</v>
      </c>
      <c r="D393" t="inlineStr">
        <is>
          <t>VÄSTRA GÖTALANDS LÄN</t>
        </is>
      </c>
      <c r="E393" t="inlineStr">
        <is>
          <t>DALS-ED</t>
        </is>
      </c>
      <c r="G393" t="n">
        <v>10.4</v>
      </c>
      <c r="H393" t="n">
        <v>0</v>
      </c>
      <c r="I393" t="n">
        <v>0</v>
      </c>
      <c r="J393" t="n">
        <v>0</v>
      </c>
      <c r="K393" t="n">
        <v>0</v>
      </c>
      <c r="L393" t="n">
        <v>0</v>
      </c>
      <c r="M393" t="n">
        <v>0</v>
      </c>
      <c r="N393" t="n">
        <v>0</v>
      </c>
      <c r="O393" t="n">
        <v>0</v>
      </c>
      <c r="P393" t="n">
        <v>0</v>
      </c>
      <c r="Q393" t="n">
        <v>0</v>
      </c>
      <c r="R393" s="2" t="inlineStr"/>
    </row>
    <row r="394" ht="15" customHeight="1">
      <c r="A394" t="inlineStr">
        <is>
          <t>A 5553-2023</t>
        </is>
      </c>
      <c r="B394" s="1" t="n">
        <v>44960</v>
      </c>
      <c r="C394" s="1" t="n">
        <v>45358</v>
      </c>
      <c r="D394" t="inlineStr">
        <is>
          <t>VÄSTRA GÖTALANDS LÄN</t>
        </is>
      </c>
      <c r="E394" t="inlineStr">
        <is>
          <t>DALS-ED</t>
        </is>
      </c>
      <c r="G394" t="n">
        <v>7.9</v>
      </c>
      <c r="H394" t="n">
        <v>0</v>
      </c>
      <c r="I394" t="n">
        <v>0</v>
      </c>
      <c r="J394" t="n">
        <v>0</v>
      </c>
      <c r="K394" t="n">
        <v>0</v>
      </c>
      <c r="L394" t="n">
        <v>0</v>
      </c>
      <c r="M394" t="n">
        <v>0</v>
      </c>
      <c r="N394" t="n">
        <v>0</v>
      </c>
      <c r="O394" t="n">
        <v>0</v>
      </c>
      <c r="P394" t="n">
        <v>0</v>
      </c>
      <c r="Q394" t="n">
        <v>0</v>
      </c>
      <c r="R394" s="2" t="inlineStr"/>
    </row>
    <row r="395" ht="15" customHeight="1">
      <c r="A395" t="inlineStr">
        <is>
          <t>A 5576-2023</t>
        </is>
      </c>
      <c r="B395" s="1" t="n">
        <v>44960</v>
      </c>
      <c r="C395" s="1" t="n">
        <v>45358</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6185-2023</t>
        </is>
      </c>
      <c r="B396" s="1" t="n">
        <v>44964</v>
      </c>
      <c r="C396" s="1" t="n">
        <v>45358</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6515-2023</t>
        </is>
      </c>
      <c r="B397" s="1" t="n">
        <v>44966</v>
      </c>
      <c r="C397" s="1" t="n">
        <v>45358</v>
      </c>
      <c r="D397" t="inlineStr">
        <is>
          <t>VÄSTRA GÖTALANDS LÄN</t>
        </is>
      </c>
      <c r="E397" t="inlineStr">
        <is>
          <t>DALS-ED</t>
        </is>
      </c>
      <c r="G397" t="n">
        <v>6.4</v>
      </c>
      <c r="H397" t="n">
        <v>0</v>
      </c>
      <c r="I397" t="n">
        <v>0</v>
      </c>
      <c r="J397" t="n">
        <v>0</v>
      </c>
      <c r="K397" t="n">
        <v>0</v>
      </c>
      <c r="L397" t="n">
        <v>0</v>
      </c>
      <c r="M397" t="n">
        <v>0</v>
      </c>
      <c r="N397" t="n">
        <v>0</v>
      </c>
      <c r="O397" t="n">
        <v>0</v>
      </c>
      <c r="P397" t="n">
        <v>0</v>
      </c>
      <c r="Q397" t="n">
        <v>0</v>
      </c>
      <c r="R397" s="2" t="inlineStr"/>
    </row>
    <row r="398" ht="15" customHeight="1">
      <c r="A398" t="inlineStr">
        <is>
          <t>A 7986-2023</t>
        </is>
      </c>
      <c r="B398" s="1" t="n">
        <v>44970</v>
      </c>
      <c r="C398" s="1" t="n">
        <v>45358</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7445-2023</t>
        </is>
      </c>
      <c r="B399" s="1" t="n">
        <v>44971</v>
      </c>
      <c r="C399" s="1" t="n">
        <v>45358</v>
      </c>
      <c r="D399" t="inlineStr">
        <is>
          <t>VÄSTRA GÖTALANDS LÄN</t>
        </is>
      </c>
      <c r="E399" t="inlineStr">
        <is>
          <t>DALS-ED</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7440-2023</t>
        </is>
      </c>
      <c r="B400" s="1" t="n">
        <v>44971</v>
      </c>
      <c r="C400" s="1" t="n">
        <v>45358</v>
      </c>
      <c r="D400" t="inlineStr">
        <is>
          <t>VÄSTRA GÖTALANDS LÄN</t>
        </is>
      </c>
      <c r="E400" t="inlineStr">
        <is>
          <t>DALS-ED</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8492-2023</t>
        </is>
      </c>
      <c r="B401" s="1" t="n">
        <v>44972</v>
      </c>
      <c r="C401" s="1" t="n">
        <v>45358</v>
      </c>
      <c r="D401" t="inlineStr">
        <is>
          <t>VÄSTRA GÖTALANDS LÄN</t>
        </is>
      </c>
      <c r="E401" t="inlineStr">
        <is>
          <t>DALS-ED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8268-2023</t>
        </is>
      </c>
      <c r="B402" s="1" t="n">
        <v>44974</v>
      </c>
      <c r="C402" s="1" t="n">
        <v>45358</v>
      </c>
      <c r="D402" t="inlineStr">
        <is>
          <t>VÄSTRA GÖTALANDS LÄN</t>
        </is>
      </c>
      <c r="E402" t="inlineStr">
        <is>
          <t>DALS-ED</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9226-2023</t>
        </is>
      </c>
      <c r="B403" s="1" t="n">
        <v>44977</v>
      </c>
      <c r="C403" s="1" t="n">
        <v>45358</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9623-2023</t>
        </is>
      </c>
      <c r="B404" s="1" t="n">
        <v>44984</v>
      </c>
      <c r="C404" s="1" t="n">
        <v>45358</v>
      </c>
      <c r="D404" t="inlineStr">
        <is>
          <t>VÄSTRA GÖTALANDS LÄN</t>
        </is>
      </c>
      <c r="E404" t="inlineStr">
        <is>
          <t>DALS-ED</t>
        </is>
      </c>
      <c r="G404" t="n">
        <v>7.2</v>
      </c>
      <c r="H404" t="n">
        <v>0</v>
      </c>
      <c r="I404" t="n">
        <v>0</v>
      </c>
      <c r="J404" t="n">
        <v>0</v>
      </c>
      <c r="K404" t="n">
        <v>0</v>
      </c>
      <c r="L404" t="n">
        <v>0</v>
      </c>
      <c r="M404" t="n">
        <v>0</v>
      </c>
      <c r="N404" t="n">
        <v>0</v>
      </c>
      <c r="O404" t="n">
        <v>0</v>
      </c>
      <c r="P404" t="n">
        <v>0</v>
      </c>
      <c r="Q404" t="n">
        <v>0</v>
      </c>
      <c r="R404" s="2" t="inlineStr"/>
    </row>
    <row r="405" ht="15" customHeight="1">
      <c r="A405" t="inlineStr">
        <is>
          <t>A 10283-2023</t>
        </is>
      </c>
      <c r="B405" s="1" t="n">
        <v>44986</v>
      </c>
      <c r="C405" s="1" t="n">
        <v>45358</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11412-2023</t>
        </is>
      </c>
      <c r="B406" s="1" t="n">
        <v>44993</v>
      </c>
      <c r="C406" s="1" t="n">
        <v>45358</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11591-2023</t>
        </is>
      </c>
      <c r="B407" s="1" t="n">
        <v>44994</v>
      </c>
      <c r="C407" s="1" t="n">
        <v>45358</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12375-2023</t>
        </is>
      </c>
      <c r="B408" s="1" t="n">
        <v>44999</v>
      </c>
      <c r="C408" s="1" t="n">
        <v>45358</v>
      </c>
      <c r="D408" t="inlineStr">
        <is>
          <t>VÄSTRA GÖTALANDS LÄN</t>
        </is>
      </c>
      <c r="E408" t="inlineStr">
        <is>
          <t>DALS-ED</t>
        </is>
      </c>
      <c r="G408" t="n">
        <v>5.2</v>
      </c>
      <c r="H408" t="n">
        <v>0</v>
      </c>
      <c r="I408" t="n">
        <v>0</v>
      </c>
      <c r="J408" t="n">
        <v>0</v>
      </c>
      <c r="K408" t="n">
        <v>0</v>
      </c>
      <c r="L408" t="n">
        <v>0</v>
      </c>
      <c r="M408" t="n">
        <v>0</v>
      </c>
      <c r="N408" t="n">
        <v>0</v>
      </c>
      <c r="O408" t="n">
        <v>0</v>
      </c>
      <c r="P408" t="n">
        <v>0</v>
      </c>
      <c r="Q408" t="n">
        <v>0</v>
      </c>
      <c r="R408" s="2" t="inlineStr"/>
    </row>
    <row r="409" ht="15" customHeight="1">
      <c r="A409" t="inlineStr">
        <is>
          <t>A 12548-2023</t>
        </is>
      </c>
      <c r="B409" s="1" t="n">
        <v>45000</v>
      </c>
      <c r="C409" s="1" t="n">
        <v>45358</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13026-2023</t>
        </is>
      </c>
      <c r="B410" s="1" t="n">
        <v>45002</v>
      </c>
      <c r="C410" s="1" t="n">
        <v>45358</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13440-2023</t>
        </is>
      </c>
      <c r="B411" s="1" t="n">
        <v>45005</v>
      </c>
      <c r="C411" s="1" t="n">
        <v>45358</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13537-2023</t>
        </is>
      </c>
      <c r="B412" s="1" t="n">
        <v>45006</v>
      </c>
      <c r="C412" s="1" t="n">
        <v>45358</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13541-2023</t>
        </is>
      </c>
      <c r="B413" s="1" t="n">
        <v>45006</v>
      </c>
      <c r="C413" s="1" t="n">
        <v>45358</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13871-2023</t>
        </is>
      </c>
      <c r="B414" s="1" t="n">
        <v>45007</v>
      </c>
      <c r="C414" s="1" t="n">
        <v>45358</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13949-2023</t>
        </is>
      </c>
      <c r="B415" s="1" t="n">
        <v>45008</v>
      </c>
      <c r="C415" s="1" t="n">
        <v>45358</v>
      </c>
      <c r="D415" t="inlineStr">
        <is>
          <t>VÄSTRA GÖTALANDS LÄN</t>
        </is>
      </c>
      <c r="E415" t="inlineStr">
        <is>
          <t>DALS-ED</t>
        </is>
      </c>
      <c r="G415" t="n">
        <v>2.3</v>
      </c>
      <c r="H415" t="n">
        <v>0</v>
      </c>
      <c r="I415" t="n">
        <v>0</v>
      </c>
      <c r="J415" t="n">
        <v>0</v>
      </c>
      <c r="K415" t="n">
        <v>0</v>
      </c>
      <c r="L415" t="n">
        <v>0</v>
      </c>
      <c r="M415" t="n">
        <v>0</v>
      </c>
      <c r="N415" t="n">
        <v>0</v>
      </c>
      <c r="O415" t="n">
        <v>0</v>
      </c>
      <c r="P415" t="n">
        <v>0</v>
      </c>
      <c r="Q415" t="n">
        <v>0</v>
      </c>
      <c r="R415" s="2" t="inlineStr"/>
    </row>
    <row r="416" ht="15" customHeight="1">
      <c r="A416" t="inlineStr">
        <is>
          <t>A 14012-2023</t>
        </is>
      </c>
      <c r="B416" s="1" t="n">
        <v>45008</v>
      </c>
      <c r="C416" s="1" t="n">
        <v>45358</v>
      </c>
      <c r="D416" t="inlineStr">
        <is>
          <t>VÄSTRA GÖTALANDS LÄN</t>
        </is>
      </c>
      <c r="E416" t="inlineStr">
        <is>
          <t>DALS-ED</t>
        </is>
      </c>
      <c r="G416" t="n">
        <v>0.5</v>
      </c>
      <c r="H416" t="n">
        <v>0</v>
      </c>
      <c r="I416" t="n">
        <v>0</v>
      </c>
      <c r="J416" t="n">
        <v>0</v>
      </c>
      <c r="K416" t="n">
        <v>0</v>
      </c>
      <c r="L416" t="n">
        <v>0</v>
      </c>
      <c r="M416" t="n">
        <v>0</v>
      </c>
      <c r="N416" t="n">
        <v>0</v>
      </c>
      <c r="O416" t="n">
        <v>0</v>
      </c>
      <c r="P416" t="n">
        <v>0</v>
      </c>
      <c r="Q416" t="n">
        <v>0</v>
      </c>
      <c r="R416" s="2" t="inlineStr"/>
    </row>
    <row r="417" ht="15" customHeight="1">
      <c r="A417" t="inlineStr">
        <is>
          <t>A 14010-2023</t>
        </is>
      </c>
      <c r="B417" s="1" t="n">
        <v>45008</v>
      </c>
      <c r="C417" s="1" t="n">
        <v>45358</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14309-2023</t>
        </is>
      </c>
      <c r="B418" s="1" t="n">
        <v>45011</v>
      </c>
      <c r="C418" s="1" t="n">
        <v>45358</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14376-2023</t>
        </is>
      </c>
      <c r="B419" s="1" t="n">
        <v>45012</v>
      </c>
      <c r="C419" s="1" t="n">
        <v>45358</v>
      </c>
      <c r="D419" t="inlineStr">
        <is>
          <t>VÄSTRA GÖTALANDS LÄN</t>
        </is>
      </c>
      <c r="E419" t="inlineStr">
        <is>
          <t>DALS-ED</t>
        </is>
      </c>
      <c r="G419" t="n">
        <v>8.1</v>
      </c>
      <c r="H419" t="n">
        <v>0</v>
      </c>
      <c r="I419" t="n">
        <v>0</v>
      </c>
      <c r="J419" t="n">
        <v>0</v>
      </c>
      <c r="K419" t="n">
        <v>0</v>
      </c>
      <c r="L419" t="n">
        <v>0</v>
      </c>
      <c r="M419" t="n">
        <v>0</v>
      </c>
      <c r="N419" t="n">
        <v>0</v>
      </c>
      <c r="O419" t="n">
        <v>0</v>
      </c>
      <c r="P419" t="n">
        <v>0</v>
      </c>
      <c r="Q419" t="n">
        <v>0</v>
      </c>
      <c r="R419" s="2" t="inlineStr"/>
    </row>
    <row r="420" ht="15" customHeight="1">
      <c r="A420" t="inlineStr">
        <is>
          <t>A 14791-2023</t>
        </is>
      </c>
      <c r="B420" s="1" t="n">
        <v>45014</v>
      </c>
      <c r="C420" s="1" t="n">
        <v>45358</v>
      </c>
      <c r="D420" t="inlineStr">
        <is>
          <t>VÄSTRA GÖTALANDS LÄN</t>
        </is>
      </c>
      <c r="E420" t="inlineStr">
        <is>
          <t>DALS-ED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14758-2023</t>
        </is>
      </c>
      <c r="B421" s="1" t="n">
        <v>45014</v>
      </c>
      <c r="C421" s="1" t="n">
        <v>45358</v>
      </c>
      <c r="D421" t="inlineStr">
        <is>
          <t>VÄSTRA GÖTALANDS LÄN</t>
        </is>
      </c>
      <c r="E421" t="inlineStr">
        <is>
          <t>DALS-ED</t>
        </is>
      </c>
      <c r="G421" t="n">
        <v>3.3</v>
      </c>
      <c r="H421" t="n">
        <v>0</v>
      </c>
      <c r="I421" t="n">
        <v>0</v>
      </c>
      <c r="J421" t="n">
        <v>0</v>
      </c>
      <c r="K421" t="n">
        <v>0</v>
      </c>
      <c r="L421" t="n">
        <v>0</v>
      </c>
      <c r="M421" t="n">
        <v>0</v>
      </c>
      <c r="N421" t="n">
        <v>0</v>
      </c>
      <c r="O421" t="n">
        <v>0</v>
      </c>
      <c r="P421" t="n">
        <v>0</v>
      </c>
      <c r="Q421" t="n">
        <v>0</v>
      </c>
      <c r="R421" s="2" t="inlineStr"/>
    </row>
    <row r="422" ht="15" customHeight="1">
      <c r="A422" t="inlineStr">
        <is>
          <t>A 14793-2023</t>
        </is>
      </c>
      <c r="B422" s="1" t="n">
        <v>45014</v>
      </c>
      <c r="C422" s="1" t="n">
        <v>45358</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15009-2023</t>
        </is>
      </c>
      <c r="B423" s="1" t="n">
        <v>45015</v>
      </c>
      <c r="C423" s="1" t="n">
        <v>45358</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15008-2023</t>
        </is>
      </c>
      <c r="B424" s="1" t="n">
        <v>45015</v>
      </c>
      <c r="C424" s="1" t="n">
        <v>45358</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15259-2023</t>
        </is>
      </c>
      <c r="B425" s="1" t="n">
        <v>45016</v>
      </c>
      <c r="C425" s="1" t="n">
        <v>45358</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15262-2023</t>
        </is>
      </c>
      <c r="B426" s="1" t="n">
        <v>45016</v>
      </c>
      <c r="C426" s="1" t="n">
        <v>45358</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15338-2023</t>
        </is>
      </c>
      <c r="B427" s="1" t="n">
        <v>45019</v>
      </c>
      <c r="C427" s="1" t="n">
        <v>45358</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17147-2023</t>
        </is>
      </c>
      <c r="B428" s="1" t="n">
        <v>45034</v>
      </c>
      <c r="C428" s="1" t="n">
        <v>45358</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17800-2023</t>
        </is>
      </c>
      <c r="B429" s="1" t="n">
        <v>45037</v>
      </c>
      <c r="C429" s="1" t="n">
        <v>45358</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19024-2023</t>
        </is>
      </c>
      <c r="B430" s="1" t="n">
        <v>45047</v>
      </c>
      <c r="C430" s="1" t="n">
        <v>45358</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19049-2023</t>
        </is>
      </c>
      <c r="B431" s="1" t="n">
        <v>45047</v>
      </c>
      <c r="C431" s="1" t="n">
        <v>45358</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19383-2023</t>
        </is>
      </c>
      <c r="B432" s="1" t="n">
        <v>45049</v>
      </c>
      <c r="C432" s="1" t="n">
        <v>45358</v>
      </c>
      <c r="D432" t="inlineStr">
        <is>
          <t>VÄSTRA GÖTALANDS LÄN</t>
        </is>
      </c>
      <c r="E432" t="inlineStr">
        <is>
          <t>DALS-ED</t>
        </is>
      </c>
      <c r="G432" t="n">
        <v>7.5</v>
      </c>
      <c r="H432" t="n">
        <v>0</v>
      </c>
      <c r="I432" t="n">
        <v>0</v>
      </c>
      <c r="J432" t="n">
        <v>0</v>
      </c>
      <c r="K432" t="n">
        <v>0</v>
      </c>
      <c r="L432" t="n">
        <v>0</v>
      </c>
      <c r="M432" t="n">
        <v>0</v>
      </c>
      <c r="N432" t="n">
        <v>0</v>
      </c>
      <c r="O432" t="n">
        <v>0</v>
      </c>
      <c r="P432" t="n">
        <v>0</v>
      </c>
      <c r="Q432" t="n">
        <v>0</v>
      </c>
      <c r="R432" s="2" t="inlineStr"/>
    </row>
    <row r="433" ht="15" customHeight="1">
      <c r="A433" t="inlineStr">
        <is>
          <t>A 19373-2023</t>
        </is>
      </c>
      <c r="B433" s="1" t="n">
        <v>45049</v>
      </c>
      <c r="C433" s="1" t="n">
        <v>45358</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19370-2023</t>
        </is>
      </c>
      <c r="B434" s="1" t="n">
        <v>45049</v>
      </c>
      <c r="C434" s="1" t="n">
        <v>45358</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19382-2023</t>
        </is>
      </c>
      <c r="B435" s="1" t="n">
        <v>45049</v>
      </c>
      <c r="C435" s="1" t="n">
        <v>45358</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20486-2023</t>
        </is>
      </c>
      <c r="B436" s="1" t="n">
        <v>45054</v>
      </c>
      <c r="C436" s="1" t="n">
        <v>45358</v>
      </c>
      <c r="D436" t="inlineStr">
        <is>
          <t>VÄSTRA GÖTALANDS LÄN</t>
        </is>
      </c>
      <c r="E436" t="inlineStr">
        <is>
          <t>DALS-ED</t>
        </is>
      </c>
      <c r="F436" t="inlineStr">
        <is>
          <t>Kyrkan</t>
        </is>
      </c>
      <c r="G436" t="n">
        <v>3.9</v>
      </c>
      <c r="H436" t="n">
        <v>0</v>
      </c>
      <c r="I436" t="n">
        <v>0</v>
      </c>
      <c r="J436" t="n">
        <v>0</v>
      </c>
      <c r="K436" t="n">
        <v>0</v>
      </c>
      <c r="L436" t="n">
        <v>0</v>
      </c>
      <c r="M436" t="n">
        <v>0</v>
      </c>
      <c r="N436" t="n">
        <v>0</v>
      </c>
      <c r="O436" t="n">
        <v>0</v>
      </c>
      <c r="P436" t="n">
        <v>0</v>
      </c>
      <c r="Q436" t="n">
        <v>0</v>
      </c>
      <c r="R436" s="2" t="inlineStr"/>
    </row>
    <row r="437" ht="15" customHeight="1">
      <c r="A437" t="inlineStr">
        <is>
          <t>A 20163-2023</t>
        </is>
      </c>
      <c r="B437" s="1" t="n">
        <v>45055</v>
      </c>
      <c r="C437" s="1" t="n">
        <v>45358</v>
      </c>
      <c r="D437" t="inlineStr">
        <is>
          <t>VÄSTRA GÖTALANDS LÄN</t>
        </is>
      </c>
      <c r="E437" t="inlineStr">
        <is>
          <t>DALS-ED</t>
        </is>
      </c>
      <c r="G437" t="n">
        <v>3.4</v>
      </c>
      <c r="H437" t="n">
        <v>0</v>
      </c>
      <c r="I437" t="n">
        <v>0</v>
      </c>
      <c r="J437" t="n">
        <v>0</v>
      </c>
      <c r="K437" t="n">
        <v>0</v>
      </c>
      <c r="L437" t="n">
        <v>0</v>
      </c>
      <c r="M437" t="n">
        <v>0</v>
      </c>
      <c r="N437" t="n">
        <v>0</v>
      </c>
      <c r="O437" t="n">
        <v>0</v>
      </c>
      <c r="P437" t="n">
        <v>0</v>
      </c>
      <c r="Q437" t="n">
        <v>0</v>
      </c>
      <c r="R437" s="2" t="inlineStr"/>
    </row>
    <row r="438" ht="15" customHeight="1">
      <c r="A438" t="inlineStr">
        <is>
          <t>A 20147-2023</t>
        </is>
      </c>
      <c r="B438" s="1" t="n">
        <v>45055</v>
      </c>
      <c r="C438" s="1" t="n">
        <v>45358</v>
      </c>
      <c r="D438" t="inlineStr">
        <is>
          <t>VÄSTRA GÖTALANDS LÄN</t>
        </is>
      </c>
      <c r="E438" t="inlineStr">
        <is>
          <t>DALS-ED</t>
        </is>
      </c>
      <c r="G438" t="n">
        <v>3.1</v>
      </c>
      <c r="H438" t="n">
        <v>0</v>
      </c>
      <c r="I438" t="n">
        <v>0</v>
      </c>
      <c r="J438" t="n">
        <v>0</v>
      </c>
      <c r="K438" t="n">
        <v>0</v>
      </c>
      <c r="L438" t="n">
        <v>0</v>
      </c>
      <c r="M438" t="n">
        <v>0</v>
      </c>
      <c r="N438" t="n">
        <v>0</v>
      </c>
      <c r="O438" t="n">
        <v>0</v>
      </c>
      <c r="P438" t="n">
        <v>0</v>
      </c>
      <c r="Q438" t="n">
        <v>0</v>
      </c>
      <c r="R438" s="2" t="inlineStr"/>
    </row>
    <row r="439" ht="15" customHeight="1">
      <c r="A439" t="inlineStr">
        <is>
          <t>A 20482-2023</t>
        </is>
      </c>
      <c r="B439" s="1" t="n">
        <v>45057</v>
      </c>
      <c r="C439" s="1" t="n">
        <v>45358</v>
      </c>
      <c r="D439" t="inlineStr">
        <is>
          <t>VÄSTRA GÖTALANDS LÄN</t>
        </is>
      </c>
      <c r="E439" t="inlineStr">
        <is>
          <t>DALS-ED</t>
        </is>
      </c>
      <c r="G439" t="n">
        <v>2.9</v>
      </c>
      <c r="H439" t="n">
        <v>0</v>
      </c>
      <c r="I439" t="n">
        <v>0</v>
      </c>
      <c r="J439" t="n">
        <v>0</v>
      </c>
      <c r="K439" t="n">
        <v>0</v>
      </c>
      <c r="L439" t="n">
        <v>0</v>
      </c>
      <c r="M439" t="n">
        <v>0</v>
      </c>
      <c r="N439" t="n">
        <v>0</v>
      </c>
      <c r="O439" t="n">
        <v>0</v>
      </c>
      <c r="P439" t="n">
        <v>0</v>
      </c>
      <c r="Q439" t="n">
        <v>0</v>
      </c>
      <c r="R439" s="2" t="inlineStr"/>
    </row>
    <row r="440" ht="15" customHeight="1">
      <c r="A440" t="inlineStr">
        <is>
          <t>A 20765-2023</t>
        </is>
      </c>
      <c r="B440" s="1" t="n">
        <v>45058</v>
      </c>
      <c r="C440" s="1" t="n">
        <v>45358</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21290-2023</t>
        </is>
      </c>
      <c r="B441" s="1" t="n">
        <v>45062</v>
      </c>
      <c r="C441" s="1" t="n">
        <v>45358</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45358</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21866-2023</t>
        </is>
      </c>
      <c r="B443" s="1" t="n">
        <v>45068</v>
      </c>
      <c r="C443" s="1" t="n">
        <v>45358</v>
      </c>
      <c r="D443" t="inlineStr">
        <is>
          <t>VÄSTRA GÖTALANDS LÄN</t>
        </is>
      </c>
      <c r="E443" t="inlineStr">
        <is>
          <t>DALS-ED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22402-2023</t>
        </is>
      </c>
      <c r="B444" s="1" t="n">
        <v>45069</v>
      </c>
      <c r="C444" s="1" t="n">
        <v>45358</v>
      </c>
      <c r="D444" t="inlineStr">
        <is>
          <t>VÄSTRA GÖTALANDS LÄN</t>
        </is>
      </c>
      <c r="E444" t="inlineStr">
        <is>
          <t>DALS-ED</t>
        </is>
      </c>
      <c r="G444" t="n">
        <v>4.2</v>
      </c>
      <c r="H444" t="n">
        <v>0</v>
      </c>
      <c r="I444" t="n">
        <v>0</v>
      </c>
      <c r="J444" t="n">
        <v>0</v>
      </c>
      <c r="K444" t="n">
        <v>0</v>
      </c>
      <c r="L444" t="n">
        <v>0</v>
      </c>
      <c r="M444" t="n">
        <v>0</v>
      </c>
      <c r="N444" t="n">
        <v>0</v>
      </c>
      <c r="O444" t="n">
        <v>0</v>
      </c>
      <c r="P444" t="n">
        <v>0</v>
      </c>
      <c r="Q444" t="n">
        <v>0</v>
      </c>
      <c r="R444" s="2" t="inlineStr"/>
    </row>
    <row r="445" ht="15" customHeight="1">
      <c r="A445" t="inlineStr">
        <is>
          <t>A 23132-2023</t>
        </is>
      </c>
      <c r="B445" s="1" t="n">
        <v>45070</v>
      </c>
      <c r="C445" s="1" t="n">
        <v>45358</v>
      </c>
      <c r="D445" t="inlineStr">
        <is>
          <t>VÄSTRA GÖTALANDS LÄN</t>
        </is>
      </c>
      <c r="E445" t="inlineStr">
        <is>
          <t>DALS-ED</t>
        </is>
      </c>
      <c r="G445" t="n">
        <v>7</v>
      </c>
      <c r="H445" t="n">
        <v>0</v>
      </c>
      <c r="I445" t="n">
        <v>0</v>
      </c>
      <c r="J445" t="n">
        <v>0</v>
      </c>
      <c r="K445" t="n">
        <v>0</v>
      </c>
      <c r="L445" t="n">
        <v>0</v>
      </c>
      <c r="M445" t="n">
        <v>0</v>
      </c>
      <c r="N445" t="n">
        <v>0</v>
      </c>
      <c r="O445" t="n">
        <v>0</v>
      </c>
      <c r="P445" t="n">
        <v>0</v>
      </c>
      <c r="Q445" t="n">
        <v>0</v>
      </c>
      <c r="R445" s="2" t="inlineStr"/>
    </row>
    <row r="446" ht="15" customHeight="1">
      <c r="A446" t="inlineStr">
        <is>
          <t>A 23115-2023</t>
        </is>
      </c>
      <c r="B446" s="1" t="n">
        <v>45070</v>
      </c>
      <c r="C446" s="1" t="n">
        <v>45358</v>
      </c>
      <c r="D446" t="inlineStr">
        <is>
          <t>VÄSTRA GÖTALANDS LÄN</t>
        </is>
      </c>
      <c r="E446" t="inlineStr">
        <is>
          <t>DALS-ED</t>
        </is>
      </c>
      <c r="G446" t="n">
        <v>1.7</v>
      </c>
      <c r="H446" t="n">
        <v>0</v>
      </c>
      <c r="I446" t="n">
        <v>0</v>
      </c>
      <c r="J446" t="n">
        <v>0</v>
      </c>
      <c r="K446" t="n">
        <v>0</v>
      </c>
      <c r="L446" t="n">
        <v>0</v>
      </c>
      <c r="M446" t="n">
        <v>0</v>
      </c>
      <c r="N446" t="n">
        <v>0</v>
      </c>
      <c r="O446" t="n">
        <v>0</v>
      </c>
      <c r="P446" t="n">
        <v>0</v>
      </c>
      <c r="Q446" t="n">
        <v>0</v>
      </c>
      <c r="R446" s="2" t="inlineStr"/>
    </row>
    <row r="447" ht="15" customHeight="1">
      <c r="A447" t="inlineStr">
        <is>
          <t>A 23862-2023</t>
        </is>
      </c>
      <c r="B447" s="1" t="n">
        <v>45075</v>
      </c>
      <c r="C447" s="1" t="n">
        <v>45358</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23859-2023</t>
        </is>
      </c>
      <c r="B448" s="1" t="n">
        <v>45075</v>
      </c>
      <c r="C448" s="1" t="n">
        <v>45358</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24021-2023</t>
        </is>
      </c>
      <c r="B449" s="1" t="n">
        <v>45078</v>
      </c>
      <c r="C449" s="1" t="n">
        <v>45358</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25284-2023</t>
        </is>
      </c>
      <c r="B450" s="1" t="n">
        <v>45079</v>
      </c>
      <c r="C450" s="1" t="n">
        <v>45358</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25007-2023</t>
        </is>
      </c>
      <c r="B451" s="1" t="n">
        <v>45085</v>
      </c>
      <c r="C451" s="1" t="n">
        <v>45358</v>
      </c>
      <c r="D451" t="inlineStr">
        <is>
          <t>VÄSTRA GÖTALANDS LÄN</t>
        </is>
      </c>
      <c r="E451" t="inlineStr">
        <is>
          <t>DALS-ED</t>
        </is>
      </c>
      <c r="G451" t="n">
        <v>4.3</v>
      </c>
      <c r="H451" t="n">
        <v>0</v>
      </c>
      <c r="I451" t="n">
        <v>0</v>
      </c>
      <c r="J451" t="n">
        <v>0</v>
      </c>
      <c r="K451" t="n">
        <v>0</v>
      </c>
      <c r="L451" t="n">
        <v>0</v>
      </c>
      <c r="M451" t="n">
        <v>0</v>
      </c>
      <c r="N451" t="n">
        <v>0</v>
      </c>
      <c r="O451" t="n">
        <v>0</v>
      </c>
      <c r="P451" t="n">
        <v>0</v>
      </c>
      <c r="Q451" t="n">
        <v>0</v>
      </c>
      <c r="R451" s="2" t="inlineStr"/>
    </row>
    <row r="452" ht="15" customHeight="1">
      <c r="A452" t="inlineStr">
        <is>
          <t>A 25460-2023</t>
        </is>
      </c>
      <c r="B452" s="1" t="n">
        <v>45089</v>
      </c>
      <c r="C452" s="1" t="n">
        <v>45358</v>
      </c>
      <c r="D452" t="inlineStr">
        <is>
          <t>VÄSTRA GÖTALANDS LÄN</t>
        </is>
      </c>
      <c r="E452" t="inlineStr">
        <is>
          <t>DALS-ED</t>
        </is>
      </c>
      <c r="G452" t="n">
        <v>3.4</v>
      </c>
      <c r="H452" t="n">
        <v>0</v>
      </c>
      <c r="I452" t="n">
        <v>0</v>
      </c>
      <c r="J452" t="n">
        <v>0</v>
      </c>
      <c r="K452" t="n">
        <v>0</v>
      </c>
      <c r="L452" t="n">
        <v>0</v>
      </c>
      <c r="M452" t="n">
        <v>0</v>
      </c>
      <c r="N452" t="n">
        <v>0</v>
      </c>
      <c r="O452" t="n">
        <v>0</v>
      </c>
      <c r="P452" t="n">
        <v>0</v>
      </c>
      <c r="Q452" t="n">
        <v>0</v>
      </c>
      <c r="R452" s="2" t="inlineStr"/>
    </row>
    <row r="453" ht="15" customHeight="1">
      <c r="A453" t="inlineStr">
        <is>
          <t>A 25448-2023</t>
        </is>
      </c>
      <c r="B453" s="1" t="n">
        <v>45089</v>
      </c>
      <c r="C453" s="1" t="n">
        <v>45358</v>
      </c>
      <c r="D453" t="inlineStr">
        <is>
          <t>VÄSTRA GÖTALANDS LÄN</t>
        </is>
      </c>
      <c r="E453" t="inlineStr">
        <is>
          <t>DALS-ED</t>
        </is>
      </c>
      <c r="G453" t="n">
        <v>6</v>
      </c>
      <c r="H453" t="n">
        <v>0</v>
      </c>
      <c r="I453" t="n">
        <v>0</v>
      </c>
      <c r="J453" t="n">
        <v>0</v>
      </c>
      <c r="K453" t="n">
        <v>0</v>
      </c>
      <c r="L453" t="n">
        <v>0</v>
      </c>
      <c r="M453" t="n">
        <v>0</v>
      </c>
      <c r="N453" t="n">
        <v>0</v>
      </c>
      <c r="O453" t="n">
        <v>0</v>
      </c>
      <c r="P453" t="n">
        <v>0</v>
      </c>
      <c r="Q453" t="n">
        <v>0</v>
      </c>
      <c r="R453" s="2" t="inlineStr"/>
    </row>
    <row r="454" ht="15" customHeight="1">
      <c r="A454" t="inlineStr">
        <is>
          <t>A 26534-2023</t>
        </is>
      </c>
      <c r="B454" s="1" t="n">
        <v>45092</v>
      </c>
      <c r="C454" s="1" t="n">
        <v>45358</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26740-2023</t>
        </is>
      </c>
      <c r="B455" s="1" t="n">
        <v>45093</v>
      </c>
      <c r="C455" s="1" t="n">
        <v>45358</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27717-2023</t>
        </is>
      </c>
      <c r="B456" s="1" t="n">
        <v>45098</v>
      </c>
      <c r="C456" s="1" t="n">
        <v>45358</v>
      </c>
      <c r="D456" t="inlineStr">
        <is>
          <t>VÄSTRA GÖTALANDS LÄN</t>
        </is>
      </c>
      <c r="E456" t="inlineStr">
        <is>
          <t>DALS-ED</t>
        </is>
      </c>
      <c r="G456" t="n">
        <v>2.6</v>
      </c>
      <c r="H456" t="n">
        <v>0</v>
      </c>
      <c r="I456" t="n">
        <v>0</v>
      </c>
      <c r="J456" t="n">
        <v>0</v>
      </c>
      <c r="K456" t="n">
        <v>0</v>
      </c>
      <c r="L456" t="n">
        <v>0</v>
      </c>
      <c r="M456" t="n">
        <v>0</v>
      </c>
      <c r="N456" t="n">
        <v>0</v>
      </c>
      <c r="O456" t="n">
        <v>0</v>
      </c>
      <c r="P456" t="n">
        <v>0</v>
      </c>
      <c r="Q456" t="n">
        <v>0</v>
      </c>
      <c r="R456" s="2" t="inlineStr"/>
    </row>
    <row r="457" ht="15" customHeight="1">
      <c r="A457" t="inlineStr">
        <is>
          <t>A 28449-2023</t>
        </is>
      </c>
      <c r="B457" s="1" t="n">
        <v>45103</v>
      </c>
      <c r="C457" s="1" t="n">
        <v>45358</v>
      </c>
      <c r="D457" t="inlineStr">
        <is>
          <t>VÄSTRA GÖTALANDS LÄN</t>
        </is>
      </c>
      <c r="E457" t="inlineStr">
        <is>
          <t>DALS-ED</t>
        </is>
      </c>
      <c r="G457" t="n">
        <v>1</v>
      </c>
      <c r="H457" t="n">
        <v>0</v>
      </c>
      <c r="I457" t="n">
        <v>0</v>
      </c>
      <c r="J457" t="n">
        <v>0</v>
      </c>
      <c r="K457" t="n">
        <v>0</v>
      </c>
      <c r="L457" t="n">
        <v>0</v>
      </c>
      <c r="M457" t="n">
        <v>0</v>
      </c>
      <c r="N457" t="n">
        <v>0</v>
      </c>
      <c r="O457" t="n">
        <v>0</v>
      </c>
      <c r="P457" t="n">
        <v>0</v>
      </c>
      <c r="Q457" t="n">
        <v>0</v>
      </c>
      <c r="R457" s="2" t="inlineStr"/>
    </row>
    <row r="458" ht="15" customHeight="1">
      <c r="A458" t="inlineStr">
        <is>
          <t>A 28447-2023</t>
        </is>
      </c>
      <c r="B458" s="1" t="n">
        <v>45103</v>
      </c>
      <c r="C458" s="1" t="n">
        <v>45358</v>
      </c>
      <c r="D458" t="inlineStr">
        <is>
          <t>VÄSTRA GÖTALANDS LÄN</t>
        </is>
      </c>
      <c r="E458" t="inlineStr">
        <is>
          <t>DALS-ED</t>
        </is>
      </c>
      <c r="G458" t="n">
        <v>7.6</v>
      </c>
      <c r="H458" t="n">
        <v>0</v>
      </c>
      <c r="I458" t="n">
        <v>0</v>
      </c>
      <c r="J458" t="n">
        <v>0</v>
      </c>
      <c r="K458" t="n">
        <v>0</v>
      </c>
      <c r="L458" t="n">
        <v>0</v>
      </c>
      <c r="M458" t="n">
        <v>0</v>
      </c>
      <c r="N458" t="n">
        <v>0</v>
      </c>
      <c r="O458" t="n">
        <v>0</v>
      </c>
      <c r="P458" t="n">
        <v>0</v>
      </c>
      <c r="Q458" t="n">
        <v>0</v>
      </c>
      <c r="R458" s="2" t="inlineStr"/>
    </row>
    <row r="459" ht="15" customHeight="1">
      <c r="A459" t="inlineStr">
        <is>
          <t>A 28705-2023</t>
        </is>
      </c>
      <c r="B459" s="1" t="n">
        <v>45103</v>
      </c>
      <c r="C459" s="1" t="n">
        <v>45358</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28708-2023</t>
        </is>
      </c>
      <c r="B460" s="1" t="n">
        <v>45103</v>
      </c>
      <c r="C460" s="1" t="n">
        <v>45358</v>
      </c>
      <c r="D460" t="inlineStr">
        <is>
          <t>VÄSTRA GÖTALANDS LÄN</t>
        </is>
      </c>
      <c r="E460" t="inlineStr">
        <is>
          <t>DALS-ED</t>
        </is>
      </c>
      <c r="G460" t="n">
        <v>1.3</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v>
      </c>
      <c r="C461" s="1" t="n">
        <v>45358</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29047-2023</t>
        </is>
      </c>
      <c r="B462" s="1" t="n">
        <v>45104</v>
      </c>
      <c r="C462" s="1" t="n">
        <v>45358</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30807-2023</t>
        </is>
      </c>
      <c r="B463" s="1" t="n">
        <v>45106</v>
      </c>
      <c r="C463" s="1" t="n">
        <v>45358</v>
      </c>
      <c r="D463" t="inlineStr">
        <is>
          <t>VÄSTRA GÖTALANDS LÄN</t>
        </is>
      </c>
      <c r="E463" t="inlineStr">
        <is>
          <t>DALS-ED</t>
        </is>
      </c>
      <c r="G463" t="n">
        <v>5.3</v>
      </c>
      <c r="H463" t="n">
        <v>0</v>
      </c>
      <c r="I463" t="n">
        <v>0</v>
      </c>
      <c r="J463" t="n">
        <v>0</v>
      </c>
      <c r="K463" t="n">
        <v>0</v>
      </c>
      <c r="L463" t="n">
        <v>0</v>
      </c>
      <c r="M463" t="n">
        <v>0</v>
      </c>
      <c r="N463" t="n">
        <v>0</v>
      </c>
      <c r="O463" t="n">
        <v>0</v>
      </c>
      <c r="P463" t="n">
        <v>0</v>
      </c>
      <c r="Q463" t="n">
        <v>0</v>
      </c>
      <c r="R463" s="2" t="inlineStr"/>
    </row>
    <row r="464" ht="15" customHeight="1">
      <c r="A464" t="inlineStr">
        <is>
          <t>A 32683-2023</t>
        </is>
      </c>
      <c r="B464" s="1" t="n">
        <v>45112</v>
      </c>
      <c r="C464" s="1" t="n">
        <v>45358</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31909-2023</t>
        </is>
      </c>
      <c r="B465" s="1" t="n">
        <v>45118</v>
      </c>
      <c r="C465" s="1" t="n">
        <v>45358</v>
      </c>
      <c r="D465" t="inlineStr">
        <is>
          <t>VÄSTRA GÖTALANDS LÄN</t>
        </is>
      </c>
      <c r="E465" t="inlineStr">
        <is>
          <t>DALS-ED</t>
        </is>
      </c>
      <c r="G465" t="n">
        <v>6.1</v>
      </c>
      <c r="H465" t="n">
        <v>0</v>
      </c>
      <c r="I465" t="n">
        <v>0</v>
      </c>
      <c r="J465" t="n">
        <v>0</v>
      </c>
      <c r="K465" t="n">
        <v>0</v>
      </c>
      <c r="L465" t="n">
        <v>0</v>
      </c>
      <c r="M465" t="n">
        <v>0</v>
      </c>
      <c r="N465" t="n">
        <v>0</v>
      </c>
      <c r="O465" t="n">
        <v>0</v>
      </c>
      <c r="P465" t="n">
        <v>0</v>
      </c>
      <c r="Q465" t="n">
        <v>0</v>
      </c>
      <c r="R465" s="2" t="inlineStr"/>
    </row>
    <row r="466" ht="15" customHeight="1">
      <c r="A466" t="inlineStr">
        <is>
          <t>A 33504-2023</t>
        </is>
      </c>
      <c r="B466" s="1" t="n">
        <v>45118</v>
      </c>
      <c r="C466" s="1" t="n">
        <v>45358</v>
      </c>
      <c r="D466" t="inlineStr">
        <is>
          <t>VÄSTRA GÖTALANDS LÄN</t>
        </is>
      </c>
      <c r="E466" t="inlineStr">
        <is>
          <t>DALS-ED</t>
        </is>
      </c>
      <c r="G466" t="n">
        <v>7.9</v>
      </c>
      <c r="H466" t="n">
        <v>0</v>
      </c>
      <c r="I466" t="n">
        <v>0</v>
      </c>
      <c r="J466" t="n">
        <v>0</v>
      </c>
      <c r="K466" t="n">
        <v>0</v>
      </c>
      <c r="L466" t="n">
        <v>0</v>
      </c>
      <c r="M466" t="n">
        <v>0</v>
      </c>
      <c r="N466" t="n">
        <v>0</v>
      </c>
      <c r="O466" t="n">
        <v>0</v>
      </c>
      <c r="P466" t="n">
        <v>0</v>
      </c>
      <c r="Q466" t="n">
        <v>0</v>
      </c>
      <c r="R466" s="2" t="inlineStr"/>
    </row>
    <row r="467" ht="15" customHeight="1">
      <c r="A467" t="inlineStr">
        <is>
          <t>A 32082-2023</t>
        </is>
      </c>
      <c r="B467" s="1" t="n">
        <v>45119</v>
      </c>
      <c r="C467" s="1" t="n">
        <v>45358</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32080-2023</t>
        </is>
      </c>
      <c r="B468" s="1" t="n">
        <v>45119</v>
      </c>
      <c r="C468" s="1" t="n">
        <v>45358</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32059-2023</t>
        </is>
      </c>
      <c r="B469" s="1" t="n">
        <v>45119</v>
      </c>
      <c r="C469" s="1" t="n">
        <v>45358</v>
      </c>
      <c r="D469" t="inlineStr">
        <is>
          <t>VÄSTRA GÖTALANDS LÄN</t>
        </is>
      </c>
      <c r="E469" t="inlineStr">
        <is>
          <t>DALS-ED</t>
        </is>
      </c>
      <c r="G469" t="n">
        <v>7.2</v>
      </c>
      <c r="H469" t="n">
        <v>0</v>
      </c>
      <c r="I469" t="n">
        <v>0</v>
      </c>
      <c r="J469" t="n">
        <v>0</v>
      </c>
      <c r="K469" t="n">
        <v>0</v>
      </c>
      <c r="L469" t="n">
        <v>0</v>
      </c>
      <c r="M469" t="n">
        <v>0</v>
      </c>
      <c r="N469" t="n">
        <v>0</v>
      </c>
      <c r="O469" t="n">
        <v>0</v>
      </c>
      <c r="P469" t="n">
        <v>0</v>
      </c>
      <c r="Q469" t="n">
        <v>0</v>
      </c>
      <c r="R469" s="2" t="inlineStr"/>
    </row>
    <row r="470" ht="15" customHeight="1">
      <c r="A470" t="inlineStr">
        <is>
          <t>A 32672-2023</t>
        </is>
      </c>
      <c r="B470" s="1" t="n">
        <v>45121</v>
      </c>
      <c r="C470" s="1" t="n">
        <v>45358</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32797-2023</t>
        </is>
      </c>
      <c r="B471" s="1" t="n">
        <v>45124</v>
      </c>
      <c r="C471" s="1" t="n">
        <v>45358</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33103-2023</t>
        </is>
      </c>
      <c r="B472" s="1" t="n">
        <v>45126</v>
      </c>
      <c r="C472" s="1" t="n">
        <v>45358</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33616-2023</t>
        </is>
      </c>
      <c r="B473" s="1" t="n">
        <v>45132</v>
      </c>
      <c r="C473" s="1" t="n">
        <v>45358</v>
      </c>
      <c r="D473" t="inlineStr">
        <is>
          <t>VÄSTRA GÖTALANDS LÄN</t>
        </is>
      </c>
      <c r="E473" t="inlineStr">
        <is>
          <t>DALS-ED</t>
        </is>
      </c>
      <c r="G473" t="n">
        <v>26.5</v>
      </c>
      <c r="H473" t="n">
        <v>0</v>
      </c>
      <c r="I473" t="n">
        <v>0</v>
      </c>
      <c r="J473" t="n">
        <v>0</v>
      </c>
      <c r="K473" t="n">
        <v>0</v>
      </c>
      <c r="L473" t="n">
        <v>0</v>
      </c>
      <c r="M473" t="n">
        <v>0</v>
      </c>
      <c r="N473" t="n">
        <v>0</v>
      </c>
      <c r="O473" t="n">
        <v>0</v>
      </c>
      <c r="P473" t="n">
        <v>0</v>
      </c>
      <c r="Q473" t="n">
        <v>0</v>
      </c>
      <c r="R473" s="2" t="inlineStr"/>
    </row>
    <row r="474" ht="15" customHeight="1">
      <c r="A474" t="inlineStr">
        <is>
          <t>A 33773-2023</t>
        </is>
      </c>
      <c r="B474" s="1" t="n">
        <v>45133</v>
      </c>
      <c r="C474" s="1" t="n">
        <v>45358</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33798-2023</t>
        </is>
      </c>
      <c r="B475" s="1" t="n">
        <v>45133</v>
      </c>
      <c r="C475" s="1" t="n">
        <v>45358</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33805-2023</t>
        </is>
      </c>
      <c r="B476" s="1" t="n">
        <v>45133</v>
      </c>
      <c r="C476" s="1" t="n">
        <v>45358</v>
      </c>
      <c r="D476" t="inlineStr">
        <is>
          <t>VÄSTRA GÖTALANDS LÄN</t>
        </is>
      </c>
      <c r="E476" t="inlineStr">
        <is>
          <t>DALS-ED</t>
        </is>
      </c>
      <c r="G476" t="n">
        <v>2.6</v>
      </c>
      <c r="H476" t="n">
        <v>0</v>
      </c>
      <c r="I476" t="n">
        <v>0</v>
      </c>
      <c r="J476" t="n">
        <v>0</v>
      </c>
      <c r="K476" t="n">
        <v>0</v>
      </c>
      <c r="L476" t="n">
        <v>0</v>
      </c>
      <c r="M476" t="n">
        <v>0</v>
      </c>
      <c r="N476" t="n">
        <v>0</v>
      </c>
      <c r="O476" t="n">
        <v>0</v>
      </c>
      <c r="P476" t="n">
        <v>0</v>
      </c>
      <c r="Q476" t="n">
        <v>0</v>
      </c>
      <c r="R476" s="2" t="inlineStr"/>
    </row>
    <row r="477" ht="15" customHeight="1">
      <c r="A477" t="inlineStr">
        <is>
          <t>A 34467-2023</t>
        </is>
      </c>
      <c r="B477" s="1" t="n">
        <v>45139</v>
      </c>
      <c r="C477" s="1" t="n">
        <v>45358</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35697-2023</t>
        </is>
      </c>
      <c r="B478" s="1" t="n">
        <v>45147</v>
      </c>
      <c r="C478" s="1" t="n">
        <v>45358</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36232-2023</t>
        </is>
      </c>
      <c r="B479" s="1" t="n">
        <v>45150</v>
      </c>
      <c r="C479" s="1" t="n">
        <v>45358</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36231-2023</t>
        </is>
      </c>
      <c r="B480" s="1" t="n">
        <v>45150</v>
      </c>
      <c r="C480" s="1" t="n">
        <v>45358</v>
      </c>
      <c r="D480" t="inlineStr">
        <is>
          <t>VÄSTRA GÖTALANDS LÄN</t>
        </is>
      </c>
      <c r="E480" t="inlineStr">
        <is>
          <t>DALS-ED</t>
        </is>
      </c>
      <c r="G480" t="n">
        <v>0.4</v>
      </c>
      <c r="H480" t="n">
        <v>0</v>
      </c>
      <c r="I480" t="n">
        <v>0</v>
      </c>
      <c r="J480" t="n">
        <v>0</v>
      </c>
      <c r="K480" t="n">
        <v>0</v>
      </c>
      <c r="L480" t="n">
        <v>0</v>
      </c>
      <c r="M480" t="n">
        <v>0</v>
      </c>
      <c r="N480" t="n">
        <v>0</v>
      </c>
      <c r="O480" t="n">
        <v>0</v>
      </c>
      <c r="P480" t="n">
        <v>0</v>
      </c>
      <c r="Q480" t="n">
        <v>0</v>
      </c>
      <c r="R480" s="2" t="inlineStr"/>
    </row>
    <row r="481" ht="15" customHeight="1">
      <c r="A481" t="inlineStr">
        <is>
          <t>A 36464-2023</t>
        </is>
      </c>
      <c r="B481" s="1" t="n">
        <v>45151</v>
      </c>
      <c r="C481" s="1" t="n">
        <v>45358</v>
      </c>
      <c r="D481" t="inlineStr">
        <is>
          <t>VÄSTRA GÖTALANDS LÄN</t>
        </is>
      </c>
      <c r="E481" t="inlineStr">
        <is>
          <t>DALS-ED</t>
        </is>
      </c>
      <c r="G481" t="n">
        <v>6.2</v>
      </c>
      <c r="H481" t="n">
        <v>0</v>
      </c>
      <c r="I481" t="n">
        <v>0</v>
      </c>
      <c r="J481" t="n">
        <v>0</v>
      </c>
      <c r="K481" t="n">
        <v>0</v>
      </c>
      <c r="L481" t="n">
        <v>0</v>
      </c>
      <c r="M481" t="n">
        <v>0</v>
      </c>
      <c r="N481" t="n">
        <v>0</v>
      </c>
      <c r="O481" t="n">
        <v>0</v>
      </c>
      <c r="P481" t="n">
        <v>0</v>
      </c>
      <c r="Q481" t="n">
        <v>0</v>
      </c>
      <c r="R481" s="2" t="inlineStr"/>
    </row>
    <row r="482" ht="15" customHeight="1">
      <c r="A482" t="inlineStr">
        <is>
          <t>A 36456-2023</t>
        </is>
      </c>
      <c r="B482" s="1" t="n">
        <v>45151</v>
      </c>
      <c r="C482" s="1" t="n">
        <v>45358</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36436-2023</t>
        </is>
      </c>
      <c r="B483" s="1" t="n">
        <v>45151</v>
      </c>
      <c r="C483" s="1" t="n">
        <v>45358</v>
      </c>
      <c r="D483" t="inlineStr">
        <is>
          <t>VÄSTRA GÖTALANDS LÄN</t>
        </is>
      </c>
      <c r="E483" t="inlineStr">
        <is>
          <t>DALS-ED</t>
        </is>
      </c>
      <c r="G483" t="n">
        <v>27.1</v>
      </c>
      <c r="H483" t="n">
        <v>0</v>
      </c>
      <c r="I483" t="n">
        <v>0</v>
      </c>
      <c r="J483" t="n">
        <v>0</v>
      </c>
      <c r="K483" t="n">
        <v>0</v>
      </c>
      <c r="L483" t="n">
        <v>0</v>
      </c>
      <c r="M483" t="n">
        <v>0</v>
      </c>
      <c r="N483" t="n">
        <v>0</v>
      </c>
      <c r="O483" t="n">
        <v>0</v>
      </c>
      <c r="P483" t="n">
        <v>0</v>
      </c>
      <c r="Q483" t="n">
        <v>0</v>
      </c>
      <c r="R483" s="2" t="inlineStr"/>
    </row>
    <row r="484" ht="15" customHeight="1">
      <c r="A484" t="inlineStr">
        <is>
          <t>A 36342-2023</t>
        </is>
      </c>
      <c r="B484" s="1" t="n">
        <v>45152</v>
      </c>
      <c r="C484" s="1" t="n">
        <v>45358</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36877-2023</t>
        </is>
      </c>
      <c r="B485" s="1" t="n">
        <v>45154</v>
      </c>
      <c r="C485" s="1" t="n">
        <v>45358</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37374-2023</t>
        </is>
      </c>
      <c r="B486" s="1" t="n">
        <v>45155</v>
      </c>
      <c r="C486" s="1" t="n">
        <v>45358</v>
      </c>
      <c r="D486" t="inlineStr">
        <is>
          <t>VÄSTRA GÖTALANDS LÄN</t>
        </is>
      </c>
      <c r="E486" t="inlineStr">
        <is>
          <t>DALS-ED</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38347-2023</t>
        </is>
      </c>
      <c r="B487" s="1" t="n">
        <v>45161</v>
      </c>
      <c r="C487" s="1" t="n">
        <v>45358</v>
      </c>
      <c r="D487" t="inlineStr">
        <is>
          <t>VÄSTRA GÖTALANDS LÄN</t>
        </is>
      </c>
      <c r="E487" t="inlineStr">
        <is>
          <t>DALS-ED</t>
        </is>
      </c>
      <c r="F487" t="inlineStr">
        <is>
          <t>Kommuner</t>
        </is>
      </c>
      <c r="G487" t="n">
        <v>2.3</v>
      </c>
      <c r="H487" t="n">
        <v>0</v>
      </c>
      <c r="I487" t="n">
        <v>0</v>
      </c>
      <c r="J487" t="n">
        <v>0</v>
      </c>
      <c r="K487" t="n">
        <v>0</v>
      </c>
      <c r="L487" t="n">
        <v>0</v>
      </c>
      <c r="M487" t="n">
        <v>0</v>
      </c>
      <c r="N487" t="n">
        <v>0</v>
      </c>
      <c r="O487" t="n">
        <v>0</v>
      </c>
      <c r="P487" t="n">
        <v>0</v>
      </c>
      <c r="Q487" t="n">
        <v>0</v>
      </c>
      <c r="R487" s="2" t="inlineStr"/>
    </row>
    <row r="488" ht="15" customHeight="1">
      <c r="A488" t="inlineStr">
        <is>
          <t>A 38383-2023</t>
        </is>
      </c>
      <c r="B488" s="1" t="n">
        <v>45162</v>
      </c>
      <c r="C488" s="1" t="n">
        <v>45358</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38407-2023</t>
        </is>
      </c>
      <c r="B489" s="1" t="n">
        <v>45162</v>
      </c>
      <c r="C489" s="1" t="n">
        <v>45358</v>
      </c>
      <c r="D489" t="inlineStr">
        <is>
          <t>VÄSTRA GÖTALANDS LÄN</t>
        </is>
      </c>
      <c r="E489" t="inlineStr">
        <is>
          <t>DALS-ED</t>
        </is>
      </c>
      <c r="G489" t="n">
        <v>10.8</v>
      </c>
      <c r="H489" t="n">
        <v>0</v>
      </c>
      <c r="I489" t="n">
        <v>0</v>
      </c>
      <c r="J489" t="n">
        <v>0</v>
      </c>
      <c r="K489" t="n">
        <v>0</v>
      </c>
      <c r="L489" t="n">
        <v>0</v>
      </c>
      <c r="M489" t="n">
        <v>0</v>
      </c>
      <c r="N489" t="n">
        <v>0</v>
      </c>
      <c r="O489" t="n">
        <v>0</v>
      </c>
      <c r="P489" t="n">
        <v>0</v>
      </c>
      <c r="Q489" t="n">
        <v>0</v>
      </c>
      <c r="R489" s="2" t="inlineStr"/>
    </row>
    <row r="490" ht="15" customHeight="1">
      <c r="A490" t="inlineStr">
        <is>
          <t>A 38548-2023</t>
        </is>
      </c>
      <c r="B490" s="1" t="n">
        <v>45162</v>
      </c>
      <c r="C490" s="1" t="n">
        <v>45358</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38527-2023</t>
        </is>
      </c>
      <c r="B491" s="1" t="n">
        <v>45162</v>
      </c>
      <c r="C491" s="1" t="n">
        <v>45358</v>
      </c>
      <c r="D491" t="inlineStr">
        <is>
          <t>VÄSTRA GÖTALANDS LÄN</t>
        </is>
      </c>
      <c r="E491" t="inlineStr">
        <is>
          <t>DALS-ED</t>
        </is>
      </c>
      <c r="G491" t="n">
        <v>3</v>
      </c>
      <c r="H491" t="n">
        <v>0</v>
      </c>
      <c r="I491" t="n">
        <v>0</v>
      </c>
      <c r="J491" t="n">
        <v>0</v>
      </c>
      <c r="K491" t="n">
        <v>0</v>
      </c>
      <c r="L491" t="n">
        <v>0</v>
      </c>
      <c r="M491" t="n">
        <v>0</v>
      </c>
      <c r="N491" t="n">
        <v>0</v>
      </c>
      <c r="O491" t="n">
        <v>0</v>
      </c>
      <c r="P491" t="n">
        <v>0</v>
      </c>
      <c r="Q491" t="n">
        <v>0</v>
      </c>
      <c r="R491" s="2" t="inlineStr"/>
    </row>
    <row r="492" ht="15" customHeight="1">
      <c r="A492" t="inlineStr">
        <is>
          <t>A 38578-2023</t>
        </is>
      </c>
      <c r="B492" s="1" t="n">
        <v>45162</v>
      </c>
      <c r="C492" s="1" t="n">
        <v>45358</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39279-2023</t>
        </is>
      </c>
      <c r="B493" s="1" t="n">
        <v>45166</v>
      </c>
      <c r="C493" s="1" t="n">
        <v>45358</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39443-2023</t>
        </is>
      </c>
      <c r="B494" s="1" t="n">
        <v>45166</v>
      </c>
      <c r="C494" s="1" t="n">
        <v>45358</v>
      </c>
      <c r="D494" t="inlineStr">
        <is>
          <t>VÄSTRA GÖTALANDS LÄN</t>
        </is>
      </c>
      <c r="E494" t="inlineStr">
        <is>
          <t>DALS-ED</t>
        </is>
      </c>
      <c r="G494" t="n">
        <v>2.5</v>
      </c>
      <c r="H494" t="n">
        <v>0</v>
      </c>
      <c r="I494" t="n">
        <v>0</v>
      </c>
      <c r="J494" t="n">
        <v>0</v>
      </c>
      <c r="K494" t="n">
        <v>0</v>
      </c>
      <c r="L494" t="n">
        <v>0</v>
      </c>
      <c r="M494" t="n">
        <v>0</v>
      </c>
      <c r="N494" t="n">
        <v>0</v>
      </c>
      <c r="O494" t="n">
        <v>0</v>
      </c>
      <c r="P494" t="n">
        <v>0</v>
      </c>
      <c r="Q494" t="n">
        <v>0</v>
      </c>
      <c r="R494" s="2" t="inlineStr"/>
    </row>
    <row r="495" ht="15" customHeight="1">
      <c r="A495" t="inlineStr">
        <is>
          <t>A 40961-2023</t>
        </is>
      </c>
      <c r="B495" s="1" t="n">
        <v>45173</v>
      </c>
      <c r="C495" s="1" t="n">
        <v>45358</v>
      </c>
      <c r="D495" t="inlineStr">
        <is>
          <t>VÄSTRA GÖTALANDS LÄN</t>
        </is>
      </c>
      <c r="E495" t="inlineStr">
        <is>
          <t>DALS-ED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v>
      </c>
      <c r="C496" s="1" t="n">
        <v>45358</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41114-2023</t>
        </is>
      </c>
      <c r="B497" s="1" t="n">
        <v>45173</v>
      </c>
      <c r="C497" s="1" t="n">
        <v>45358</v>
      </c>
      <c r="D497" t="inlineStr">
        <is>
          <t>VÄSTRA GÖTALANDS LÄN</t>
        </is>
      </c>
      <c r="E497" t="inlineStr">
        <is>
          <t>DALS-ED</t>
        </is>
      </c>
      <c r="G497" t="n">
        <v>2.1</v>
      </c>
      <c r="H497" t="n">
        <v>0</v>
      </c>
      <c r="I497" t="n">
        <v>0</v>
      </c>
      <c r="J497" t="n">
        <v>0</v>
      </c>
      <c r="K497" t="n">
        <v>0</v>
      </c>
      <c r="L497" t="n">
        <v>0</v>
      </c>
      <c r="M497" t="n">
        <v>0</v>
      </c>
      <c r="N497" t="n">
        <v>0</v>
      </c>
      <c r="O497" t="n">
        <v>0</v>
      </c>
      <c r="P497" t="n">
        <v>0</v>
      </c>
      <c r="Q497" t="n">
        <v>0</v>
      </c>
      <c r="R497" s="2" t="inlineStr"/>
    </row>
    <row r="498" ht="15" customHeight="1">
      <c r="A498" t="inlineStr">
        <is>
          <t>A 42193-2023</t>
        </is>
      </c>
      <c r="B498" s="1" t="n">
        <v>45179</v>
      </c>
      <c r="C498" s="1" t="n">
        <v>45358</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42781-2023</t>
        </is>
      </c>
      <c r="B499" s="1" t="n">
        <v>45181</v>
      </c>
      <c r="C499" s="1" t="n">
        <v>45358</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42821-2023</t>
        </is>
      </c>
      <c r="B500" s="1" t="n">
        <v>45182</v>
      </c>
      <c r="C500" s="1" t="n">
        <v>45358</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42810-2023</t>
        </is>
      </c>
      <c r="B501" s="1" t="n">
        <v>45182</v>
      </c>
      <c r="C501" s="1" t="n">
        <v>45358</v>
      </c>
      <c r="D501" t="inlineStr">
        <is>
          <t>VÄSTRA GÖTALANDS LÄN</t>
        </is>
      </c>
      <c r="E501" t="inlineStr">
        <is>
          <t>DALS-ED</t>
        </is>
      </c>
      <c r="G501" t="n">
        <v>18.8</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v>
      </c>
      <c r="C502" s="1" t="n">
        <v>45358</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43216-2023</t>
        </is>
      </c>
      <c r="B503" s="1" t="n">
        <v>45183</v>
      </c>
      <c r="C503" s="1" t="n">
        <v>45358</v>
      </c>
      <c r="D503" t="inlineStr">
        <is>
          <t>VÄSTRA GÖTALANDS LÄN</t>
        </is>
      </c>
      <c r="E503" t="inlineStr">
        <is>
          <t>DALS-ED</t>
        </is>
      </c>
      <c r="G503" t="n">
        <v>7.3</v>
      </c>
      <c r="H503" t="n">
        <v>0</v>
      </c>
      <c r="I503" t="n">
        <v>0</v>
      </c>
      <c r="J503" t="n">
        <v>0</v>
      </c>
      <c r="K503" t="n">
        <v>0</v>
      </c>
      <c r="L503" t="n">
        <v>0</v>
      </c>
      <c r="M503" t="n">
        <v>0</v>
      </c>
      <c r="N503" t="n">
        <v>0</v>
      </c>
      <c r="O503" t="n">
        <v>0</v>
      </c>
      <c r="P503" t="n">
        <v>0</v>
      </c>
      <c r="Q503" t="n">
        <v>0</v>
      </c>
      <c r="R503" s="2" t="inlineStr"/>
    </row>
    <row r="504" ht="15" customHeight="1">
      <c r="A504" t="inlineStr">
        <is>
          <t>A 43747-2023</t>
        </is>
      </c>
      <c r="B504" s="1" t="n">
        <v>45187</v>
      </c>
      <c r="C504" s="1" t="n">
        <v>45358</v>
      </c>
      <c r="D504" t="inlineStr">
        <is>
          <t>VÄSTRA GÖTALANDS LÄN</t>
        </is>
      </c>
      <c r="E504" t="inlineStr">
        <is>
          <t>DALS-ED</t>
        </is>
      </c>
      <c r="G504" t="n">
        <v>1.6</v>
      </c>
      <c r="H504" t="n">
        <v>0</v>
      </c>
      <c r="I504" t="n">
        <v>0</v>
      </c>
      <c r="J504" t="n">
        <v>0</v>
      </c>
      <c r="K504" t="n">
        <v>0</v>
      </c>
      <c r="L504" t="n">
        <v>0</v>
      </c>
      <c r="M504" t="n">
        <v>0</v>
      </c>
      <c r="N504" t="n">
        <v>0</v>
      </c>
      <c r="O504" t="n">
        <v>0</v>
      </c>
      <c r="P504" t="n">
        <v>0</v>
      </c>
      <c r="Q504" t="n">
        <v>0</v>
      </c>
      <c r="R504" s="2" t="inlineStr"/>
    </row>
    <row r="505" ht="15" customHeight="1">
      <c r="A505" t="inlineStr">
        <is>
          <t>A 43801-2023</t>
        </is>
      </c>
      <c r="B505" s="1" t="n">
        <v>45187</v>
      </c>
      <c r="C505" s="1" t="n">
        <v>45358</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44362-2023</t>
        </is>
      </c>
      <c r="B506" s="1" t="n">
        <v>45188</v>
      </c>
      <c r="C506" s="1" t="n">
        <v>45358</v>
      </c>
      <c r="D506" t="inlineStr">
        <is>
          <t>VÄSTRA GÖTALANDS LÄN</t>
        </is>
      </c>
      <c r="E506" t="inlineStr">
        <is>
          <t>DALS-ED</t>
        </is>
      </c>
      <c r="G506" t="n">
        <v>21.3</v>
      </c>
      <c r="H506" t="n">
        <v>0</v>
      </c>
      <c r="I506" t="n">
        <v>0</v>
      </c>
      <c r="J506" t="n">
        <v>0</v>
      </c>
      <c r="K506" t="n">
        <v>0</v>
      </c>
      <c r="L506" t="n">
        <v>0</v>
      </c>
      <c r="M506" t="n">
        <v>0</v>
      </c>
      <c r="N506" t="n">
        <v>0</v>
      </c>
      <c r="O506" t="n">
        <v>0</v>
      </c>
      <c r="P506" t="n">
        <v>0</v>
      </c>
      <c r="Q506" t="n">
        <v>0</v>
      </c>
      <c r="R506" s="2" t="inlineStr"/>
    </row>
    <row r="507" ht="15" customHeight="1">
      <c r="A507" t="inlineStr">
        <is>
          <t>A 44465-2023</t>
        </is>
      </c>
      <c r="B507" s="1" t="n">
        <v>45189</v>
      </c>
      <c r="C507" s="1" t="n">
        <v>45358</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44653-2023</t>
        </is>
      </c>
      <c r="B508" s="1" t="n">
        <v>45189</v>
      </c>
      <c r="C508" s="1" t="n">
        <v>45358</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44652-2023</t>
        </is>
      </c>
      <c r="B509" s="1" t="n">
        <v>45189</v>
      </c>
      <c r="C509" s="1" t="n">
        <v>45358</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45187-2023</t>
        </is>
      </c>
      <c r="B510" s="1" t="n">
        <v>45191</v>
      </c>
      <c r="C510" s="1" t="n">
        <v>45358</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46050-2023</t>
        </is>
      </c>
      <c r="B511" s="1" t="n">
        <v>45196</v>
      </c>
      <c r="C511" s="1" t="n">
        <v>45358</v>
      </c>
      <c r="D511" t="inlineStr">
        <is>
          <t>VÄSTRA GÖTALANDS LÄN</t>
        </is>
      </c>
      <c r="E511" t="inlineStr">
        <is>
          <t>DALS-ED</t>
        </is>
      </c>
      <c r="F511" t="inlineStr">
        <is>
          <t>Kommuner</t>
        </is>
      </c>
      <c r="G511" t="n">
        <v>6.5</v>
      </c>
      <c r="H511" t="n">
        <v>0</v>
      </c>
      <c r="I511" t="n">
        <v>0</v>
      </c>
      <c r="J511" t="n">
        <v>0</v>
      </c>
      <c r="K511" t="n">
        <v>0</v>
      </c>
      <c r="L511" t="n">
        <v>0</v>
      </c>
      <c r="M511" t="n">
        <v>0</v>
      </c>
      <c r="N511" t="n">
        <v>0</v>
      </c>
      <c r="O511" t="n">
        <v>0</v>
      </c>
      <c r="P511" t="n">
        <v>0</v>
      </c>
      <c r="Q511" t="n">
        <v>0</v>
      </c>
      <c r="R511" s="2" t="inlineStr"/>
    </row>
    <row r="512" ht="15" customHeight="1">
      <c r="A512" t="inlineStr">
        <is>
          <t>A 46435-2023</t>
        </is>
      </c>
      <c r="B512" s="1" t="n">
        <v>45197</v>
      </c>
      <c r="C512" s="1" t="n">
        <v>45358</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47617-2023</t>
        </is>
      </c>
      <c r="B513" s="1" t="n">
        <v>45198</v>
      </c>
      <c r="C513" s="1" t="n">
        <v>45358</v>
      </c>
      <c r="D513" t="inlineStr">
        <is>
          <t>VÄSTRA GÖTALANDS LÄN</t>
        </is>
      </c>
      <c r="E513" t="inlineStr">
        <is>
          <t>DALS-ED</t>
        </is>
      </c>
      <c r="G513" t="n">
        <v>6</v>
      </c>
      <c r="H513" t="n">
        <v>0</v>
      </c>
      <c r="I513" t="n">
        <v>0</v>
      </c>
      <c r="J513" t="n">
        <v>0</v>
      </c>
      <c r="K513" t="n">
        <v>0</v>
      </c>
      <c r="L513" t="n">
        <v>0</v>
      </c>
      <c r="M513" t="n">
        <v>0</v>
      </c>
      <c r="N513" t="n">
        <v>0</v>
      </c>
      <c r="O513" t="n">
        <v>0</v>
      </c>
      <c r="P513" t="n">
        <v>0</v>
      </c>
      <c r="Q513" t="n">
        <v>0</v>
      </c>
      <c r="R513" s="2" t="inlineStr"/>
    </row>
    <row r="514" ht="15" customHeight="1">
      <c r="A514" t="inlineStr">
        <is>
          <t>A 47092-2023</t>
        </is>
      </c>
      <c r="B514" s="1" t="n">
        <v>45201</v>
      </c>
      <c r="C514" s="1" t="n">
        <v>45358</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47311-2023</t>
        </is>
      </c>
      <c r="B515" s="1" t="n">
        <v>45202</v>
      </c>
      <c r="C515" s="1" t="n">
        <v>45358</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47740-2023</t>
        </is>
      </c>
      <c r="B516" s="1" t="n">
        <v>45203</v>
      </c>
      <c r="C516" s="1" t="n">
        <v>45358</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48344-2023</t>
        </is>
      </c>
      <c r="B517" s="1" t="n">
        <v>45205</v>
      </c>
      <c r="C517" s="1" t="n">
        <v>45358</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48903-2023</t>
        </is>
      </c>
      <c r="B518" s="1" t="n">
        <v>45209</v>
      </c>
      <c r="C518" s="1" t="n">
        <v>45358</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50809-2023</t>
        </is>
      </c>
      <c r="B519" s="1" t="n">
        <v>45217</v>
      </c>
      <c r="C519" s="1" t="n">
        <v>45358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52277-2023</t>
        </is>
      </c>
      <c r="B520" s="1" t="n">
        <v>45217</v>
      </c>
      <c r="C520" s="1" t="n">
        <v>45358</v>
      </c>
      <c r="D520" t="inlineStr">
        <is>
          <t>VÄSTRA GÖTALANDS LÄN</t>
        </is>
      </c>
      <c r="E520" t="inlineStr">
        <is>
          <t>DALS-ED</t>
        </is>
      </c>
      <c r="F520" t="inlineStr">
        <is>
          <t>Kyrkan</t>
        </is>
      </c>
      <c r="G520" t="n">
        <v>1.5</v>
      </c>
      <c r="H520" t="n">
        <v>0</v>
      </c>
      <c r="I520" t="n">
        <v>0</v>
      </c>
      <c r="J520" t="n">
        <v>0</v>
      </c>
      <c r="K520" t="n">
        <v>0</v>
      </c>
      <c r="L520" t="n">
        <v>0</v>
      </c>
      <c r="M520" t="n">
        <v>0</v>
      </c>
      <c r="N520" t="n">
        <v>0</v>
      </c>
      <c r="O520" t="n">
        <v>0</v>
      </c>
      <c r="P520" t="n">
        <v>0</v>
      </c>
      <c r="Q520" t="n">
        <v>0</v>
      </c>
      <c r="R520" s="2" t="inlineStr"/>
    </row>
    <row r="521" ht="15" customHeight="1">
      <c r="A521" t="inlineStr">
        <is>
          <t>A 52254-2023</t>
        </is>
      </c>
      <c r="B521" s="1" t="n">
        <v>45217</v>
      </c>
      <c r="C521" s="1" t="n">
        <v>45358</v>
      </c>
      <c r="D521" t="inlineStr">
        <is>
          <t>VÄSTRA GÖTALANDS LÄN</t>
        </is>
      </c>
      <c r="E521" t="inlineStr">
        <is>
          <t>DALS-ED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52462-2023</t>
        </is>
      </c>
      <c r="B522" s="1" t="n">
        <v>45225</v>
      </c>
      <c r="C522" s="1" t="n">
        <v>45358</v>
      </c>
      <c r="D522" t="inlineStr">
        <is>
          <t>VÄSTRA GÖTALANDS LÄN</t>
        </is>
      </c>
      <c r="E522" t="inlineStr">
        <is>
          <t>DALS-ED</t>
        </is>
      </c>
      <c r="F522" t="inlineStr">
        <is>
          <t>Kommuner</t>
        </is>
      </c>
      <c r="G522" t="n">
        <v>7.3</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45358</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45358</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53470-2023</t>
        </is>
      </c>
      <c r="B525" s="1" t="n">
        <v>45230</v>
      </c>
      <c r="C525" s="1" t="n">
        <v>45358</v>
      </c>
      <c r="D525" t="inlineStr">
        <is>
          <t>VÄSTRA GÖTALANDS LÄN</t>
        </is>
      </c>
      <c r="E525" t="inlineStr">
        <is>
          <t>DALS-ED</t>
        </is>
      </c>
      <c r="G525" t="n">
        <v>1.9</v>
      </c>
      <c r="H525" t="n">
        <v>0</v>
      </c>
      <c r="I525" t="n">
        <v>0</v>
      </c>
      <c r="J525" t="n">
        <v>0</v>
      </c>
      <c r="K525" t="n">
        <v>0</v>
      </c>
      <c r="L525" t="n">
        <v>0</v>
      </c>
      <c r="M525" t="n">
        <v>0</v>
      </c>
      <c r="N525" t="n">
        <v>0</v>
      </c>
      <c r="O525" t="n">
        <v>0</v>
      </c>
      <c r="P525" t="n">
        <v>0</v>
      </c>
      <c r="Q525" t="n">
        <v>0</v>
      </c>
      <c r="R525" s="2" t="inlineStr"/>
    </row>
    <row r="526" ht="15" customHeight="1">
      <c r="A526" t="inlineStr">
        <is>
          <t>A 56442-2023</t>
        </is>
      </c>
      <c r="B526" s="1" t="n">
        <v>45237</v>
      </c>
      <c r="C526" s="1" t="n">
        <v>45358</v>
      </c>
      <c r="D526" t="inlineStr">
        <is>
          <t>VÄSTRA GÖTALANDS LÄN</t>
        </is>
      </c>
      <c r="E526" t="inlineStr">
        <is>
          <t>DALS-ED</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56015-2023</t>
        </is>
      </c>
      <c r="B527" s="1" t="n">
        <v>45240</v>
      </c>
      <c r="C527" s="1" t="n">
        <v>45358</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57701-2023</t>
        </is>
      </c>
      <c r="B528" s="1" t="n">
        <v>45246</v>
      </c>
      <c r="C528" s="1" t="n">
        <v>45358</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58719-2023</t>
        </is>
      </c>
      <c r="B529" s="1" t="n">
        <v>45251</v>
      </c>
      <c r="C529" s="1" t="n">
        <v>45358</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59514-2023</t>
        </is>
      </c>
      <c r="B530" s="1" t="n">
        <v>45254</v>
      </c>
      <c r="C530" s="1" t="n">
        <v>45358</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45358</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60279-2023</t>
        </is>
      </c>
      <c r="B532" s="1" t="n">
        <v>45257</v>
      </c>
      <c r="C532" s="1" t="n">
        <v>45358</v>
      </c>
      <c r="D532" t="inlineStr">
        <is>
          <t>VÄSTRA GÖTALANDS LÄN</t>
        </is>
      </c>
      <c r="E532" t="inlineStr">
        <is>
          <t>DALS-ED</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60052-2023</t>
        </is>
      </c>
      <c r="B533" s="1" t="n">
        <v>45258</v>
      </c>
      <c r="C533" s="1" t="n">
        <v>45358</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45358</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60461-2023</t>
        </is>
      </c>
      <c r="B535" s="1" t="n">
        <v>45258</v>
      </c>
      <c r="C535" s="1" t="n">
        <v>45358</v>
      </c>
      <c r="D535" t="inlineStr">
        <is>
          <t>VÄSTRA GÖTALANDS LÄN</t>
        </is>
      </c>
      <c r="E535" t="inlineStr">
        <is>
          <t>DALS-ED</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61220-2023</t>
        </is>
      </c>
      <c r="B536" s="1" t="n">
        <v>45264</v>
      </c>
      <c r="C536" s="1" t="n">
        <v>45358</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45358</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45358</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61736-2023</t>
        </is>
      </c>
      <c r="B539" s="1" t="n">
        <v>45265</v>
      </c>
      <c r="C539" s="1" t="n">
        <v>45358</v>
      </c>
      <c r="D539" t="inlineStr">
        <is>
          <t>VÄSTRA GÖTALANDS LÄN</t>
        </is>
      </c>
      <c r="E539" t="inlineStr">
        <is>
          <t>DALS-ED</t>
        </is>
      </c>
      <c r="G539" t="n">
        <v>4.5</v>
      </c>
      <c r="H539" t="n">
        <v>0</v>
      </c>
      <c r="I539" t="n">
        <v>0</v>
      </c>
      <c r="J539" t="n">
        <v>0</v>
      </c>
      <c r="K539" t="n">
        <v>0</v>
      </c>
      <c r="L539" t="n">
        <v>0</v>
      </c>
      <c r="M539" t="n">
        <v>0</v>
      </c>
      <c r="N539" t="n">
        <v>0</v>
      </c>
      <c r="O539" t="n">
        <v>0</v>
      </c>
      <c r="P539" t="n">
        <v>0</v>
      </c>
      <c r="Q539" t="n">
        <v>0</v>
      </c>
      <c r="R539" s="2" t="inlineStr"/>
    </row>
    <row r="540" ht="15" customHeight="1">
      <c r="A540" t="inlineStr">
        <is>
          <t>A 62534-2023</t>
        </is>
      </c>
      <c r="B540" s="1" t="n">
        <v>45267</v>
      </c>
      <c r="C540" s="1" t="n">
        <v>45358</v>
      </c>
      <c r="D540" t="inlineStr">
        <is>
          <t>VÄSTRA GÖTALANDS LÄN</t>
        </is>
      </c>
      <c r="E540" t="inlineStr">
        <is>
          <t>DALS-ED</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45358</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v>
      </c>
      <c r="C542" s="1" t="n">
        <v>45358</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63162-2023</t>
        </is>
      </c>
      <c r="B543" s="1" t="n">
        <v>45273</v>
      </c>
      <c r="C543" s="1" t="n">
        <v>45358</v>
      </c>
      <c r="D543" t="inlineStr">
        <is>
          <t>VÄSTRA GÖTALANDS LÄN</t>
        </is>
      </c>
      <c r="E543" t="inlineStr">
        <is>
          <t>DALS-ED</t>
        </is>
      </c>
      <c r="G543" t="n">
        <v>11.8</v>
      </c>
      <c r="H543" t="n">
        <v>0</v>
      </c>
      <c r="I543" t="n">
        <v>0</v>
      </c>
      <c r="J543" t="n">
        <v>0</v>
      </c>
      <c r="K543" t="n">
        <v>0</v>
      </c>
      <c r="L543" t="n">
        <v>0</v>
      </c>
      <c r="M543" t="n">
        <v>0</v>
      </c>
      <c r="N543" t="n">
        <v>0</v>
      </c>
      <c r="O543" t="n">
        <v>0</v>
      </c>
      <c r="P543" t="n">
        <v>0</v>
      </c>
      <c r="Q543" t="n">
        <v>0</v>
      </c>
      <c r="R543" s="2" t="inlineStr"/>
    </row>
    <row r="544" ht="15" customHeight="1">
      <c r="A544" t="inlineStr">
        <is>
          <t>A 64177-2023</t>
        </is>
      </c>
      <c r="B544" s="1" t="n">
        <v>45279</v>
      </c>
      <c r="C544" s="1" t="n">
        <v>45358</v>
      </c>
      <c r="D544" t="inlineStr">
        <is>
          <t>VÄSTRA GÖTALANDS LÄN</t>
        </is>
      </c>
      <c r="E544" t="inlineStr">
        <is>
          <t>DALS-ED</t>
        </is>
      </c>
      <c r="F544" t="inlineStr">
        <is>
          <t>Bergvik skog väst AB</t>
        </is>
      </c>
      <c r="G544" t="n">
        <v>18.6</v>
      </c>
      <c r="H544" t="n">
        <v>0</v>
      </c>
      <c r="I544" t="n">
        <v>0</v>
      </c>
      <c r="J544" t="n">
        <v>0</v>
      </c>
      <c r="K544" t="n">
        <v>0</v>
      </c>
      <c r="L544" t="n">
        <v>0</v>
      </c>
      <c r="M544" t="n">
        <v>0</v>
      </c>
      <c r="N544" t="n">
        <v>0</v>
      </c>
      <c r="O544" t="n">
        <v>0</v>
      </c>
      <c r="P544" t="n">
        <v>0</v>
      </c>
      <c r="Q544" t="n">
        <v>0</v>
      </c>
      <c r="R544" s="2" t="inlineStr"/>
    </row>
    <row r="545" ht="15" customHeight="1">
      <c r="A545" t="inlineStr">
        <is>
          <t>A 64717-2023</t>
        </is>
      </c>
      <c r="B545" s="1" t="n">
        <v>45281</v>
      </c>
      <c r="C545" s="1" t="n">
        <v>45358</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ht="15" customHeight="1">
      <c r="A546" t="inlineStr">
        <is>
          <t>A 64967-2023</t>
        </is>
      </c>
      <c r="B546" s="1" t="n">
        <v>45283</v>
      </c>
      <c r="C546" s="1" t="n">
        <v>45358</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172-2024</t>
        </is>
      </c>
      <c r="B547" s="1" t="n">
        <v>45294</v>
      </c>
      <c r="C547" s="1" t="n">
        <v>45358</v>
      </c>
      <c r="D547" t="inlineStr">
        <is>
          <t>VÄSTRA GÖTALANDS LÄN</t>
        </is>
      </c>
      <c r="E547" t="inlineStr">
        <is>
          <t>DALS-ED</t>
        </is>
      </c>
      <c r="G547" t="n">
        <v>6.9</v>
      </c>
      <c r="H547" t="n">
        <v>0</v>
      </c>
      <c r="I547" t="n">
        <v>0</v>
      </c>
      <c r="J547" t="n">
        <v>0</v>
      </c>
      <c r="K547" t="n">
        <v>0</v>
      </c>
      <c r="L547" t="n">
        <v>0</v>
      </c>
      <c r="M547" t="n">
        <v>0</v>
      </c>
      <c r="N547" t="n">
        <v>0</v>
      </c>
      <c r="O547" t="n">
        <v>0</v>
      </c>
      <c r="P547" t="n">
        <v>0</v>
      </c>
      <c r="Q547" t="n">
        <v>0</v>
      </c>
      <c r="R547" s="2" t="inlineStr"/>
    </row>
    <row r="548" ht="15" customHeight="1">
      <c r="A548" t="inlineStr">
        <is>
          <t>A 1027-2024</t>
        </is>
      </c>
      <c r="B548" s="1" t="n">
        <v>45301</v>
      </c>
      <c r="C548" s="1" t="n">
        <v>45358</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1031-2024</t>
        </is>
      </c>
      <c r="B549" s="1" t="n">
        <v>45301</v>
      </c>
      <c r="C549" s="1" t="n">
        <v>45358</v>
      </c>
      <c r="D549" t="inlineStr">
        <is>
          <t>VÄSTRA GÖTALANDS LÄN</t>
        </is>
      </c>
      <c r="E549" t="inlineStr">
        <is>
          <t>DALS-ED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2725-2024</t>
        </is>
      </c>
      <c r="B550" s="1" t="n">
        <v>45314</v>
      </c>
      <c r="C550" s="1" t="n">
        <v>45358</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45358</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4368-2024</t>
        </is>
      </c>
      <c r="B552" s="1" t="n">
        <v>45326</v>
      </c>
      <c r="C552" s="1" t="n">
        <v>45358</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45358</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45358</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4534-2024</t>
        </is>
      </c>
      <c r="B555" s="1" t="n">
        <v>45327</v>
      </c>
      <c r="C555" s="1" t="n">
        <v>45358</v>
      </c>
      <c r="D555" t="inlineStr">
        <is>
          <t>VÄSTRA GÖTALANDS LÄN</t>
        </is>
      </c>
      <c r="E555" t="inlineStr">
        <is>
          <t>DALS-ED</t>
        </is>
      </c>
      <c r="G555" t="n">
        <v>2.4</v>
      </c>
      <c r="H555" t="n">
        <v>0</v>
      </c>
      <c r="I555" t="n">
        <v>0</v>
      </c>
      <c r="J555" t="n">
        <v>0</v>
      </c>
      <c r="K555" t="n">
        <v>0</v>
      </c>
      <c r="L555" t="n">
        <v>0</v>
      </c>
      <c r="M555" t="n">
        <v>0</v>
      </c>
      <c r="N555" t="n">
        <v>0</v>
      </c>
      <c r="O555" t="n">
        <v>0</v>
      </c>
      <c r="P555" t="n">
        <v>0</v>
      </c>
      <c r="Q555" t="n">
        <v>0</v>
      </c>
      <c r="R555" s="2" t="inlineStr"/>
    </row>
    <row r="556" ht="15" customHeight="1">
      <c r="A556" t="inlineStr">
        <is>
          <t>A 4661-2024</t>
        </is>
      </c>
      <c r="B556" s="1" t="n">
        <v>45328</v>
      </c>
      <c r="C556" s="1" t="n">
        <v>45358</v>
      </c>
      <c r="D556" t="inlineStr">
        <is>
          <t>VÄSTRA GÖTALANDS LÄN</t>
        </is>
      </c>
      <c r="E556" t="inlineStr">
        <is>
          <t>DALS-ED</t>
        </is>
      </c>
      <c r="G556" t="n">
        <v>1</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45358</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5403-2024</t>
        </is>
      </c>
      <c r="B558" s="1" t="n">
        <v>45331</v>
      </c>
      <c r="C558" s="1" t="n">
        <v>45358</v>
      </c>
      <c r="D558" t="inlineStr">
        <is>
          <t>VÄSTRA GÖTALANDS LÄN</t>
        </is>
      </c>
      <c r="E558" t="inlineStr">
        <is>
          <t>DALS-ED</t>
        </is>
      </c>
      <c r="G558" t="n">
        <v>28.3</v>
      </c>
      <c r="H558" t="n">
        <v>0</v>
      </c>
      <c r="I558" t="n">
        <v>0</v>
      </c>
      <c r="J558" t="n">
        <v>0</v>
      </c>
      <c r="K558" t="n">
        <v>0</v>
      </c>
      <c r="L558" t="n">
        <v>0</v>
      </c>
      <c r="M558" t="n">
        <v>0</v>
      </c>
      <c r="N558" t="n">
        <v>0</v>
      </c>
      <c r="O558" t="n">
        <v>0</v>
      </c>
      <c r="P558" t="n">
        <v>0</v>
      </c>
      <c r="Q558" t="n">
        <v>0</v>
      </c>
      <c r="R558" s="2" t="inlineStr"/>
    </row>
    <row r="559" ht="15" customHeight="1">
      <c r="A559" t="inlineStr">
        <is>
          <t>A 6817-2024</t>
        </is>
      </c>
      <c r="B559" s="1" t="n">
        <v>45342</v>
      </c>
      <c r="C559" s="1" t="n">
        <v>45358</v>
      </c>
      <c r="D559" t="inlineStr">
        <is>
          <t>VÄSTRA GÖTALANDS LÄN</t>
        </is>
      </c>
      <c r="E559" t="inlineStr">
        <is>
          <t>DALS-ED</t>
        </is>
      </c>
      <c r="G559" t="n">
        <v>1</v>
      </c>
      <c r="H559" t="n">
        <v>0</v>
      </c>
      <c r="I559" t="n">
        <v>0</v>
      </c>
      <c r="J559" t="n">
        <v>0</v>
      </c>
      <c r="K559" t="n">
        <v>0</v>
      </c>
      <c r="L559" t="n">
        <v>0</v>
      </c>
      <c r="M559" t="n">
        <v>0</v>
      </c>
      <c r="N559" t="n">
        <v>0</v>
      </c>
      <c r="O559" t="n">
        <v>0</v>
      </c>
      <c r="P559" t="n">
        <v>0</v>
      </c>
      <c r="Q559" t="n">
        <v>0</v>
      </c>
      <c r="R559" s="2" t="inlineStr"/>
    </row>
    <row r="560" ht="15" customHeight="1">
      <c r="A560" t="inlineStr">
        <is>
          <t>A 7415-2024</t>
        </is>
      </c>
      <c r="B560" s="1" t="n">
        <v>45345</v>
      </c>
      <c r="C560" s="1" t="n">
        <v>45358</v>
      </c>
      <c r="D560" t="inlineStr">
        <is>
          <t>VÄSTRA GÖTALANDS LÄN</t>
        </is>
      </c>
      <c r="E560" t="inlineStr">
        <is>
          <t>DALS-ED</t>
        </is>
      </c>
      <c r="G560" t="n">
        <v>1.1</v>
      </c>
      <c r="H560" t="n">
        <v>0</v>
      </c>
      <c r="I560" t="n">
        <v>0</v>
      </c>
      <c r="J560" t="n">
        <v>0</v>
      </c>
      <c r="K560" t="n">
        <v>0</v>
      </c>
      <c r="L560" t="n">
        <v>0</v>
      </c>
      <c r="M560" t="n">
        <v>0</v>
      </c>
      <c r="N560" t="n">
        <v>0</v>
      </c>
      <c r="O560" t="n">
        <v>0</v>
      </c>
      <c r="P560" t="n">
        <v>0</v>
      </c>
      <c r="Q560" t="n">
        <v>0</v>
      </c>
      <c r="R560" s="2" t="inlineStr"/>
    </row>
    <row r="561" ht="15" customHeight="1">
      <c r="A561" t="inlineStr">
        <is>
          <t>A 7482-2024</t>
        </is>
      </c>
      <c r="B561" s="1" t="n">
        <v>45346</v>
      </c>
      <c r="C561" s="1" t="n">
        <v>45358</v>
      </c>
      <c r="D561" t="inlineStr">
        <is>
          <t>VÄSTRA GÖTALANDS LÄN</t>
        </is>
      </c>
      <c r="E561" t="inlineStr">
        <is>
          <t>DALS-ED</t>
        </is>
      </c>
      <c r="G561" t="n">
        <v>2.6</v>
      </c>
      <c r="H561" t="n">
        <v>0</v>
      </c>
      <c r="I561" t="n">
        <v>0</v>
      </c>
      <c r="J561" t="n">
        <v>0</v>
      </c>
      <c r="K561" t="n">
        <v>0</v>
      </c>
      <c r="L561" t="n">
        <v>0</v>
      </c>
      <c r="M561" t="n">
        <v>0</v>
      </c>
      <c r="N561" t="n">
        <v>0</v>
      </c>
      <c r="O561" t="n">
        <v>0</v>
      </c>
      <c r="P561" t="n">
        <v>0</v>
      </c>
      <c r="Q561" t="n">
        <v>0</v>
      </c>
      <c r="R561" s="2" t="inlineStr"/>
    </row>
    <row r="562" ht="15" customHeight="1">
      <c r="A562" t="inlineStr">
        <is>
          <t>A 7522-2024</t>
        </is>
      </c>
      <c r="B562" s="1" t="n">
        <v>45348</v>
      </c>
      <c r="C562" s="1" t="n">
        <v>45358</v>
      </c>
      <c r="D562" t="inlineStr">
        <is>
          <t>VÄSTRA GÖTALANDS LÄN</t>
        </is>
      </c>
      <c r="E562" t="inlineStr">
        <is>
          <t>DALS-ED</t>
        </is>
      </c>
      <c r="G562" t="n">
        <v>0.6</v>
      </c>
      <c r="H562" t="n">
        <v>0</v>
      </c>
      <c r="I562" t="n">
        <v>0</v>
      </c>
      <c r="J562" t="n">
        <v>0</v>
      </c>
      <c r="K562" t="n">
        <v>0</v>
      </c>
      <c r="L562" t="n">
        <v>0</v>
      </c>
      <c r="M562" t="n">
        <v>0</v>
      </c>
      <c r="N562" t="n">
        <v>0</v>
      </c>
      <c r="O562" t="n">
        <v>0</v>
      </c>
      <c r="P562" t="n">
        <v>0</v>
      </c>
      <c r="Q562" t="n">
        <v>0</v>
      </c>
      <c r="R562" s="2" t="inlineStr"/>
    </row>
    <row r="563" ht="15" customHeight="1">
      <c r="A563" t="inlineStr">
        <is>
          <t>A 7527-2024</t>
        </is>
      </c>
      <c r="B563" s="1" t="n">
        <v>45348</v>
      </c>
      <c r="C563" s="1" t="n">
        <v>45358</v>
      </c>
      <c r="D563" t="inlineStr">
        <is>
          <t>VÄSTRA GÖTALANDS LÄN</t>
        </is>
      </c>
      <c r="E563" t="inlineStr">
        <is>
          <t>DALS-ED</t>
        </is>
      </c>
      <c r="G563" t="n">
        <v>8.1</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45358</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8180-2024</t>
        </is>
      </c>
      <c r="B565" s="1" t="n">
        <v>45351</v>
      </c>
      <c r="C565" s="1" t="n">
        <v>45358</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row r="566">
      <c r="A566" t="inlineStr">
        <is>
          <t>A 8621-2024</t>
        </is>
      </c>
      <c r="B566" s="1" t="n">
        <v>45355</v>
      </c>
      <c r="C566" s="1" t="n">
        <v>45358</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2024-03-07T13:25:13Z</dcterms:created>
  <dcterms:modified xmlns:dcterms="http://purl.org/dc/terms/" xmlns:xsi="http://www.w3.org/2001/XMLSchema-instance" xsi:type="dcterms:W3CDTF">2024-03-07T13:25:14Z</dcterms:modified>
</cp:coreProperties>
</file>