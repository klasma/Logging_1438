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45832</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42944-2022</t>
        </is>
      </c>
      <c r="B8" s="1" t="n">
        <v>44833</v>
      </c>
      <c r="C8" s="1" t="n">
        <v>45832</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44362-2023</t>
        </is>
      </c>
      <c r="B9" s="1" t="n">
        <v>45188</v>
      </c>
      <c r="C9" s="1" t="n">
        <v>45832</v>
      </c>
      <c r="D9" t="inlineStr">
        <is>
          <t>VÄSTRA GÖTALANDS LÄN</t>
        </is>
      </c>
      <c r="E9" t="inlineStr">
        <is>
          <t>DALS-ED</t>
        </is>
      </c>
      <c r="G9" t="n">
        <v>21.3</v>
      </c>
      <c r="H9" t="n">
        <v>5</v>
      </c>
      <c r="I9" t="n">
        <v>3</v>
      </c>
      <c r="J9" t="n">
        <v>3</v>
      </c>
      <c r="K9" t="n">
        <v>0</v>
      </c>
      <c r="L9" t="n">
        <v>0</v>
      </c>
      <c r="M9" t="n">
        <v>0</v>
      </c>
      <c r="N9" t="n">
        <v>0</v>
      </c>
      <c r="O9" t="n">
        <v>3</v>
      </c>
      <c r="P9" t="n">
        <v>0</v>
      </c>
      <c r="Q9" t="n">
        <v>8</v>
      </c>
      <c r="R9" s="2" t="inlineStr">
        <is>
          <t>Mindre hackspett
Spillkråka
Tretåig hackspett
Blåmossa
Stor revmossa
Västlig hakmossa
Tjäder
Revlummer</t>
        </is>
      </c>
      <c r="S9">
        <f>HYPERLINK("https://klasma.github.io/Logging_1438/artfynd/A 44362-2023 artfynd.xlsx", "A 44362-2023")</f>
        <v/>
      </c>
      <c r="T9">
        <f>HYPERLINK("https://klasma.github.io/Logging_1438/kartor/A 44362-2023 karta.png", "A 44362-2023")</f>
        <v/>
      </c>
      <c r="V9">
        <f>HYPERLINK("https://klasma.github.io/Logging_1438/klagomål/A 44362-2023 FSC-klagomål.docx", "A 44362-2023")</f>
        <v/>
      </c>
      <c r="W9">
        <f>HYPERLINK("https://klasma.github.io/Logging_1438/klagomålsmail/A 44362-2023 FSC-klagomål mail.docx", "A 44362-2023")</f>
        <v/>
      </c>
      <c r="X9">
        <f>HYPERLINK("https://klasma.github.io/Logging_1438/tillsyn/A 44362-2023 tillsynsbegäran.docx", "A 44362-2023")</f>
        <v/>
      </c>
      <c r="Y9">
        <f>HYPERLINK("https://klasma.github.io/Logging_1438/tillsynsmail/A 44362-2023 tillsynsbegäran mail.docx", "A 44362-2023")</f>
        <v/>
      </c>
      <c r="Z9">
        <f>HYPERLINK("https://klasma.github.io/Logging_1438/fåglar/A 44362-2023 prioriterade fågelarter.docx", "A 44362-2023")</f>
        <v/>
      </c>
    </row>
    <row r="10" ht="15" customHeight="1">
      <c r="A10" t="inlineStr">
        <is>
          <t>A 43450-2022</t>
        </is>
      </c>
      <c r="B10" s="1" t="n">
        <v>44835</v>
      </c>
      <c r="C10" s="1" t="n">
        <v>45832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45832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45832</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45832</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45832</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45832</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45832</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45832</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45832</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45832</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45832</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45832</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45832</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45832</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45832</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45832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45832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45832</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45832</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45832</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45832</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45832</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45832</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45832</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45832</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45832</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45832</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45832</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45832</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45832</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45832</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45832</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45832</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45832</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45832</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45832</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45832</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45832</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45832</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45832</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45832</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45832</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45832</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45832</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45832</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45832</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45832</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45832</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45832</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45832</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45832</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45832</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45832</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45832</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45832</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45832</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45832</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45832</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45832</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45832</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45832</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45832</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45832</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45832</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45832</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45832</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45832</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45832</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45832</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45832</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45832</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45832</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45832</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45832</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45832</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45832</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45832</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45832</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45832</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45832</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45832</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45832</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45832</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45832</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45832</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45832</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45832</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45832</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45832</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45832</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45832</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45832</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45832</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45832</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45832</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45832</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45832</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45832</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45832</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45832</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45832</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45832</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45832</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45832</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45832</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45832</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45832</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45832</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45832</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45832</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45832</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45832</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45832</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45832</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45832</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45832</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45832</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45832</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45832</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45832</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45832</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45832</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45832</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45832</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45832</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45832</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45832</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45832</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45832</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45832</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45832</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45832</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45832</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45832</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45832</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45832</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45832</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45832</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45832</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45832</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45832</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45832</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45832</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45832</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45832</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45832</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45832</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45832</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45832</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45832</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45832</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45832</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45832</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45832</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45832</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45832</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45832</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45832</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45832</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45832</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45832</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45832</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45832</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45832</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45832</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45832</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45832</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45832</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45832</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45832</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45832</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45832</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45832</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45832</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45832</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45832</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45832</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45832</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45832</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45832</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45832</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45832</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45832</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45832</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45832</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45832</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45832</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45832</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45832</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45832</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45832</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45832</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45832</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45832</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45832</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45832</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45832</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45832</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45832</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45832</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45832</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45832</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45832</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45832</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45832</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45832</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45832</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45832</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45832</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45832</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45832</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45832</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45832</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45832</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45832</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45832</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45832</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45832</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45832</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45832</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45832</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45832</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45832</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45832</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45832</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45832</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45832</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45832</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45832</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45832</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45832</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45832</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45832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45832</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45832</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45832</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45832</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45832</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45832</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45832</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45832</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45832</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45832</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45832</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45832</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45832</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45832</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45832</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45832</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45832</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45832</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45832</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45832</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45832</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45832</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45832</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45832</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45832</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45832</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45832</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45832</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45832</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45832</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45832</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45832</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45832</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45832</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45832</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45832</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45832</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45832</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45832</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45832</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45832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45832</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45832</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45832</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45832</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45832</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45832</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45832</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45832</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45832</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45832</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45832</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45832</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45832</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45832</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45832</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45832</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45832</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45832</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45832</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45832</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45832</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45832</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45832</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45832</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45832</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45832</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45832</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45832</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45832</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45832</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45832</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45832</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45832</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45832</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45832</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45832</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45832</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45832</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45832</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45832</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45832</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45832</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45832</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45832</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45832</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45832</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45832</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45832</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45832</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45832</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45832</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45832</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45832</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45832</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45832</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45832</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45832</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45832</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45832</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45832</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45832</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45832</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45832</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45832</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45832</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45832</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45832</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45832</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45832</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45832</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45832</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45832</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45832</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45832</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45832</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45832</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45832</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45832</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45832</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45832</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45832</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45832</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45832</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45832</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45832</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45832</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45832</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45832</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45832</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45832</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45832</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45832</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45832</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45832</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45832</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45832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45832</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45832</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45832</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45832</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45832</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45832</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45832</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45832</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45832</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45832</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45832</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45832</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45832</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45832</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45832</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45832</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45832</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45832</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45832</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45832</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45832</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45832</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45832</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45832</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45832</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45832</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45832</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45832</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45832</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45832</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45832</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45832</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45832</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45832</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45832</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45832</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45832</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45832</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45832</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45832</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45832</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45832</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45832</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45832</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45832</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45832</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45832</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45832</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45832</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45832</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45832</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45832</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45832</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45832</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45832</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45832</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45832</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45832</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45832</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45832</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45832</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45832</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45832</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45832</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45832</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45832</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45832</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45832</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45832</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45832</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45832</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45832</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45832</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45832</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45832</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45832</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45832</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45832</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45832</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45832</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45832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45832</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45832</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45832</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45832</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45832</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45832</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45832</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45832</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45832</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45832</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45832</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45832</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45832</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45832</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45832</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45832</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45832</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45832</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45832</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45832</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45832</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45832</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45832</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45832</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45832</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45832</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45832</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45832</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45832</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45832</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45832</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45832</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45832</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45832</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45832</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45832</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45832</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45832</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45832</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45832</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45832</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45832</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45832</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45832</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45832</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45832</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45832</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45832</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45832</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45832</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45832</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45832</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45832</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45832</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45832</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45832</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45832</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45832</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45832</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45832</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45832</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45832</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45832</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45832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45832</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45832</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45832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45832</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45832</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45832</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45832</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45832</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45832</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45832</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45832</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45832</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45832</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45832</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45832</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45832</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45832</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45832</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45832</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45832</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45832</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45832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45832</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45832</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45832</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45832</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45832</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45832</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45832</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45832</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45832</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45832</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45832</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45832</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45832</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45832</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45832</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45832</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45832</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45832</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45832</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45832</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45832</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45832</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45832</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45832</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45832</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45832</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45832</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45832</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45832</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45832</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45832</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45832</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45832</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45832</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45832</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45832</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45832</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45832</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45832</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45832</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45832</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45832</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45832</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45832</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45832</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45832</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45832</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45832</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45832</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45832</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45832</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45832</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45832</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45832</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45832</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45832</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45832</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45832</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45832</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45832</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45832</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45832</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45832</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45832</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45832</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45832</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45832</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45832</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45832</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45832</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45832</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45832</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45832</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45832</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45832</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45832</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45832</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45832</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45832</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45832</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45832</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45832</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45832</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45832</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45832</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45832</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45832</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45832</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45832</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45832</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45832</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45832</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45832</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45832</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45832</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45832</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45832</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45832</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45832</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45832</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45832</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45832</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45832</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45832</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45832</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45832</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45832</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45832</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45832</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45832</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45832</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45832</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45832</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45832</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45832</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45832</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45832</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45832</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45832</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45832</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45832</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45832</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45832</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45832</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45832</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45832</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45832</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45832</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45832</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45832</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45832</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45832</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45832</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45832</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45832</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45832</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45832</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45832</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45832</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45832</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45832</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45832</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45832</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45832</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45832</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45832</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45832</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45832</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45832</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45832</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45832</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45832</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45832</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45832</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45832</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45832</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45832</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45832</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45832</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45832</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45832</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45832</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45832</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45832</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45832</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45832</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45832</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45832</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45832</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45832</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45832</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45832</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45832</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45832</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45832</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45832</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45832</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45832</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45832</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45832</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45832</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45832</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45832</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45832</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45832</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45832</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45832</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45832</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45832</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45832</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45832</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45832</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45832</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45832</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45832</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45832</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45832</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45832</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45832</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45832</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45832</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45832</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45832</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45832</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45832</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45832</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45832</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45832</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45832</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45832</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45832</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45832</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45832</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45832</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45832</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45832</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45832</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45832</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45832</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45832</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45832</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45832</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45832</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45832</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45832</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45832</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45832</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45832</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45832</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45832</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45832</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45832</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45832</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45832</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45832</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45832</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45832</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45832</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45832</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45832</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45832</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45832</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45832</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45832</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45832</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45832</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45832</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45832</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45832</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45832</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45832</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45832</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45832</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45832</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45832</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25795-2025</t>
        </is>
      </c>
      <c r="B802" s="1" t="n">
        <v>45804</v>
      </c>
      <c r="C802" s="1" t="n">
        <v>45832</v>
      </c>
      <c r="D802" t="inlineStr">
        <is>
          <t>VÄSTRA GÖTALANDS LÄN</t>
        </is>
      </c>
      <c r="E802" t="inlineStr">
        <is>
          <t>DALS-ED</t>
        </is>
      </c>
      <c r="G802" t="n">
        <v>1.6</v>
      </c>
      <c r="H802" t="n">
        <v>0</v>
      </c>
      <c r="I802" t="n">
        <v>0</v>
      </c>
      <c r="J802" t="n">
        <v>0</v>
      </c>
      <c r="K802" t="n">
        <v>0</v>
      </c>
      <c r="L802" t="n">
        <v>0</v>
      </c>
      <c r="M802" t="n">
        <v>0</v>
      </c>
      <c r="N802" t="n">
        <v>0</v>
      </c>
      <c r="O802" t="n">
        <v>0</v>
      </c>
      <c r="P802" t="n">
        <v>0</v>
      </c>
      <c r="Q802" t="n">
        <v>0</v>
      </c>
      <c r="R802" s="2" t="inlineStr"/>
    </row>
    <row r="803" ht="15" customHeight="1">
      <c r="A803" t="inlineStr">
        <is>
          <t>A 25867-2025</t>
        </is>
      </c>
      <c r="B803" s="1" t="n">
        <v>45804</v>
      </c>
      <c r="C803" s="1" t="n">
        <v>45832</v>
      </c>
      <c r="D803" t="inlineStr">
        <is>
          <t>VÄSTRA GÖTALANDS LÄN</t>
        </is>
      </c>
      <c r="E803" t="inlineStr">
        <is>
          <t>DALS-ED</t>
        </is>
      </c>
      <c r="G803" t="n">
        <v>2.6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45832</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45832</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45832</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45832</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45832</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29790-2025</t>
        </is>
      </c>
      <c r="B809" s="1" t="n">
        <v>45825</v>
      </c>
      <c r="C809" s="1" t="n">
        <v>45832</v>
      </c>
      <c r="D809" t="inlineStr">
        <is>
          <t>VÄSTRA GÖTALANDS LÄN</t>
        </is>
      </c>
      <c r="E809" t="inlineStr">
        <is>
          <t>DALS-ED</t>
        </is>
      </c>
      <c r="G809" t="n">
        <v>2</v>
      </c>
      <c r="H809" t="n">
        <v>0</v>
      </c>
      <c r="I809" t="n">
        <v>0</v>
      </c>
      <c r="J809" t="n">
        <v>0</v>
      </c>
      <c r="K809" t="n">
        <v>0</v>
      </c>
      <c r="L809" t="n">
        <v>0</v>
      </c>
      <c r="M809" t="n">
        <v>0</v>
      </c>
      <c r="N809" t="n">
        <v>0</v>
      </c>
      <c r="O809" t="n">
        <v>0</v>
      </c>
      <c r="P809" t="n">
        <v>0</v>
      </c>
      <c r="Q809" t="n">
        <v>0</v>
      </c>
      <c r="R809" s="2" t="inlineStr"/>
    </row>
    <row r="810" ht="15" customHeight="1">
      <c r="A810" t="inlineStr">
        <is>
          <t>A 29556-2025</t>
        </is>
      </c>
      <c r="B810" s="1" t="n">
        <v>45825</v>
      </c>
      <c r="C810" s="1" t="n">
        <v>45832</v>
      </c>
      <c r="D810" t="inlineStr">
        <is>
          <t>VÄSTRA GÖTALANDS LÄN</t>
        </is>
      </c>
      <c r="E810" t="inlineStr">
        <is>
          <t>DALS-ED</t>
        </is>
      </c>
      <c r="G810" t="n">
        <v>5.9</v>
      </c>
      <c r="H810" t="n">
        <v>0</v>
      </c>
      <c r="I810" t="n">
        <v>0</v>
      </c>
      <c r="J810" t="n">
        <v>0</v>
      </c>
      <c r="K810" t="n">
        <v>0</v>
      </c>
      <c r="L810" t="n">
        <v>0</v>
      </c>
      <c r="M810" t="n">
        <v>0</v>
      </c>
      <c r="N810" t="n">
        <v>0</v>
      </c>
      <c r="O810" t="n">
        <v>0</v>
      </c>
      <c r="P810" t="n">
        <v>0</v>
      </c>
      <c r="Q810" t="n">
        <v>0</v>
      </c>
      <c r="R810" s="2" t="inlineStr"/>
    </row>
    <row r="811" ht="15" customHeight="1">
      <c r="A811" t="inlineStr">
        <is>
          <t>A 29686-2025</t>
        </is>
      </c>
      <c r="B811" s="1" t="n">
        <v>45825</v>
      </c>
      <c r="C811" s="1" t="n">
        <v>45832</v>
      </c>
      <c r="D811" t="inlineStr">
        <is>
          <t>VÄSTRA GÖTALANDS LÄN</t>
        </is>
      </c>
      <c r="E811" t="inlineStr">
        <is>
          <t>DALS-ED</t>
        </is>
      </c>
      <c r="G811" t="n">
        <v>3.7</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45832</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45832</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29675-2025</t>
        </is>
      </c>
      <c r="B814" s="1" t="n">
        <v>45825</v>
      </c>
      <c r="C814" s="1" t="n">
        <v>45832</v>
      </c>
      <c r="D814" t="inlineStr">
        <is>
          <t>VÄSTRA GÖTALANDS LÄN</t>
        </is>
      </c>
      <c r="E814" t="inlineStr">
        <is>
          <t>DALS-ED</t>
        </is>
      </c>
      <c r="G814" t="n">
        <v>13.5</v>
      </c>
      <c r="H814" t="n">
        <v>0</v>
      </c>
      <c r="I814" t="n">
        <v>0</v>
      </c>
      <c r="J814" t="n">
        <v>0</v>
      </c>
      <c r="K814" t="n">
        <v>0</v>
      </c>
      <c r="L814" t="n">
        <v>0</v>
      </c>
      <c r="M814" t="n">
        <v>0</v>
      </c>
      <c r="N814" t="n">
        <v>0</v>
      </c>
      <c r="O814" t="n">
        <v>0</v>
      </c>
      <c r="P814" t="n">
        <v>0</v>
      </c>
      <c r="Q814" t="n">
        <v>0</v>
      </c>
      <c r="R814" s="2" t="inlineStr"/>
    </row>
    <row r="815">
      <c r="A815" t="inlineStr">
        <is>
          <t>A 30708-2025</t>
        </is>
      </c>
      <c r="B815" s="1" t="n">
        <v>45831</v>
      </c>
      <c r="C815" s="1" t="n">
        <v>45832</v>
      </c>
      <c r="D815" t="inlineStr">
        <is>
          <t>VÄSTRA GÖTALANDS LÄN</t>
        </is>
      </c>
      <c r="E815" t="inlineStr">
        <is>
          <t>DALS-ED</t>
        </is>
      </c>
      <c r="G815" t="n">
        <v>1.8</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2025-06-24T19:56:04Z</dcterms:created>
  <dcterms:modified xmlns:dcterms="http://purl.org/dc/terms/" xmlns:xsi="http://www.w3.org/2001/XMLSchema-instance" xsi:type="dcterms:W3CDTF">2025-06-24T19:56:04Z</dcterms:modified>
</cp:coreProperties>
</file>