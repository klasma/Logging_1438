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45694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45694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45694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45694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45694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45694</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45694</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45694</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45694</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45694</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45694</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45694</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45694</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45694</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45694</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45694</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45694</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45694</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45694</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45694</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45694</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45694</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45694</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45694</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45694</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45694</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45694</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45694</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45694</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45694</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45694</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45694</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45694</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45694</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45694</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45694</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45694</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45694</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45694</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45694</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18329-2019</t>
        </is>
      </c>
      <c r="B42" s="1" t="n">
        <v>43558</v>
      </c>
      <c r="C42" s="1" t="n">
        <v>45694</v>
      </c>
      <c r="D42" t="inlineStr">
        <is>
          <t>VÄSTRA GÖTALANDS LÄN</t>
        </is>
      </c>
      <c r="E42" t="inlineStr">
        <is>
          <t>DALS-ED</t>
        </is>
      </c>
      <c r="F42" t="inlineStr">
        <is>
          <t>Kyrkan</t>
        </is>
      </c>
      <c r="G42" t="n">
        <v>1</v>
      </c>
      <c r="H42" t="n">
        <v>0</v>
      </c>
      <c r="I42" t="n">
        <v>0</v>
      </c>
      <c r="J42" t="n">
        <v>0</v>
      </c>
      <c r="K42" t="n">
        <v>0</v>
      </c>
      <c r="L42" t="n">
        <v>0</v>
      </c>
      <c r="M42" t="n">
        <v>0</v>
      </c>
      <c r="N42" t="n">
        <v>0</v>
      </c>
      <c r="O42" t="n">
        <v>0</v>
      </c>
      <c r="P42" t="n">
        <v>0</v>
      </c>
      <c r="Q42" t="n">
        <v>0</v>
      </c>
      <c r="R42" s="2" t="inlineStr"/>
    </row>
    <row r="43" ht="15" customHeight="1">
      <c r="A43" t="inlineStr">
        <is>
          <t>A 19644-2019</t>
        </is>
      </c>
      <c r="B43" s="1" t="n">
        <v>43566</v>
      </c>
      <c r="C43" s="1" t="n">
        <v>45694</v>
      </c>
      <c r="D43" t="inlineStr">
        <is>
          <t>VÄSTRA GÖTALANDS LÄN</t>
        </is>
      </c>
      <c r="E43" t="inlineStr">
        <is>
          <t>DALS-ED</t>
        </is>
      </c>
      <c r="G43" t="n">
        <v>1.8</v>
      </c>
      <c r="H43" t="n">
        <v>0</v>
      </c>
      <c r="I43" t="n">
        <v>0</v>
      </c>
      <c r="J43" t="n">
        <v>0</v>
      </c>
      <c r="K43" t="n">
        <v>0</v>
      </c>
      <c r="L43" t="n">
        <v>0</v>
      </c>
      <c r="M43" t="n">
        <v>0</v>
      </c>
      <c r="N43" t="n">
        <v>0</v>
      </c>
      <c r="O43" t="n">
        <v>0</v>
      </c>
      <c r="P43" t="n">
        <v>0</v>
      </c>
      <c r="Q43" t="n">
        <v>0</v>
      </c>
      <c r="R43" s="2" t="inlineStr"/>
    </row>
    <row r="44" ht="15" customHeight="1">
      <c r="A44" t="inlineStr">
        <is>
          <t>A 19639-2019</t>
        </is>
      </c>
      <c r="B44" s="1" t="n">
        <v>43566</v>
      </c>
      <c r="C44" s="1" t="n">
        <v>45694</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20074-2019</t>
        </is>
      </c>
      <c r="B45" s="1" t="n">
        <v>43570</v>
      </c>
      <c r="C45" s="1" t="n">
        <v>45694</v>
      </c>
      <c r="D45" t="inlineStr">
        <is>
          <t>VÄSTRA GÖTALANDS LÄN</t>
        </is>
      </c>
      <c r="E45" t="inlineStr">
        <is>
          <t>DALS-ED</t>
        </is>
      </c>
      <c r="G45" t="n">
        <v>0.6</v>
      </c>
      <c r="H45" t="n">
        <v>0</v>
      </c>
      <c r="I45" t="n">
        <v>0</v>
      </c>
      <c r="J45" t="n">
        <v>0</v>
      </c>
      <c r="K45" t="n">
        <v>0</v>
      </c>
      <c r="L45" t="n">
        <v>0</v>
      </c>
      <c r="M45" t="n">
        <v>0</v>
      </c>
      <c r="N45" t="n">
        <v>0</v>
      </c>
      <c r="O45" t="n">
        <v>0</v>
      </c>
      <c r="P45" t="n">
        <v>0</v>
      </c>
      <c r="Q45" t="n">
        <v>0</v>
      </c>
      <c r="R45" s="2" t="inlineStr"/>
    </row>
    <row r="46" ht="15" customHeight="1">
      <c r="A46" t="inlineStr">
        <is>
          <t>A 20286-2019</t>
        </is>
      </c>
      <c r="B46" s="1" t="n">
        <v>43571</v>
      </c>
      <c r="C46" s="1" t="n">
        <v>45694</v>
      </c>
      <c r="D46" t="inlineStr">
        <is>
          <t>VÄSTRA GÖTALANDS LÄN</t>
        </is>
      </c>
      <c r="E46" t="inlineStr">
        <is>
          <t>DALS-ED</t>
        </is>
      </c>
      <c r="G46" t="n">
        <v>2.1</v>
      </c>
      <c r="H46" t="n">
        <v>0</v>
      </c>
      <c r="I46" t="n">
        <v>0</v>
      </c>
      <c r="J46" t="n">
        <v>0</v>
      </c>
      <c r="K46" t="n">
        <v>0</v>
      </c>
      <c r="L46" t="n">
        <v>0</v>
      </c>
      <c r="M46" t="n">
        <v>0</v>
      </c>
      <c r="N46" t="n">
        <v>0</v>
      </c>
      <c r="O46" t="n">
        <v>0</v>
      </c>
      <c r="P46" t="n">
        <v>0</v>
      </c>
      <c r="Q46" t="n">
        <v>0</v>
      </c>
      <c r="R46" s="2" t="inlineStr"/>
    </row>
    <row r="47" ht="15" customHeight="1">
      <c r="A47" t="inlineStr">
        <is>
          <t>A 20979-2019</t>
        </is>
      </c>
      <c r="B47" s="1" t="n">
        <v>43578</v>
      </c>
      <c r="C47" s="1" t="n">
        <v>45694</v>
      </c>
      <c r="D47" t="inlineStr">
        <is>
          <t>VÄSTRA GÖTALANDS LÄN</t>
        </is>
      </c>
      <c r="E47" t="inlineStr">
        <is>
          <t>DALS-ED</t>
        </is>
      </c>
      <c r="G47" t="n">
        <v>1.4</v>
      </c>
      <c r="H47" t="n">
        <v>0</v>
      </c>
      <c r="I47" t="n">
        <v>0</v>
      </c>
      <c r="J47" t="n">
        <v>0</v>
      </c>
      <c r="K47" t="n">
        <v>0</v>
      </c>
      <c r="L47" t="n">
        <v>0</v>
      </c>
      <c r="M47" t="n">
        <v>0</v>
      </c>
      <c r="N47" t="n">
        <v>0</v>
      </c>
      <c r="O47" t="n">
        <v>0</v>
      </c>
      <c r="P47" t="n">
        <v>0</v>
      </c>
      <c r="Q47" t="n">
        <v>0</v>
      </c>
      <c r="R47" s="2" t="inlineStr"/>
    </row>
    <row r="48" ht="15" customHeight="1">
      <c r="A48" t="inlineStr">
        <is>
          <t>A 22554-2019</t>
        </is>
      </c>
      <c r="B48" s="1" t="n">
        <v>43587</v>
      </c>
      <c r="C48" s="1" t="n">
        <v>45694</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23597-2019</t>
        </is>
      </c>
      <c r="B49" s="1" t="n">
        <v>43587</v>
      </c>
      <c r="C49" s="1" t="n">
        <v>45694</v>
      </c>
      <c r="D49" t="inlineStr">
        <is>
          <t>VÄSTRA GÖTALANDS LÄN</t>
        </is>
      </c>
      <c r="E49" t="inlineStr">
        <is>
          <t>DALS-ED</t>
        </is>
      </c>
      <c r="G49" t="n">
        <v>2.8</v>
      </c>
      <c r="H49" t="n">
        <v>0</v>
      </c>
      <c r="I49" t="n">
        <v>0</v>
      </c>
      <c r="J49" t="n">
        <v>0</v>
      </c>
      <c r="K49" t="n">
        <v>0</v>
      </c>
      <c r="L49" t="n">
        <v>0</v>
      </c>
      <c r="M49" t="n">
        <v>0</v>
      </c>
      <c r="N49" t="n">
        <v>0</v>
      </c>
      <c r="O49" t="n">
        <v>0</v>
      </c>
      <c r="P49" t="n">
        <v>0</v>
      </c>
      <c r="Q49" t="n">
        <v>0</v>
      </c>
      <c r="R49" s="2" t="inlineStr"/>
    </row>
    <row r="50" ht="15" customHeight="1">
      <c r="A50" t="inlineStr">
        <is>
          <t>A 23634-2019</t>
        </is>
      </c>
      <c r="B50" s="1" t="n">
        <v>43587</v>
      </c>
      <c r="C50" s="1" t="n">
        <v>45694</v>
      </c>
      <c r="D50" t="inlineStr">
        <is>
          <t>VÄSTRA GÖTALANDS LÄN</t>
        </is>
      </c>
      <c r="E50" t="inlineStr">
        <is>
          <t>DALS-ED</t>
        </is>
      </c>
      <c r="G50" t="n">
        <v>1.1</v>
      </c>
      <c r="H50" t="n">
        <v>0</v>
      </c>
      <c r="I50" t="n">
        <v>0</v>
      </c>
      <c r="J50" t="n">
        <v>0</v>
      </c>
      <c r="K50" t="n">
        <v>0</v>
      </c>
      <c r="L50" t="n">
        <v>0</v>
      </c>
      <c r="M50" t="n">
        <v>0</v>
      </c>
      <c r="N50" t="n">
        <v>0</v>
      </c>
      <c r="O50" t="n">
        <v>0</v>
      </c>
      <c r="P50" t="n">
        <v>0</v>
      </c>
      <c r="Q50" t="n">
        <v>0</v>
      </c>
      <c r="R50" s="2" t="inlineStr"/>
    </row>
    <row r="51" ht="15" customHeight="1">
      <c r="A51" t="inlineStr">
        <is>
          <t>A 22667-2019</t>
        </is>
      </c>
      <c r="B51" s="1" t="n">
        <v>43587</v>
      </c>
      <c r="C51" s="1" t="n">
        <v>45694</v>
      </c>
      <c r="D51" t="inlineStr">
        <is>
          <t>VÄSTRA GÖTALANDS LÄN</t>
        </is>
      </c>
      <c r="E51" t="inlineStr">
        <is>
          <t>DALS-ED</t>
        </is>
      </c>
      <c r="G51" t="n">
        <v>4.7</v>
      </c>
      <c r="H51" t="n">
        <v>0</v>
      </c>
      <c r="I51" t="n">
        <v>0</v>
      </c>
      <c r="J51" t="n">
        <v>0</v>
      </c>
      <c r="K51" t="n">
        <v>0</v>
      </c>
      <c r="L51" t="n">
        <v>0</v>
      </c>
      <c r="M51" t="n">
        <v>0</v>
      </c>
      <c r="N51" t="n">
        <v>0</v>
      </c>
      <c r="O51" t="n">
        <v>0</v>
      </c>
      <c r="P51" t="n">
        <v>0</v>
      </c>
      <c r="Q51" t="n">
        <v>0</v>
      </c>
      <c r="R51" s="2" t="inlineStr"/>
    </row>
    <row r="52" ht="15" customHeight="1">
      <c r="A52" t="inlineStr">
        <is>
          <t>A 23623-2019</t>
        </is>
      </c>
      <c r="B52" s="1" t="n">
        <v>43587</v>
      </c>
      <c r="C52" s="1" t="n">
        <v>45694</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22662-2019</t>
        </is>
      </c>
      <c r="B53" s="1" t="n">
        <v>43587</v>
      </c>
      <c r="C53" s="1" t="n">
        <v>45694</v>
      </c>
      <c r="D53" t="inlineStr">
        <is>
          <t>VÄSTRA GÖTALANDS LÄN</t>
        </is>
      </c>
      <c r="E53" t="inlineStr">
        <is>
          <t>DALS-ED</t>
        </is>
      </c>
      <c r="G53" t="n">
        <v>3.6</v>
      </c>
      <c r="H53" t="n">
        <v>0</v>
      </c>
      <c r="I53" t="n">
        <v>0</v>
      </c>
      <c r="J53" t="n">
        <v>0</v>
      </c>
      <c r="K53" t="n">
        <v>0</v>
      </c>
      <c r="L53" t="n">
        <v>0</v>
      </c>
      <c r="M53" t="n">
        <v>0</v>
      </c>
      <c r="N53" t="n">
        <v>0</v>
      </c>
      <c r="O53" t="n">
        <v>0</v>
      </c>
      <c r="P53" t="n">
        <v>0</v>
      </c>
      <c r="Q53" t="n">
        <v>0</v>
      </c>
      <c r="R53" s="2" t="inlineStr"/>
    </row>
    <row r="54" ht="15" customHeight="1">
      <c r="A54" t="inlineStr">
        <is>
          <t>A 22851-2019</t>
        </is>
      </c>
      <c r="B54" s="1" t="n">
        <v>43591</v>
      </c>
      <c r="C54" s="1" t="n">
        <v>45694</v>
      </c>
      <c r="D54" t="inlineStr">
        <is>
          <t>VÄSTRA GÖTALANDS LÄN</t>
        </is>
      </c>
      <c r="E54" t="inlineStr">
        <is>
          <t>DALS-ED</t>
        </is>
      </c>
      <c r="G54" t="n">
        <v>1.2</v>
      </c>
      <c r="H54" t="n">
        <v>0</v>
      </c>
      <c r="I54" t="n">
        <v>0</v>
      </c>
      <c r="J54" t="n">
        <v>0</v>
      </c>
      <c r="K54" t="n">
        <v>0</v>
      </c>
      <c r="L54" t="n">
        <v>0</v>
      </c>
      <c r="M54" t="n">
        <v>0</v>
      </c>
      <c r="N54" t="n">
        <v>0</v>
      </c>
      <c r="O54" t="n">
        <v>0</v>
      </c>
      <c r="P54" t="n">
        <v>0</v>
      </c>
      <c r="Q54" t="n">
        <v>0</v>
      </c>
      <c r="R54" s="2" t="inlineStr"/>
    </row>
    <row r="55" ht="15" customHeight="1">
      <c r="A55" t="inlineStr">
        <is>
          <t>A 26262-2019</t>
        </is>
      </c>
      <c r="B55" s="1" t="n">
        <v>43610</v>
      </c>
      <c r="C55" s="1" t="n">
        <v>45694</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27112-2019</t>
        </is>
      </c>
      <c r="B56" s="1" t="n">
        <v>43612</v>
      </c>
      <c r="C56" s="1" t="n">
        <v>45694</v>
      </c>
      <c r="D56" t="inlineStr">
        <is>
          <t>VÄSTRA GÖTALANDS LÄN</t>
        </is>
      </c>
      <c r="E56" t="inlineStr">
        <is>
          <t>DALS-ED</t>
        </is>
      </c>
      <c r="G56" t="n">
        <v>11.5</v>
      </c>
      <c r="H56" t="n">
        <v>0</v>
      </c>
      <c r="I56" t="n">
        <v>0</v>
      </c>
      <c r="J56" t="n">
        <v>0</v>
      </c>
      <c r="K56" t="n">
        <v>0</v>
      </c>
      <c r="L56" t="n">
        <v>0</v>
      </c>
      <c r="M56" t="n">
        <v>0</v>
      </c>
      <c r="N56" t="n">
        <v>0</v>
      </c>
      <c r="O56" t="n">
        <v>0</v>
      </c>
      <c r="P56" t="n">
        <v>0</v>
      </c>
      <c r="Q56" t="n">
        <v>0</v>
      </c>
      <c r="R56" s="2" t="inlineStr"/>
    </row>
    <row r="57" ht="15" customHeight="1">
      <c r="A57" t="inlineStr">
        <is>
          <t>A 30280-2019</t>
        </is>
      </c>
      <c r="B57" s="1" t="n">
        <v>43633</v>
      </c>
      <c r="C57" s="1" t="n">
        <v>45694</v>
      </c>
      <c r="D57" t="inlineStr">
        <is>
          <t>VÄSTRA GÖTALANDS LÄN</t>
        </is>
      </c>
      <c r="E57" t="inlineStr">
        <is>
          <t>DALS-ED</t>
        </is>
      </c>
      <c r="G57" t="n">
        <v>1.4</v>
      </c>
      <c r="H57" t="n">
        <v>0</v>
      </c>
      <c r="I57" t="n">
        <v>0</v>
      </c>
      <c r="J57" t="n">
        <v>0</v>
      </c>
      <c r="K57" t="n">
        <v>0</v>
      </c>
      <c r="L57" t="n">
        <v>0</v>
      </c>
      <c r="M57" t="n">
        <v>0</v>
      </c>
      <c r="N57" t="n">
        <v>0</v>
      </c>
      <c r="O57" t="n">
        <v>0</v>
      </c>
      <c r="P57" t="n">
        <v>0</v>
      </c>
      <c r="Q57" t="n">
        <v>0</v>
      </c>
      <c r="R57" s="2" t="inlineStr"/>
    </row>
    <row r="58" ht="15" customHeight="1">
      <c r="A58" t="inlineStr">
        <is>
          <t>A 30458-2019</t>
        </is>
      </c>
      <c r="B58" s="1" t="n">
        <v>43633</v>
      </c>
      <c r="C58" s="1" t="n">
        <v>45694</v>
      </c>
      <c r="D58" t="inlineStr">
        <is>
          <t>VÄSTRA GÖTALANDS LÄN</t>
        </is>
      </c>
      <c r="E58" t="inlineStr">
        <is>
          <t>DALS-ED</t>
        </is>
      </c>
      <c r="G58" t="n">
        <v>5.6</v>
      </c>
      <c r="H58" t="n">
        <v>0</v>
      </c>
      <c r="I58" t="n">
        <v>0</v>
      </c>
      <c r="J58" t="n">
        <v>0</v>
      </c>
      <c r="K58" t="n">
        <v>0</v>
      </c>
      <c r="L58" t="n">
        <v>0</v>
      </c>
      <c r="M58" t="n">
        <v>0</v>
      </c>
      <c r="N58" t="n">
        <v>0</v>
      </c>
      <c r="O58" t="n">
        <v>0</v>
      </c>
      <c r="P58" t="n">
        <v>0</v>
      </c>
      <c r="Q58" t="n">
        <v>0</v>
      </c>
      <c r="R58" s="2" t="inlineStr"/>
    </row>
    <row r="59" ht="15" customHeight="1">
      <c r="A59" t="inlineStr">
        <is>
          <t>A 31950-2019</t>
        </is>
      </c>
      <c r="B59" s="1" t="n">
        <v>43643</v>
      </c>
      <c r="C59" s="1" t="n">
        <v>45694</v>
      </c>
      <c r="D59" t="inlineStr">
        <is>
          <t>VÄSTRA GÖTALANDS LÄN</t>
        </is>
      </c>
      <c r="E59" t="inlineStr">
        <is>
          <t>DALS-ED</t>
        </is>
      </c>
      <c r="G59" t="n">
        <v>9.6</v>
      </c>
      <c r="H59" t="n">
        <v>0</v>
      </c>
      <c r="I59" t="n">
        <v>0</v>
      </c>
      <c r="J59" t="n">
        <v>0</v>
      </c>
      <c r="K59" t="n">
        <v>0</v>
      </c>
      <c r="L59" t="n">
        <v>0</v>
      </c>
      <c r="M59" t="n">
        <v>0</v>
      </c>
      <c r="N59" t="n">
        <v>0</v>
      </c>
      <c r="O59" t="n">
        <v>0</v>
      </c>
      <c r="P59" t="n">
        <v>0</v>
      </c>
      <c r="Q59" t="n">
        <v>0</v>
      </c>
      <c r="R59" s="2" t="inlineStr"/>
    </row>
    <row r="60" ht="15" customHeight="1">
      <c r="A60" t="inlineStr">
        <is>
          <t>A 32345-2019</t>
        </is>
      </c>
      <c r="B60" s="1" t="n">
        <v>43644</v>
      </c>
      <c r="C60" s="1" t="n">
        <v>45694</v>
      </c>
      <c r="D60" t="inlineStr">
        <is>
          <t>VÄSTRA GÖTALANDS LÄN</t>
        </is>
      </c>
      <c r="E60" t="inlineStr">
        <is>
          <t>DALS-ED</t>
        </is>
      </c>
      <c r="G60" t="n">
        <v>2.9</v>
      </c>
      <c r="H60" t="n">
        <v>0</v>
      </c>
      <c r="I60" t="n">
        <v>0</v>
      </c>
      <c r="J60" t="n">
        <v>0</v>
      </c>
      <c r="K60" t="n">
        <v>0</v>
      </c>
      <c r="L60" t="n">
        <v>0</v>
      </c>
      <c r="M60" t="n">
        <v>0</v>
      </c>
      <c r="N60" t="n">
        <v>0</v>
      </c>
      <c r="O60" t="n">
        <v>0</v>
      </c>
      <c r="P60" t="n">
        <v>0</v>
      </c>
      <c r="Q60" t="n">
        <v>0</v>
      </c>
      <c r="R60" s="2" t="inlineStr"/>
    </row>
    <row r="61" ht="15" customHeight="1">
      <c r="A61" t="inlineStr">
        <is>
          <t>A 33501-2019</t>
        </is>
      </c>
      <c r="B61" s="1" t="n">
        <v>43651</v>
      </c>
      <c r="C61" s="1" t="n">
        <v>45694</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33500-2019</t>
        </is>
      </c>
      <c r="B62" s="1" t="n">
        <v>43651</v>
      </c>
      <c r="C62" s="1" t="n">
        <v>45694</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34607-2019</t>
        </is>
      </c>
      <c r="B63" s="1" t="n">
        <v>43657</v>
      </c>
      <c r="C63" s="1" t="n">
        <v>45694</v>
      </c>
      <c r="D63" t="inlineStr">
        <is>
          <t>VÄSTRA GÖTALANDS LÄN</t>
        </is>
      </c>
      <c r="E63" t="inlineStr">
        <is>
          <t>DALS-ED</t>
        </is>
      </c>
      <c r="G63" t="n">
        <v>2.2</v>
      </c>
      <c r="H63" t="n">
        <v>0</v>
      </c>
      <c r="I63" t="n">
        <v>0</v>
      </c>
      <c r="J63" t="n">
        <v>0</v>
      </c>
      <c r="K63" t="n">
        <v>0</v>
      </c>
      <c r="L63" t="n">
        <v>0</v>
      </c>
      <c r="M63" t="n">
        <v>0</v>
      </c>
      <c r="N63" t="n">
        <v>0</v>
      </c>
      <c r="O63" t="n">
        <v>0</v>
      </c>
      <c r="P63" t="n">
        <v>0</v>
      </c>
      <c r="Q63" t="n">
        <v>0</v>
      </c>
      <c r="R63" s="2" t="inlineStr"/>
    </row>
    <row r="64" ht="15" customHeight="1">
      <c r="A64" t="inlineStr">
        <is>
          <t>A 38502-2019</t>
        </is>
      </c>
      <c r="B64" s="1" t="n">
        <v>43685</v>
      </c>
      <c r="C64" s="1" t="n">
        <v>45694</v>
      </c>
      <c r="D64" t="inlineStr">
        <is>
          <t>VÄSTRA GÖTALANDS LÄN</t>
        </is>
      </c>
      <c r="E64" t="inlineStr">
        <is>
          <t>DALS-ED</t>
        </is>
      </c>
      <c r="G64" t="n">
        <v>15.9</v>
      </c>
      <c r="H64" t="n">
        <v>0</v>
      </c>
      <c r="I64" t="n">
        <v>0</v>
      </c>
      <c r="J64" t="n">
        <v>0</v>
      </c>
      <c r="K64" t="n">
        <v>0</v>
      </c>
      <c r="L64" t="n">
        <v>0</v>
      </c>
      <c r="M64" t="n">
        <v>0</v>
      </c>
      <c r="N64" t="n">
        <v>0</v>
      </c>
      <c r="O64" t="n">
        <v>0</v>
      </c>
      <c r="P64" t="n">
        <v>0</v>
      </c>
      <c r="Q64" t="n">
        <v>0</v>
      </c>
      <c r="R64" s="2" t="inlineStr"/>
    </row>
    <row r="65" ht="15" customHeight="1">
      <c r="A65" t="inlineStr">
        <is>
          <t>A 38512-2019</t>
        </is>
      </c>
      <c r="B65" s="1" t="n">
        <v>43685</v>
      </c>
      <c r="C65" s="1" t="n">
        <v>45694</v>
      </c>
      <c r="D65" t="inlineStr">
        <is>
          <t>VÄSTRA GÖTALANDS LÄN</t>
        </is>
      </c>
      <c r="E65" t="inlineStr">
        <is>
          <t>DALS-ED</t>
        </is>
      </c>
      <c r="G65" t="n">
        <v>24.8</v>
      </c>
      <c r="H65" t="n">
        <v>0</v>
      </c>
      <c r="I65" t="n">
        <v>0</v>
      </c>
      <c r="J65" t="n">
        <v>0</v>
      </c>
      <c r="K65" t="n">
        <v>0</v>
      </c>
      <c r="L65" t="n">
        <v>0</v>
      </c>
      <c r="M65" t="n">
        <v>0</v>
      </c>
      <c r="N65" t="n">
        <v>0</v>
      </c>
      <c r="O65" t="n">
        <v>0</v>
      </c>
      <c r="P65" t="n">
        <v>0</v>
      </c>
      <c r="Q65" t="n">
        <v>0</v>
      </c>
      <c r="R65" s="2" t="inlineStr"/>
    </row>
    <row r="66" ht="15" customHeight="1">
      <c r="A66" t="inlineStr">
        <is>
          <t>A 39062-2019</t>
        </is>
      </c>
      <c r="B66" s="1" t="n">
        <v>43689</v>
      </c>
      <c r="C66" s="1" t="n">
        <v>45694</v>
      </c>
      <c r="D66" t="inlineStr">
        <is>
          <t>VÄSTRA GÖTALANDS LÄN</t>
        </is>
      </c>
      <c r="E66" t="inlineStr">
        <is>
          <t>DALS-ED</t>
        </is>
      </c>
      <c r="F66" t="inlineStr">
        <is>
          <t>Övriga Aktiebolag</t>
        </is>
      </c>
      <c r="G66" t="n">
        <v>0.4</v>
      </c>
      <c r="H66" t="n">
        <v>0</v>
      </c>
      <c r="I66" t="n">
        <v>0</v>
      </c>
      <c r="J66" t="n">
        <v>0</v>
      </c>
      <c r="K66" t="n">
        <v>0</v>
      </c>
      <c r="L66" t="n">
        <v>0</v>
      </c>
      <c r="M66" t="n">
        <v>0</v>
      </c>
      <c r="N66" t="n">
        <v>0</v>
      </c>
      <c r="O66" t="n">
        <v>0</v>
      </c>
      <c r="P66" t="n">
        <v>0</v>
      </c>
      <c r="Q66" t="n">
        <v>0</v>
      </c>
      <c r="R66" s="2" t="inlineStr"/>
    </row>
    <row r="67" ht="15" customHeight="1">
      <c r="A67" t="inlineStr">
        <is>
          <t>A 42213-2019</t>
        </is>
      </c>
      <c r="B67" s="1" t="n">
        <v>43698</v>
      </c>
      <c r="C67" s="1" t="n">
        <v>45694</v>
      </c>
      <c r="D67" t="inlineStr">
        <is>
          <t>VÄSTRA GÖTALANDS LÄN</t>
        </is>
      </c>
      <c r="E67" t="inlineStr">
        <is>
          <t>DALS-ED</t>
        </is>
      </c>
      <c r="G67" t="n">
        <v>5.4</v>
      </c>
      <c r="H67" t="n">
        <v>0</v>
      </c>
      <c r="I67" t="n">
        <v>0</v>
      </c>
      <c r="J67" t="n">
        <v>0</v>
      </c>
      <c r="K67" t="n">
        <v>0</v>
      </c>
      <c r="L67" t="n">
        <v>0</v>
      </c>
      <c r="M67" t="n">
        <v>0</v>
      </c>
      <c r="N67" t="n">
        <v>0</v>
      </c>
      <c r="O67" t="n">
        <v>0</v>
      </c>
      <c r="P67" t="n">
        <v>0</v>
      </c>
      <c r="Q67" t="n">
        <v>0</v>
      </c>
      <c r="R67" s="2" t="inlineStr"/>
    </row>
    <row r="68" ht="15" customHeight="1">
      <c r="A68" t="inlineStr">
        <is>
          <t>A 43847-2019</t>
        </is>
      </c>
      <c r="B68" s="1" t="n">
        <v>43707</v>
      </c>
      <c r="C68" s="1" t="n">
        <v>45694</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46829-2019</t>
        </is>
      </c>
      <c r="B69" s="1" t="n">
        <v>43720</v>
      </c>
      <c r="C69" s="1" t="n">
        <v>45694</v>
      </c>
      <c r="D69" t="inlineStr">
        <is>
          <t>VÄSTRA GÖTALANDS LÄN</t>
        </is>
      </c>
      <c r="E69" t="inlineStr">
        <is>
          <t>DALS-ED</t>
        </is>
      </c>
      <c r="G69" t="n">
        <v>2.4</v>
      </c>
      <c r="H69" t="n">
        <v>0</v>
      </c>
      <c r="I69" t="n">
        <v>0</v>
      </c>
      <c r="J69" t="n">
        <v>0</v>
      </c>
      <c r="K69" t="n">
        <v>0</v>
      </c>
      <c r="L69" t="n">
        <v>0</v>
      </c>
      <c r="M69" t="n">
        <v>0</v>
      </c>
      <c r="N69" t="n">
        <v>0</v>
      </c>
      <c r="O69" t="n">
        <v>0</v>
      </c>
      <c r="P69" t="n">
        <v>0</v>
      </c>
      <c r="Q69" t="n">
        <v>0</v>
      </c>
      <c r="R69" s="2" t="inlineStr"/>
    </row>
    <row r="70" ht="15" customHeight="1">
      <c r="A70" t="inlineStr">
        <is>
          <t>A 46969-2019</t>
        </is>
      </c>
      <c r="B70" s="1" t="n">
        <v>43720</v>
      </c>
      <c r="C70" s="1" t="n">
        <v>45694</v>
      </c>
      <c r="D70" t="inlineStr">
        <is>
          <t>VÄSTRA GÖTALANDS LÄN</t>
        </is>
      </c>
      <c r="E70" t="inlineStr">
        <is>
          <t>DALS-ED</t>
        </is>
      </c>
      <c r="G70" t="n">
        <v>4.1</v>
      </c>
      <c r="H70" t="n">
        <v>0</v>
      </c>
      <c r="I70" t="n">
        <v>0</v>
      </c>
      <c r="J70" t="n">
        <v>0</v>
      </c>
      <c r="K70" t="n">
        <v>0</v>
      </c>
      <c r="L70" t="n">
        <v>0</v>
      </c>
      <c r="M70" t="n">
        <v>0</v>
      </c>
      <c r="N70" t="n">
        <v>0</v>
      </c>
      <c r="O70" t="n">
        <v>0</v>
      </c>
      <c r="P70" t="n">
        <v>0</v>
      </c>
      <c r="Q70" t="n">
        <v>0</v>
      </c>
      <c r="R70" s="2" t="inlineStr"/>
    </row>
    <row r="71" ht="15" customHeight="1">
      <c r="A71" t="inlineStr">
        <is>
          <t>A 51591-2019</t>
        </is>
      </c>
      <c r="B71" s="1" t="n">
        <v>43740</v>
      </c>
      <c r="C71" s="1" t="n">
        <v>45694</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53697-2019</t>
        </is>
      </c>
      <c r="B72" s="1" t="n">
        <v>43741</v>
      </c>
      <c r="C72" s="1" t="n">
        <v>45694</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53043-2019</t>
        </is>
      </c>
      <c r="B73" s="1" t="n">
        <v>43747</v>
      </c>
      <c r="C73" s="1" t="n">
        <v>45694</v>
      </c>
      <c r="D73" t="inlineStr">
        <is>
          <t>VÄSTRA GÖTALANDS LÄN</t>
        </is>
      </c>
      <c r="E73" t="inlineStr">
        <is>
          <t>DALS-ED</t>
        </is>
      </c>
      <c r="G73" t="n">
        <v>2.7</v>
      </c>
      <c r="H73" t="n">
        <v>0</v>
      </c>
      <c r="I73" t="n">
        <v>0</v>
      </c>
      <c r="J73" t="n">
        <v>0</v>
      </c>
      <c r="K73" t="n">
        <v>0</v>
      </c>
      <c r="L73" t="n">
        <v>0</v>
      </c>
      <c r="M73" t="n">
        <v>0</v>
      </c>
      <c r="N73" t="n">
        <v>0</v>
      </c>
      <c r="O73" t="n">
        <v>0</v>
      </c>
      <c r="P73" t="n">
        <v>0</v>
      </c>
      <c r="Q73" t="n">
        <v>0</v>
      </c>
      <c r="R73" s="2" t="inlineStr"/>
    </row>
    <row r="74" ht="15" customHeight="1">
      <c r="A74" t="inlineStr">
        <is>
          <t>A 58120-2019</t>
        </is>
      </c>
      <c r="B74" s="1" t="n">
        <v>43766</v>
      </c>
      <c r="C74" s="1" t="n">
        <v>45694</v>
      </c>
      <c r="D74" t="inlineStr">
        <is>
          <t>VÄSTRA GÖTALANDS LÄN</t>
        </is>
      </c>
      <c r="E74" t="inlineStr">
        <is>
          <t>DALS-ED</t>
        </is>
      </c>
      <c r="G74" t="n">
        <v>4.9</v>
      </c>
      <c r="H74" t="n">
        <v>0</v>
      </c>
      <c r="I74" t="n">
        <v>0</v>
      </c>
      <c r="J74" t="n">
        <v>0</v>
      </c>
      <c r="K74" t="n">
        <v>0</v>
      </c>
      <c r="L74" t="n">
        <v>0</v>
      </c>
      <c r="M74" t="n">
        <v>0</v>
      </c>
      <c r="N74" t="n">
        <v>0</v>
      </c>
      <c r="O74" t="n">
        <v>0</v>
      </c>
      <c r="P74" t="n">
        <v>0</v>
      </c>
      <c r="Q74" t="n">
        <v>0</v>
      </c>
      <c r="R74" s="2" t="inlineStr"/>
    </row>
    <row r="75" ht="15" customHeight="1">
      <c r="A75" t="inlineStr">
        <is>
          <t>A 56957-2019</t>
        </is>
      </c>
      <c r="B75" s="1" t="n">
        <v>43766</v>
      </c>
      <c r="C75" s="1" t="n">
        <v>45694</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57953-2019</t>
        </is>
      </c>
      <c r="B76" s="1" t="n">
        <v>43769</v>
      </c>
      <c r="C76" s="1" t="n">
        <v>45694</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57954-2019</t>
        </is>
      </c>
      <c r="B77" s="1" t="n">
        <v>43769</v>
      </c>
      <c r="C77" s="1" t="n">
        <v>45694</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60276-2019</t>
        </is>
      </c>
      <c r="B78" s="1" t="n">
        <v>43776</v>
      </c>
      <c r="C78" s="1" t="n">
        <v>45694</v>
      </c>
      <c r="D78" t="inlineStr">
        <is>
          <t>VÄSTRA GÖTALANDS LÄN</t>
        </is>
      </c>
      <c r="E78" t="inlineStr">
        <is>
          <t>DALS-ED</t>
        </is>
      </c>
      <c r="F78" t="inlineStr">
        <is>
          <t>Kyrkan</t>
        </is>
      </c>
      <c r="G78" t="n">
        <v>4.9</v>
      </c>
      <c r="H78" t="n">
        <v>0</v>
      </c>
      <c r="I78" t="n">
        <v>0</v>
      </c>
      <c r="J78" t="n">
        <v>0</v>
      </c>
      <c r="K78" t="n">
        <v>0</v>
      </c>
      <c r="L78" t="n">
        <v>0</v>
      </c>
      <c r="M78" t="n">
        <v>0</v>
      </c>
      <c r="N78" t="n">
        <v>0</v>
      </c>
      <c r="O78" t="n">
        <v>0</v>
      </c>
      <c r="P78" t="n">
        <v>0</v>
      </c>
      <c r="Q78" t="n">
        <v>0</v>
      </c>
      <c r="R78" s="2" t="inlineStr"/>
    </row>
    <row r="79" ht="15" customHeight="1">
      <c r="A79" t="inlineStr">
        <is>
          <t>A 60680-2019</t>
        </is>
      </c>
      <c r="B79" s="1" t="n">
        <v>43781</v>
      </c>
      <c r="C79" s="1" t="n">
        <v>45694</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61245-2019</t>
        </is>
      </c>
      <c r="B80" s="1" t="n">
        <v>43783</v>
      </c>
      <c r="C80" s="1" t="n">
        <v>45694</v>
      </c>
      <c r="D80" t="inlineStr">
        <is>
          <t>VÄSTRA GÖTALANDS LÄN</t>
        </is>
      </c>
      <c r="E80" t="inlineStr">
        <is>
          <t>DALS-ED</t>
        </is>
      </c>
      <c r="G80" t="n">
        <v>5.6</v>
      </c>
      <c r="H80" t="n">
        <v>0</v>
      </c>
      <c r="I80" t="n">
        <v>0</v>
      </c>
      <c r="J80" t="n">
        <v>0</v>
      </c>
      <c r="K80" t="n">
        <v>0</v>
      </c>
      <c r="L80" t="n">
        <v>0</v>
      </c>
      <c r="M80" t="n">
        <v>0</v>
      </c>
      <c r="N80" t="n">
        <v>0</v>
      </c>
      <c r="O80" t="n">
        <v>0</v>
      </c>
      <c r="P80" t="n">
        <v>0</v>
      </c>
      <c r="Q80" t="n">
        <v>0</v>
      </c>
      <c r="R80" s="2" t="inlineStr"/>
    </row>
    <row r="81" ht="15" customHeight="1">
      <c r="A81" t="inlineStr">
        <is>
          <t>A 62146-2019</t>
        </is>
      </c>
      <c r="B81" s="1" t="n">
        <v>43787</v>
      </c>
      <c r="C81" s="1" t="n">
        <v>45694</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63317-2019</t>
        </is>
      </c>
      <c r="B82" s="1" t="n">
        <v>43787</v>
      </c>
      <c r="C82" s="1" t="n">
        <v>45694</v>
      </c>
      <c r="D82" t="inlineStr">
        <is>
          <t>VÄSTRA GÖTALANDS LÄN</t>
        </is>
      </c>
      <c r="E82" t="inlineStr">
        <is>
          <t>DALS-ED</t>
        </is>
      </c>
      <c r="F82" t="inlineStr">
        <is>
          <t>Kyrkan</t>
        </is>
      </c>
      <c r="G82" t="n">
        <v>1.7</v>
      </c>
      <c r="H82" t="n">
        <v>0</v>
      </c>
      <c r="I82" t="n">
        <v>0</v>
      </c>
      <c r="J82" t="n">
        <v>0</v>
      </c>
      <c r="K82" t="n">
        <v>0</v>
      </c>
      <c r="L82" t="n">
        <v>0</v>
      </c>
      <c r="M82" t="n">
        <v>0</v>
      </c>
      <c r="N82" t="n">
        <v>0</v>
      </c>
      <c r="O82" t="n">
        <v>0</v>
      </c>
      <c r="P82" t="n">
        <v>0</v>
      </c>
      <c r="Q82" t="n">
        <v>0</v>
      </c>
      <c r="R82" s="2" t="inlineStr"/>
    </row>
    <row r="83" ht="15" customHeight="1">
      <c r="A83" t="inlineStr">
        <is>
          <t>A 62277-2019</t>
        </is>
      </c>
      <c r="B83" s="1" t="n">
        <v>43788</v>
      </c>
      <c r="C83" s="1" t="n">
        <v>45694</v>
      </c>
      <c r="D83" t="inlineStr">
        <is>
          <t>VÄSTRA GÖTALANDS LÄN</t>
        </is>
      </c>
      <c r="E83" t="inlineStr">
        <is>
          <t>DALS-ED</t>
        </is>
      </c>
      <c r="G83" t="n">
        <v>7.2</v>
      </c>
      <c r="H83" t="n">
        <v>0</v>
      </c>
      <c r="I83" t="n">
        <v>0</v>
      </c>
      <c r="J83" t="n">
        <v>0</v>
      </c>
      <c r="K83" t="n">
        <v>0</v>
      </c>
      <c r="L83" t="n">
        <v>0</v>
      </c>
      <c r="M83" t="n">
        <v>0</v>
      </c>
      <c r="N83" t="n">
        <v>0</v>
      </c>
      <c r="O83" t="n">
        <v>0</v>
      </c>
      <c r="P83" t="n">
        <v>0</v>
      </c>
      <c r="Q83" t="n">
        <v>0</v>
      </c>
      <c r="R83" s="2" t="inlineStr"/>
    </row>
    <row r="84" ht="15" customHeight="1">
      <c r="A84" t="inlineStr">
        <is>
          <t>A 64700-2019</t>
        </is>
      </c>
      <c r="B84" s="1" t="n">
        <v>43798</v>
      </c>
      <c r="C84" s="1" t="n">
        <v>45694</v>
      </c>
      <c r="D84" t="inlineStr">
        <is>
          <t>VÄSTRA GÖTALANDS LÄN</t>
        </is>
      </c>
      <c r="E84" t="inlineStr">
        <is>
          <t>DALS-ED</t>
        </is>
      </c>
      <c r="G84" t="n">
        <v>3.2</v>
      </c>
      <c r="H84" t="n">
        <v>0</v>
      </c>
      <c r="I84" t="n">
        <v>0</v>
      </c>
      <c r="J84" t="n">
        <v>0</v>
      </c>
      <c r="K84" t="n">
        <v>0</v>
      </c>
      <c r="L84" t="n">
        <v>0</v>
      </c>
      <c r="M84" t="n">
        <v>0</v>
      </c>
      <c r="N84" t="n">
        <v>0</v>
      </c>
      <c r="O84" t="n">
        <v>0</v>
      </c>
      <c r="P84" t="n">
        <v>0</v>
      </c>
      <c r="Q84" t="n">
        <v>0</v>
      </c>
      <c r="R84" s="2" t="inlineStr"/>
    </row>
    <row r="85" ht="15" customHeight="1">
      <c r="A85" t="inlineStr">
        <is>
          <t>A 65437-2019</t>
        </is>
      </c>
      <c r="B85" s="1" t="n">
        <v>43803</v>
      </c>
      <c r="C85" s="1" t="n">
        <v>45694</v>
      </c>
      <c r="D85" t="inlineStr">
        <is>
          <t>VÄSTRA GÖTALANDS LÄN</t>
        </is>
      </c>
      <c r="E85" t="inlineStr">
        <is>
          <t>DALS-ED</t>
        </is>
      </c>
      <c r="G85" t="n">
        <v>4.6</v>
      </c>
      <c r="H85" t="n">
        <v>0</v>
      </c>
      <c r="I85" t="n">
        <v>0</v>
      </c>
      <c r="J85" t="n">
        <v>0</v>
      </c>
      <c r="K85" t="n">
        <v>0</v>
      </c>
      <c r="L85" t="n">
        <v>0</v>
      </c>
      <c r="M85" t="n">
        <v>0</v>
      </c>
      <c r="N85" t="n">
        <v>0</v>
      </c>
      <c r="O85" t="n">
        <v>0</v>
      </c>
      <c r="P85" t="n">
        <v>0</v>
      </c>
      <c r="Q85" t="n">
        <v>0</v>
      </c>
      <c r="R85" s="2" t="inlineStr"/>
    </row>
    <row r="86" ht="15" customHeight="1">
      <c r="A86" t="inlineStr">
        <is>
          <t>A 67868-2019</t>
        </is>
      </c>
      <c r="B86" s="1" t="n">
        <v>43816</v>
      </c>
      <c r="C86" s="1" t="n">
        <v>45694</v>
      </c>
      <c r="D86" t="inlineStr">
        <is>
          <t>VÄSTRA GÖTALANDS LÄN</t>
        </is>
      </c>
      <c r="E86" t="inlineStr">
        <is>
          <t>DALS-ED</t>
        </is>
      </c>
      <c r="G86" t="n">
        <v>3.6</v>
      </c>
      <c r="H86" t="n">
        <v>0</v>
      </c>
      <c r="I86" t="n">
        <v>0</v>
      </c>
      <c r="J86" t="n">
        <v>0</v>
      </c>
      <c r="K86" t="n">
        <v>0</v>
      </c>
      <c r="L86" t="n">
        <v>0</v>
      </c>
      <c r="M86" t="n">
        <v>0</v>
      </c>
      <c r="N86" t="n">
        <v>0</v>
      </c>
      <c r="O86" t="n">
        <v>0</v>
      </c>
      <c r="P86" t="n">
        <v>0</v>
      </c>
      <c r="Q86" t="n">
        <v>0</v>
      </c>
      <c r="R86" s="2" t="inlineStr"/>
    </row>
    <row r="87" ht="15" customHeight="1">
      <c r="A87" t="inlineStr">
        <is>
          <t>A 4601-2020</t>
        </is>
      </c>
      <c r="B87" s="1" t="n">
        <v>43851</v>
      </c>
      <c r="C87" s="1" t="n">
        <v>45694</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5324-2020</t>
        </is>
      </c>
      <c r="B88" s="1" t="n">
        <v>43857</v>
      </c>
      <c r="C88" s="1" t="n">
        <v>45694</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6322-2020</t>
        </is>
      </c>
      <c r="B89" s="1" t="n">
        <v>43866</v>
      </c>
      <c r="C89" s="1" t="n">
        <v>45694</v>
      </c>
      <c r="D89" t="inlineStr">
        <is>
          <t>VÄSTRA GÖTALANDS LÄN</t>
        </is>
      </c>
      <c r="E89" t="inlineStr">
        <is>
          <t>DALS-ED</t>
        </is>
      </c>
      <c r="G89" t="n">
        <v>7.4</v>
      </c>
      <c r="H89" t="n">
        <v>0</v>
      </c>
      <c r="I89" t="n">
        <v>0</v>
      </c>
      <c r="J89" t="n">
        <v>0</v>
      </c>
      <c r="K89" t="n">
        <v>0</v>
      </c>
      <c r="L89" t="n">
        <v>0</v>
      </c>
      <c r="M89" t="n">
        <v>0</v>
      </c>
      <c r="N89" t="n">
        <v>0</v>
      </c>
      <c r="O89" t="n">
        <v>0</v>
      </c>
      <c r="P89" t="n">
        <v>0</v>
      </c>
      <c r="Q89" t="n">
        <v>0</v>
      </c>
      <c r="R89" s="2" t="inlineStr"/>
    </row>
    <row r="90" ht="15" customHeight="1">
      <c r="A90" t="inlineStr">
        <is>
          <t>A 7594-2020</t>
        </is>
      </c>
      <c r="B90" s="1" t="n">
        <v>43871</v>
      </c>
      <c r="C90" s="1" t="n">
        <v>45694</v>
      </c>
      <c r="D90" t="inlineStr">
        <is>
          <t>VÄSTRA GÖTALANDS LÄN</t>
        </is>
      </c>
      <c r="E90" t="inlineStr">
        <is>
          <t>DALS-ED</t>
        </is>
      </c>
      <c r="G90" t="n">
        <v>3.2</v>
      </c>
      <c r="H90" t="n">
        <v>0</v>
      </c>
      <c r="I90" t="n">
        <v>0</v>
      </c>
      <c r="J90" t="n">
        <v>0</v>
      </c>
      <c r="K90" t="n">
        <v>0</v>
      </c>
      <c r="L90" t="n">
        <v>0</v>
      </c>
      <c r="M90" t="n">
        <v>0</v>
      </c>
      <c r="N90" t="n">
        <v>0</v>
      </c>
      <c r="O90" t="n">
        <v>0</v>
      </c>
      <c r="P90" t="n">
        <v>0</v>
      </c>
      <c r="Q90" t="n">
        <v>0</v>
      </c>
      <c r="R90" s="2" t="inlineStr"/>
    </row>
    <row r="91" ht="15" customHeight="1">
      <c r="A91" t="inlineStr">
        <is>
          <t>A 7522-2020</t>
        </is>
      </c>
      <c r="B91" s="1" t="n">
        <v>43872</v>
      </c>
      <c r="C91" s="1" t="n">
        <v>45694</v>
      </c>
      <c r="D91" t="inlineStr">
        <is>
          <t>VÄSTRA GÖTALANDS LÄN</t>
        </is>
      </c>
      <c r="E91" t="inlineStr">
        <is>
          <t>DALS-ED</t>
        </is>
      </c>
      <c r="F91" t="inlineStr">
        <is>
          <t>Kommuner</t>
        </is>
      </c>
      <c r="G91" t="n">
        <v>5.5</v>
      </c>
      <c r="H91" t="n">
        <v>0</v>
      </c>
      <c r="I91" t="n">
        <v>0</v>
      </c>
      <c r="J91" t="n">
        <v>0</v>
      </c>
      <c r="K91" t="n">
        <v>0</v>
      </c>
      <c r="L91" t="n">
        <v>0</v>
      </c>
      <c r="M91" t="n">
        <v>0</v>
      </c>
      <c r="N91" t="n">
        <v>0</v>
      </c>
      <c r="O91" t="n">
        <v>0</v>
      </c>
      <c r="P91" t="n">
        <v>0</v>
      </c>
      <c r="Q91" t="n">
        <v>0</v>
      </c>
      <c r="R91" s="2" t="inlineStr"/>
    </row>
    <row r="92" ht="15" customHeight="1">
      <c r="A92" t="inlineStr">
        <is>
          <t>A 7534-2020</t>
        </is>
      </c>
      <c r="B92" s="1" t="n">
        <v>43872</v>
      </c>
      <c r="C92" s="1" t="n">
        <v>45694</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7771-2020</t>
        </is>
      </c>
      <c r="B93" s="1" t="n">
        <v>43872</v>
      </c>
      <c r="C93" s="1" t="n">
        <v>45694</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9713-2020</t>
        </is>
      </c>
      <c r="B94" s="1" t="n">
        <v>43881</v>
      </c>
      <c r="C94" s="1" t="n">
        <v>45694</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9715-2020</t>
        </is>
      </c>
      <c r="B95" s="1" t="n">
        <v>43881</v>
      </c>
      <c r="C95" s="1" t="n">
        <v>45694</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9709-2020</t>
        </is>
      </c>
      <c r="B96" s="1" t="n">
        <v>43881</v>
      </c>
      <c r="C96" s="1" t="n">
        <v>45694</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10433-2020</t>
        </is>
      </c>
      <c r="B97" s="1" t="n">
        <v>43886</v>
      </c>
      <c r="C97" s="1" t="n">
        <v>45694</v>
      </c>
      <c r="D97" t="inlineStr">
        <is>
          <t>VÄSTRA GÖTALANDS LÄN</t>
        </is>
      </c>
      <c r="E97" t="inlineStr">
        <is>
          <t>DALS-ED</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11366-2020</t>
        </is>
      </c>
      <c r="B98" s="1" t="n">
        <v>43886</v>
      </c>
      <c r="C98" s="1" t="n">
        <v>45694</v>
      </c>
      <c r="D98" t="inlineStr">
        <is>
          <t>VÄSTRA GÖTALANDS LÄN</t>
        </is>
      </c>
      <c r="E98" t="inlineStr">
        <is>
          <t>DALS-ED</t>
        </is>
      </c>
      <c r="G98" t="n">
        <v>1.3</v>
      </c>
      <c r="H98" t="n">
        <v>0</v>
      </c>
      <c r="I98" t="n">
        <v>0</v>
      </c>
      <c r="J98" t="n">
        <v>0</v>
      </c>
      <c r="K98" t="n">
        <v>0</v>
      </c>
      <c r="L98" t="n">
        <v>0</v>
      </c>
      <c r="M98" t="n">
        <v>0</v>
      </c>
      <c r="N98" t="n">
        <v>0</v>
      </c>
      <c r="O98" t="n">
        <v>0</v>
      </c>
      <c r="P98" t="n">
        <v>0</v>
      </c>
      <c r="Q98" t="n">
        <v>0</v>
      </c>
      <c r="R98" s="2" t="inlineStr"/>
    </row>
    <row r="99" ht="15" customHeight="1">
      <c r="A99" t="inlineStr">
        <is>
          <t>A 11370-2020</t>
        </is>
      </c>
      <c r="B99" s="1" t="n">
        <v>43886</v>
      </c>
      <c r="C99" s="1" t="n">
        <v>45694</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11080-2020</t>
        </is>
      </c>
      <c r="B100" s="1" t="n">
        <v>43889</v>
      </c>
      <c r="C100" s="1" t="n">
        <v>45694</v>
      </c>
      <c r="D100" t="inlineStr">
        <is>
          <t>VÄSTRA GÖTALANDS LÄN</t>
        </is>
      </c>
      <c r="E100" t="inlineStr">
        <is>
          <t>DALS-ED</t>
        </is>
      </c>
      <c r="G100" t="n">
        <v>4.4</v>
      </c>
      <c r="H100" t="n">
        <v>0</v>
      </c>
      <c r="I100" t="n">
        <v>0</v>
      </c>
      <c r="J100" t="n">
        <v>0</v>
      </c>
      <c r="K100" t="n">
        <v>0</v>
      </c>
      <c r="L100" t="n">
        <v>0</v>
      </c>
      <c r="M100" t="n">
        <v>0</v>
      </c>
      <c r="N100" t="n">
        <v>0</v>
      </c>
      <c r="O100" t="n">
        <v>0</v>
      </c>
      <c r="P100" t="n">
        <v>0</v>
      </c>
      <c r="Q100" t="n">
        <v>0</v>
      </c>
      <c r="R100" s="2" t="inlineStr"/>
    </row>
    <row r="101" ht="15" customHeight="1">
      <c r="A101" t="inlineStr">
        <is>
          <t>A 11091-2020</t>
        </is>
      </c>
      <c r="B101" s="1" t="n">
        <v>43889</v>
      </c>
      <c r="C101" s="1" t="n">
        <v>45694</v>
      </c>
      <c r="D101" t="inlineStr">
        <is>
          <t>VÄSTRA GÖTALANDS LÄN</t>
        </is>
      </c>
      <c r="E101" t="inlineStr">
        <is>
          <t>DALS-ED</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13421-2020</t>
        </is>
      </c>
      <c r="B102" s="1" t="n">
        <v>43894</v>
      </c>
      <c r="C102" s="1" t="n">
        <v>45694</v>
      </c>
      <c r="D102" t="inlineStr">
        <is>
          <t>VÄSTRA GÖTALANDS LÄN</t>
        </is>
      </c>
      <c r="E102" t="inlineStr">
        <is>
          <t>DALS-ED</t>
        </is>
      </c>
      <c r="G102" t="n">
        <v>2.9</v>
      </c>
      <c r="H102" t="n">
        <v>0</v>
      </c>
      <c r="I102" t="n">
        <v>0</v>
      </c>
      <c r="J102" t="n">
        <v>0</v>
      </c>
      <c r="K102" t="n">
        <v>0</v>
      </c>
      <c r="L102" t="n">
        <v>0</v>
      </c>
      <c r="M102" t="n">
        <v>0</v>
      </c>
      <c r="N102" t="n">
        <v>0</v>
      </c>
      <c r="O102" t="n">
        <v>0</v>
      </c>
      <c r="P102" t="n">
        <v>0</v>
      </c>
      <c r="Q102" t="n">
        <v>0</v>
      </c>
      <c r="R102" s="2" t="inlineStr"/>
    </row>
    <row r="103" ht="15" customHeight="1">
      <c r="A103" t="inlineStr">
        <is>
          <t>A 12582-2020</t>
        </is>
      </c>
      <c r="B103" s="1" t="n">
        <v>43899</v>
      </c>
      <c r="C103" s="1" t="n">
        <v>45694</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12586-2020</t>
        </is>
      </c>
      <c r="B104" s="1" t="n">
        <v>43899</v>
      </c>
      <c r="C104" s="1" t="n">
        <v>45694</v>
      </c>
      <c r="D104" t="inlineStr">
        <is>
          <t>VÄSTRA GÖTALANDS LÄN</t>
        </is>
      </c>
      <c r="E104" t="inlineStr">
        <is>
          <t>DALS-ED</t>
        </is>
      </c>
      <c r="G104" t="n">
        <v>0.8</v>
      </c>
      <c r="H104" t="n">
        <v>0</v>
      </c>
      <c r="I104" t="n">
        <v>0</v>
      </c>
      <c r="J104" t="n">
        <v>0</v>
      </c>
      <c r="K104" t="n">
        <v>0</v>
      </c>
      <c r="L104" t="n">
        <v>0</v>
      </c>
      <c r="M104" t="n">
        <v>0</v>
      </c>
      <c r="N104" t="n">
        <v>0</v>
      </c>
      <c r="O104" t="n">
        <v>0</v>
      </c>
      <c r="P104" t="n">
        <v>0</v>
      </c>
      <c r="Q104" t="n">
        <v>0</v>
      </c>
      <c r="R104" s="2" t="inlineStr"/>
    </row>
    <row r="105" ht="15" customHeight="1">
      <c r="A105" t="inlineStr">
        <is>
          <t>A 13127-2020</t>
        </is>
      </c>
      <c r="B105" s="1" t="n">
        <v>43901</v>
      </c>
      <c r="C105" s="1" t="n">
        <v>45694</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13134-2020</t>
        </is>
      </c>
      <c r="B106" s="1" t="n">
        <v>43901</v>
      </c>
      <c r="C106" s="1" t="n">
        <v>45694</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14603-2020</t>
        </is>
      </c>
      <c r="B107" s="1" t="n">
        <v>43901</v>
      </c>
      <c r="C107" s="1" t="n">
        <v>45694</v>
      </c>
      <c r="D107" t="inlineStr">
        <is>
          <t>VÄSTRA GÖTALANDS LÄN</t>
        </is>
      </c>
      <c r="E107" t="inlineStr">
        <is>
          <t>DALS-ED</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14413-2020</t>
        </is>
      </c>
      <c r="B108" s="1" t="n">
        <v>43908</v>
      </c>
      <c r="C108" s="1" t="n">
        <v>45694</v>
      </c>
      <c r="D108" t="inlineStr">
        <is>
          <t>VÄSTRA GÖTALANDS LÄN</t>
        </is>
      </c>
      <c r="E108" t="inlineStr">
        <is>
          <t>DALS-ED</t>
        </is>
      </c>
      <c r="G108" t="n">
        <v>5.9</v>
      </c>
      <c r="H108" t="n">
        <v>0</v>
      </c>
      <c r="I108" t="n">
        <v>0</v>
      </c>
      <c r="J108" t="n">
        <v>0</v>
      </c>
      <c r="K108" t="n">
        <v>0</v>
      </c>
      <c r="L108" t="n">
        <v>0</v>
      </c>
      <c r="M108" t="n">
        <v>0</v>
      </c>
      <c r="N108" t="n">
        <v>0</v>
      </c>
      <c r="O108" t="n">
        <v>0</v>
      </c>
      <c r="P108" t="n">
        <v>0</v>
      </c>
      <c r="Q108" t="n">
        <v>0</v>
      </c>
      <c r="R108" s="2" t="inlineStr"/>
    </row>
    <row r="109" ht="15" customHeight="1">
      <c r="A109" t="inlineStr">
        <is>
          <t>A 14568-2020</t>
        </is>
      </c>
      <c r="B109" s="1" t="n">
        <v>43908</v>
      </c>
      <c r="C109" s="1" t="n">
        <v>45694</v>
      </c>
      <c r="D109" t="inlineStr">
        <is>
          <t>VÄSTRA GÖTALANDS LÄN</t>
        </is>
      </c>
      <c r="E109" t="inlineStr">
        <is>
          <t>DALS-ED</t>
        </is>
      </c>
      <c r="G109" t="n">
        <v>1.7</v>
      </c>
      <c r="H109" t="n">
        <v>0</v>
      </c>
      <c r="I109" t="n">
        <v>0</v>
      </c>
      <c r="J109" t="n">
        <v>0</v>
      </c>
      <c r="K109" t="n">
        <v>0</v>
      </c>
      <c r="L109" t="n">
        <v>0</v>
      </c>
      <c r="M109" t="n">
        <v>0</v>
      </c>
      <c r="N109" t="n">
        <v>0</v>
      </c>
      <c r="O109" t="n">
        <v>0</v>
      </c>
      <c r="P109" t="n">
        <v>0</v>
      </c>
      <c r="Q109" t="n">
        <v>0</v>
      </c>
      <c r="R109" s="2" t="inlineStr"/>
    </row>
    <row r="110" ht="15" customHeight="1">
      <c r="A110" t="inlineStr">
        <is>
          <t>A 14646-2020</t>
        </is>
      </c>
      <c r="B110" s="1" t="n">
        <v>43909</v>
      </c>
      <c r="C110" s="1" t="n">
        <v>45694</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15841-2020</t>
        </is>
      </c>
      <c r="B111" s="1" t="n">
        <v>43915</v>
      </c>
      <c r="C111" s="1" t="n">
        <v>45694</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15819-2020</t>
        </is>
      </c>
      <c r="B112" s="1" t="n">
        <v>43915</v>
      </c>
      <c r="C112" s="1" t="n">
        <v>45694</v>
      </c>
      <c r="D112" t="inlineStr">
        <is>
          <t>VÄSTRA GÖTALANDS LÄN</t>
        </is>
      </c>
      <c r="E112" t="inlineStr">
        <is>
          <t>DALS-ED</t>
        </is>
      </c>
      <c r="G112" t="n">
        <v>10.1</v>
      </c>
      <c r="H112" t="n">
        <v>0</v>
      </c>
      <c r="I112" t="n">
        <v>0</v>
      </c>
      <c r="J112" t="n">
        <v>0</v>
      </c>
      <c r="K112" t="n">
        <v>0</v>
      </c>
      <c r="L112" t="n">
        <v>0</v>
      </c>
      <c r="M112" t="n">
        <v>0</v>
      </c>
      <c r="N112" t="n">
        <v>0</v>
      </c>
      <c r="O112" t="n">
        <v>0</v>
      </c>
      <c r="P112" t="n">
        <v>0</v>
      </c>
      <c r="Q112" t="n">
        <v>0</v>
      </c>
      <c r="R112" s="2" t="inlineStr"/>
    </row>
    <row r="113" ht="15" customHeight="1">
      <c r="A113" t="inlineStr">
        <is>
          <t>A 15827-2020</t>
        </is>
      </c>
      <c r="B113" s="1" t="n">
        <v>43915</v>
      </c>
      <c r="C113" s="1" t="n">
        <v>45694</v>
      </c>
      <c r="D113" t="inlineStr">
        <is>
          <t>VÄSTRA GÖTALANDS LÄN</t>
        </is>
      </c>
      <c r="E113" t="inlineStr">
        <is>
          <t>DALS-ED</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16256-2020</t>
        </is>
      </c>
      <c r="B114" s="1" t="n">
        <v>43917</v>
      </c>
      <c r="C114" s="1" t="n">
        <v>45694</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16411-2020</t>
        </is>
      </c>
      <c r="B115" s="1" t="n">
        <v>43918</v>
      </c>
      <c r="C115" s="1" t="n">
        <v>45694</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17539-2020</t>
        </is>
      </c>
      <c r="B116" s="1" t="n">
        <v>43923</v>
      </c>
      <c r="C116" s="1" t="n">
        <v>45694</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17537-2020</t>
        </is>
      </c>
      <c r="B117" s="1" t="n">
        <v>43923</v>
      </c>
      <c r="C117" s="1" t="n">
        <v>45694</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17839-2020</t>
        </is>
      </c>
      <c r="B118" s="1" t="n">
        <v>43924</v>
      </c>
      <c r="C118" s="1" t="n">
        <v>45694</v>
      </c>
      <c r="D118" t="inlineStr">
        <is>
          <t>VÄSTRA GÖTALANDS LÄN</t>
        </is>
      </c>
      <c r="E118" t="inlineStr">
        <is>
          <t>DALS-ED</t>
        </is>
      </c>
      <c r="G118" t="n">
        <v>2.3</v>
      </c>
      <c r="H118" t="n">
        <v>0</v>
      </c>
      <c r="I118" t="n">
        <v>0</v>
      </c>
      <c r="J118" t="n">
        <v>0</v>
      </c>
      <c r="K118" t="n">
        <v>0</v>
      </c>
      <c r="L118" t="n">
        <v>0</v>
      </c>
      <c r="M118" t="n">
        <v>0</v>
      </c>
      <c r="N118" t="n">
        <v>0</v>
      </c>
      <c r="O118" t="n">
        <v>0</v>
      </c>
      <c r="P118" t="n">
        <v>0</v>
      </c>
      <c r="Q118" t="n">
        <v>0</v>
      </c>
      <c r="R118" s="2" t="inlineStr"/>
    </row>
    <row r="119" ht="15" customHeight="1">
      <c r="A119" t="inlineStr">
        <is>
          <t>A 18152-2020</t>
        </is>
      </c>
      <c r="B119" s="1" t="n">
        <v>43927</v>
      </c>
      <c r="C119" s="1" t="n">
        <v>45694</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19132-2020</t>
        </is>
      </c>
      <c r="B120" s="1" t="n">
        <v>43936</v>
      </c>
      <c r="C120" s="1" t="n">
        <v>45694</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20265-2020</t>
        </is>
      </c>
      <c r="B121" s="1" t="n">
        <v>43945</v>
      </c>
      <c r="C121" s="1" t="n">
        <v>45694</v>
      </c>
      <c r="D121" t="inlineStr">
        <is>
          <t>VÄSTRA GÖTALANDS LÄN</t>
        </is>
      </c>
      <c r="E121" t="inlineStr">
        <is>
          <t>DALS-ED</t>
        </is>
      </c>
      <c r="G121" t="n">
        <v>3.9</v>
      </c>
      <c r="H121" t="n">
        <v>0</v>
      </c>
      <c r="I121" t="n">
        <v>0</v>
      </c>
      <c r="J121" t="n">
        <v>0</v>
      </c>
      <c r="K121" t="n">
        <v>0</v>
      </c>
      <c r="L121" t="n">
        <v>0</v>
      </c>
      <c r="M121" t="n">
        <v>0</v>
      </c>
      <c r="N121" t="n">
        <v>0</v>
      </c>
      <c r="O121" t="n">
        <v>0</v>
      </c>
      <c r="P121" t="n">
        <v>0</v>
      </c>
      <c r="Q121" t="n">
        <v>0</v>
      </c>
      <c r="R121" s="2" t="inlineStr"/>
    </row>
    <row r="122" ht="15" customHeight="1">
      <c r="A122" t="inlineStr">
        <is>
          <t>A 20470-2020</t>
        </is>
      </c>
      <c r="B122" s="1" t="n">
        <v>43945</v>
      </c>
      <c r="C122" s="1" t="n">
        <v>45694</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20966-2020</t>
        </is>
      </c>
      <c r="B123" s="1" t="n">
        <v>43950</v>
      </c>
      <c r="C123" s="1" t="n">
        <v>45694</v>
      </c>
      <c r="D123" t="inlineStr">
        <is>
          <t>VÄSTRA GÖTALANDS LÄN</t>
        </is>
      </c>
      <c r="E123" t="inlineStr">
        <is>
          <t>DALS-ED</t>
        </is>
      </c>
      <c r="G123" t="n">
        <v>2.1</v>
      </c>
      <c r="H123" t="n">
        <v>0</v>
      </c>
      <c r="I123" t="n">
        <v>0</v>
      </c>
      <c r="J123" t="n">
        <v>0</v>
      </c>
      <c r="K123" t="n">
        <v>0</v>
      </c>
      <c r="L123" t="n">
        <v>0</v>
      </c>
      <c r="M123" t="n">
        <v>0</v>
      </c>
      <c r="N123" t="n">
        <v>0</v>
      </c>
      <c r="O123" t="n">
        <v>0</v>
      </c>
      <c r="P123" t="n">
        <v>0</v>
      </c>
      <c r="Q123" t="n">
        <v>0</v>
      </c>
      <c r="R123" s="2" t="inlineStr"/>
    </row>
    <row r="124" ht="15" customHeight="1">
      <c r="A124" t="inlineStr">
        <is>
          <t>A 20882-2020</t>
        </is>
      </c>
      <c r="B124" s="1" t="n">
        <v>43950</v>
      </c>
      <c r="C124" s="1" t="n">
        <v>45694</v>
      </c>
      <c r="D124" t="inlineStr">
        <is>
          <t>VÄSTRA GÖTALANDS LÄN</t>
        </is>
      </c>
      <c r="E124" t="inlineStr">
        <is>
          <t>DALS-ED</t>
        </is>
      </c>
      <c r="G124" t="n">
        <v>10.2</v>
      </c>
      <c r="H124" t="n">
        <v>0</v>
      </c>
      <c r="I124" t="n">
        <v>0</v>
      </c>
      <c r="J124" t="n">
        <v>0</v>
      </c>
      <c r="K124" t="n">
        <v>0</v>
      </c>
      <c r="L124" t="n">
        <v>0</v>
      </c>
      <c r="M124" t="n">
        <v>0</v>
      </c>
      <c r="N124" t="n">
        <v>0</v>
      </c>
      <c r="O124" t="n">
        <v>0</v>
      </c>
      <c r="P124" t="n">
        <v>0</v>
      </c>
      <c r="Q124" t="n">
        <v>0</v>
      </c>
      <c r="R124" s="2" t="inlineStr"/>
    </row>
    <row r="125" ht="15" customHeight="1">
      <c r="A125" t="inlineStr">
        <is>
          <t>A 21253-2020</t>
        </is>
      </c>
      <c r="B125" s="1" t="n">
        <v>43955</v>
      </c>
      <c r="C125" s="1" t="n">
        <v>45694</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22559-2020</t>
        </is>
      </c>
      <c r="B126" s="1" t="n">
        <v>43959</v>
      </c>
      <c r="C126" s="1" t="n">
        <v>45694</v>
      </c>
      <c r="D126" t="inlineStr">
        <is>
          <t>VÄSTRA GÖTALANDS LÄN</t>
        </is>
      </c>
      <c r="E126" t="inlineStr">
        <is>
          <t>DALS-ED</t>
        </is>
      </c>
      <c r="F126" t="inlineStr">
        <is>
          <t>Kyrkan</t>
        </is>
      </c>
      <c r="G126" t="n">
        <v>3.7</v>
      </c>
      <c r="H126" t="n">
        <v>0</v>
      </c>
      <c r="I126" t="n">
        <v>0</v>
      </c>
      <c r="J126" t="n">
        <v>0</v>
      </c>
      <c r="K126" t="n">
        <v>0</v>
      </c>
      <c r="L126" t="n">
        <v>0</v>
      </c>
      <c r="M126" t="n">
        <v>0</v>
      </c>
      <c r="N126" t="n">
        <v>0</v>
      </c>
      <c r="O126" t="n">
        <v>0</v>
      </c>
      <c r="P126" t="n">
        <v>0</v>
      </c>
      <c r="Q126" t="n">
        <v>0</v>
      </c>
      <c r="R126" s="2" t="inlineStr"/>
    </row>
    <row r="127" ht="15" customHeight="1">
      <c r="A127" t="inlineStr">
        <is>
          <t>A 23239-2020</t>
        </is>
      </c>
      <c r="B127" s="1" t="n">
        <v>43964</v>
      </c>
      <c r="C127" s="1" t="n">
        <v>45694</v>
      </c>
      <c r="D127" t="inlineStr">
        <is>
          <t>VÄSTRA GÖTALANDS LÄN</t>
        </is>
      </c>
      <c r="E127" t="inlineStr">
        <is>
          <t>DALS-ED</t>
        </is>
      </c>
      <c r="G127" t="n">
        <v>5.5</v>
      </c>
      <c r="H127" t="n">
        <v>0</v>
      </c>
      <c r="I127" t="n">
        <v>0</v>
      </c>
      <c r="J127" t="n">
        <v>0</v>
      </c>
      <c r="K127" t="n">
        <v>0</v>
      </c>
      <c r="L127" t="n">
        <v>0</v>
      </c>
      <c r="M127" t="n">
        <v>0</v>
      </c>
      <c r="N127" t="n">
        <v>0</v>
      </c>
      <c r="O127" t="n">
        <v>0</v>
      </c>
      <c r="P127" t="n">
        <v>0</v>
      </c>
      <c r="Q127" t="n">
        <v>0</v>
      </c>
      <c r="R127" s="2" t="inlineStr"/>
    </row>
    <row r="128" ht="15" customHeight="1">
      <c r="A128" t="inlineStr">
        <is>
          <t>A 25847-2020</t>
        </is>
      </c>
      <c r="B128" s="1" t="n">
        <v>43983</v>
      </c>
      <c r="C128" s="1" t="n">
        <v>45694</v>
      </c>
      <c r="D128" t="inlineStr">
        <is>
          <t>VÄSTRA GÖTALANDS LÄN</t>
        </is>
      </c>
      <c r="E128" t="inlineStr">
        <is>
          <t>DALS-ED</t>
        </is>
      </c>
      <c r="G128" t="n">
        <v>3.4</v>
      </c>
      <c r="H128" t="n">
        <v>0</v>
      </c>
      <c r="I128" t="n">
        <v>0</v>
      </c>
      <c r="J128" t="n">
        <v>0</v>
      </c>
      <c r="K128" t="n">
        <v>0</v>
      </c>
      <c r="L128" t="n">
        <v>0</v>
      </c>
      <c r="M128" t="n">
        <v>0</v>
      </c>
      <c r="N128" t="n">
        <v>0</v>
      </c>
      <c r="O128" t="n">
        <v>0</v>
      </c>
      <c r="P128" t="n">
        <v>0</v>
      </c>
      <c r="Q128" t="n">
        <v>0</v>
      </c>
      <c r="R128" s="2" t="inlineStr"/>
    </row>
    <row r="129" ht="15" customHeight="1">
      <c r="A129" t="inlineStr">
        <is>
          <t>A 26804-2020</t>
        </is>
      </c>
      <c r="B129" s="1" t="n">
        <v>43987</v>
      </c>
      <c r="C129" s="1" t="n">
        <v>45694</v>
      </c>
      <c r="D129" t="inlineStr">
        <is>
          <t>VÄSTRA GÖTALANDS LÄN</t>
        </is>
      </c>
      <c r="E129" t="inlineStr">
        <is>
          <t>DALS-ED</t>
        </is>
      </c>
      <c r="G129" t="n">
        <v>3.3</v>
      </c>
      <c r="H129" t="n">
        <v>0</v>
      </c>
      <c r="I129" t="n">
        <v>0</v>
      </c>
      <c r="J129" t="n">
        <v>0</v>
      </c>
      <c r="K129" t="n">
        <v>0</v>
      </c>
      <c r="L129" t="n">
        <v>0</v>
      </c>
      <c r="M129" t="n">
        <v>0</v>
      </c>
      <c r="N129" t="n">
        <v>0</v>
      </c>
      <c r="O129" t="n">
        <v>0</v>
      </c>
      <c r="P129" t="n">
        <v>0</v>
      </c>
      <c r="Q129" t="n">
        <v>0</v>
      </c>
      <c r="R129" s="2" t="inlineStr"/>
    </row>
    <row r="130" ht="15" customHeight="1">
      <c r="A130" t="inlineStr">
        <is>
          <t>A 32111-2020</t>
        </is>
      </c>
      <c r="B130" s="1" t="n">
        <v>44014</v>
      </c>
      <c r="C130" s="1" t="n">
        <v>45694</v>
      </c>
      <c r="D130" t="inlineStr">
        <is>
          <t>VÄSTRA GÖTALANDS LÄN</t>
        </is>
      </c>
      <c r="E130" t="inlineStr">
        <is>
          <t>DALS-ED</t>
        </is>
      </c>
      <c r="F130" t="inlineStr">
        <is>
          <t>Kyrkan</t>
        </is>
      </c>
      <c r="G130" t="n">
        <v>4.9</v>
      </c>
      <c r="H130" t="n">
        <v>0</v>
      </c>
      <c r="I130" t="n">
        <v>0</v>
      </c>
      <c r="J130" t="n">
        <v>0</v>
      </c>
      <c r="K130" t="n">
        <v>0</v>
      </c>
      <c r="L130" t="n">
        <v>0</v>
      </c>
      <c r="M130" t="n">
        <v>0</v>
      </c>
      <c r="N130" t="n">
        <v>0</v>
      </c>
      <c r="O130" t="n">
        <v>0</v>
      </c>
      <c r="P130" t="n">
        <v>0</v>
      </c>
      <c r="Q130" t="n">
        <v>0</v>
      </c>
      <c r="R130" s="2" t="inlineStr"/>
    </row>
    <row r="131" ht="15" customHeight="1">
      <c r="A131" t="inlineStr">
        <is>
          <t>A 32100-2020</t>
        </is>
      </c>
      <c r="B131" s="1" t="n">
        <v>44014</v>
      </c>
      <c r="C131" s="1" t="n">
        <v>45694</v>
      </c>
      <c r="D131" t="inlineStr">
        <is>
          <t>VÄSTRA GÖTALANDS LÄN</t>
        </is>
      </c>
      <c r="E131" t="inlineStr">
        <is>
          <t>DALS-ED</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33377-2020</t>
        </is>
      </c>
      <c r="B132" s="1" t="n">
        <v>44021</v>
      </c>
      <c r="C132" s="1" t="n">
        <v>45694</v>
      </c>
      <c r="D132" t="inlineStr">
        <is>
          <t>VÄSTRA GÖTALANDS LÄN</t>
        </is>
      </c>
      <c r="E132" t="inlineStr">
        <is>
          <t>DALS-ED</t>
        </is>
      </c>
      <c r="G132" t="n">
        <v>4</v>
      </c>
      <c r="H132" t="n">
        <v>0</v>
      </c>
      <c r="I132" t="n">
        <v>0</v>
      </c>
      <c r="J132" t="n">
        <v>0</v>
      </c>
      <c r="K132" t="n">
        <v>0</v>
      </c>
      <c r="L132" t="n">
        <v>0</v>
      </c>
      <c r="M132" t="n">
        <v>0</v>
      </c>
      <c r="N132" t="n">
        <v>0</v>
      </c>
      <c r="O132" t="n">
        <v>0</v>
      </c>
      <c r="P132" t="n">
        <v>0</v>
      </c>
      <c r="Q132" t="n">
        <v>0</v>
      </c>
      <c r="R132" s="2" t="inlineStr"/>
    </row>
    <row r="133" ht="15" customHeight="1">
      <c r="A133" t="inlineStr">
        <is>
          <t>A 33698-2020</t>
        </is>
      </c>
      <c r="B133" s="1" t="n">
        <v>44022</v>
      </c>
      <c r="C133" s="1" t="n">
        <v>45694</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33706-2020</t>
        </is>
      </c>
      <c r="B134" s="1" t="n">
        <v>44022</v>
      </c>
      <c r="C134" s="1" t="n">
        <v>45694</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35885-2020</t>
        </is>
      </c>
      <c r="B135" s="1" t="n">
        <v>44047</v>
      </c>
      <c r="C135" s="1" t="n">
        <v>45694</v>
      </c>
      <c r="D135" t="inlineStr">
        <is>
          <t>VÄSTRA GÖTALANDS LÄN</t>
        </is>
      </c>
      <c r="E135" t="inlineStr">
        <is>
          <t>DALS-ED</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36266-2020</t>
        </is>
      </c>
      <c r="B136" s="1" t="n">
        <v>44049</v>
      </c>
      <c r="C136" s="1" t="n">
        <v>45694</v>
      </c>
      <c r="D136" t="inlineStr">
        <is>
          <t>VÄSTRA GÖTALANDS LÄN</t>
        </is>
      </c>
      <c r="E136" t="inlineStr">
        <is>
          <t>DALS-ED</t>
        </is>
      </c>
      <c r="G136" t="n">
        <v>5.7</v>
      </c>
      <c r="H136" t="n">
        <v>0</v>
      </c>
      <c r="I136" t="n">
        <v>0</v>
      </c>
      <c r="J136" t="n">
        <v>0</v>
      </c>
      <c r="K136" t="n">
        <v>0</v>
      </c>
      <c r="L136" t="n">
        <v>0</v>
      </c>
      <c r="M136" t="n">
        <v>0</v>
      </c>
      <c r="N136" t="n">
        <v>0</v>
      </c>
      <c r="O136" t="n">
        <v>0</v>
      </c>
      <c r="P136" t="n">
        <v>0</v>
      </c>
      <c r="Q136" t="n">
        <v>0</v>
      </c>
      <c r="R136" s="2" t="inlineStr"/>
    </row>
    <row r="137" ht="15" customHeight="1">
      <c r="A137" t="inlineStr">
        <is>
          <t>A 36260-2020</t>
        </is>
      </c>
      <c r="B137" s="1" t="n">
        <v>44049</v>
      </c>
      <c r="C137" s="1" t="n">
        <v>45694</v>
      </c>
      <c r="D137" t="inlineStr">
        <is>
          <t>VÄSTRA GÖTALANDS LÄN</t>
        </is>
      </c>
      <c r="E137" t="inlineStr">
        <is>
          <t>DALS-ED</t>
        </is>
      </c>
      <c r="G137" t="n">
        <v>13.6</v>
      </c>
      <c r="H137" t="n">
        <v>0</v>
      </c>
      <c r="I137" t="n">
        <v>0</v>
      </c>
      <c r="J137" t="n">
        <v>0</v>
      </c>
      <c r="K137" t="n">
        <v>0</v>
      </c>
      <c r="L137" t="n">
        <v>0</v>
      </c>
      <c r="M137" t="n">
        <v>0</v>
      </c>
      <c r="N137" t="n">
        <v>0</v>
      </c>
      <c r="O137" t="n">
        <v>0</v>
      </c>
      <c r="P137" t="n">
        <v>0</v>
      </c>
      <c r="Q137" t="n">
        <v>0</v>
      </c>
      <c r="R137" s="2" t="inlineStr"/>
      <c r="U137">
        <f>HYPERLINK("https://klasma.github.io/Logging_1438/knärot/A 36260-2020 karta knärot.png", "A 36260-2020")</f>
        <v/>
      </c>
      <c r="V137">
        <f>HYPERLINK("https://klasma.github.io/Logging_1438/klagomål/A 36260-2020 FSC-klagomål.docx", "A 36260-2020")</f>
        <v/>
      </c>
      <c r="W137">
        <f>HYPERLINK("https://klasma.github.io/Logging_1438/klagomålsmail/A 36260-2020 FSC-klagomål mail.docx", "A 36260-2020")</f>
        <v/>
      </c>
      <c r="X137">
        <f>HYPERLINK("https://klasma.github.io/Logging_1438/tillsyn/A 36260-2020 tillsynsbegäran.docx", "A 36260-2020")</f>
        <v/>
      </c>
      <c r="Y137">
        <f>HYPERLINK("https://klasma.github.io/Logging_1438/tillsynsmail/A 36260-2020 tillsynsbegäran mail.docx", "A 36260-2020")</f>
        <v/>
      </c>
    </row>
    <row r="138" ht="15" customHeight="1">
      <c r="A138" t="inlineStr">
        <is>
          <t>A 38892-2020</t>
        </is>
      </c>
      <c r="B138" s="1" t="n">
        <v>44062</v>
      </c>
      <c r="C138" s="1" t="n">
        <v>45694</v>
      </c>
      <c r="D138" t="inlineStr">
        <is>
          <t>VÄSTRA GÖTALANDS LÄN</t>
        </is>
      </c>
      <c r="E138" t="inlineStr">
        <is>
          <t>DALS-ED</t>
        </is>
      </c>
      <c r="G138" t="n">
        <v>3.8</v>
      </c>
      <c r="H138" t="n">
        <v>0</v>
      </c>
      <c r="I138" t="n">
        <v>0</v>
      </c>
      <c r="J138" t="n">
        <v>0</v>
      </c>
      <c r="K138" t="n">
        <v>0</v>
      </c>
      <c r="L138" t="n">
        <v>0</v>
      </c>
      <c r="M138" t="n">
        <v>0</v>
      </c>
      <c r="N138" t="n">
        <v>0</v>
      </c>
      <c r="O138" t="n">
        <v>0</v>
      </c>
      <c r="P138" t="n">
        <v>0</v>
      </c>
      <c r="Q138" t="n">
        <v>0</v>
      </c>
      <c r="R138" s="2" t="inlineStr"/>
    </row>
    <row r="139" ht="15" customHeight="1">
      <c r="A139" t="inlineStr">
        <is>
          <t>A 40706-2020</t>
        </is>
      </c>
      <c r="B139" s="1" t="n">
        <v>44069</v>
      </c>
      <c r="C139" s="1" t="n">
        <v>45694</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42497-2020</t>
        </is>
      </c>
      <c r="B140" s="1" t="n">
        <v>44077</v>
      </c>
      <c r="C140" s="1" t="n">
        <v>45694</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46213-2020</t>
        </is>
      </c>
      <c r="B141" s="1" t="n">
        <v>44092</v>
      </c>
      <c r="C141" s="1" t="n">
        <v>45694</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50118-2020</t>
        </is>
      </c>
      <c r="B142" s="1" t="n">
        <v>44109</v>
      </c>
      <c r="C142" s="1" t="n">
        <v>45694</v>
      </c>
      <c r="D142" t="inlineStr">
        <is>
          <t>VÄSTRA GÖTALANDS LÄN</t>
        </is>
      </c>
      <c r="E142" t="inlineStr">
        <is>
          <t>DALS-ED</t>
        </is>
      </c>
      <c r="G142" t="n">
        <v>13.4</v>
      </c>
      <c r="H142" t="n">
        <v>0</v>
      </c>
      <c r="I142" t="n">
        <v>0</v>
      </c>
      <c r="J142" t="n">
        <v>0</v>
      </c>
      <c r="K142" t="n">
        <v>0</v>
      </c>
      <c r="L142" t="n">
        <v>0</v>
      </c>
      <c r="M142" t="n">
        <v>0</v>
      </c>
      <c r="N142" t="n">
        <v>0</v>
      </c>
      <c r="O142" t="n">
        <v>0</v>
      </c>
      <c r="P142" t="n">
        <v>0</v>
      </c>
      <c r="Q142" t="n">
        <v>0</v>
      </c>
      <c r="R142" s="2" t="inlineStr"/>
    </row>
    <row r="143" ht="15" customHeight="1">
      <c r="A143" t="inlineStr">
        <is>
          <t>A 50064-2020</t>
        </is>
      </c>
      <c r="B143" s="1" t="n">
        <v>44109</v>
      </c>
      <c r="C143" s="1" t="n">
        <v>45694</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50104-2020</t>
        </is>
      </c>
      <c r="B144" s="1" t="n">
        <v>44109</v>
      </c>
      <c r="C144" s="1" t="n">
        <v>45694</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53567-2020</t>
        </is>
      </c>
      <c r="B145" s="1" t="n">
        <v>44124</v>
      </c>
      <c r="C145" s="1" t="n">
        <v>45694</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53595-2020</t>
        </is>
      </c>
      <c r="B146" s="1" t="n">
        <v>44124</v>
      </c>
      <c r="C146" s="1" t="n">
        <v>45694</v>
      </c>
      <c r="D146" t="inlineStr">
        <is>
          <t>VÄSTRA GÖTALANDS LÄN</t>
        </is>
      </c>
      <c r="E146" t="inlineStr">
        <is>
          <t>DALS-ED</t>
        </is>
      </c>
      <c r="G146" t="n">
        <v>5</v>
      </c>
      <c r="H146" t="n">
        <v>0</v>
      </c>
      <c r="I146" t="n">
        <v>0</v>
      </c>
      <c r="J146" t="n">
        <v>0</v>
      </c>
      <c r="K146" t="n">
        <v>0</v>
      </c>
      <c r="L146" t="n">
        <v>0</v>
      </c>
      <c r="M146" t="n">
        <v>0</v>
      </c>
      <c r="N146" t="n">
        <v>0</v>
      </c>
      <c r="O146" t="n">
        <v>0</v>
      </c>
      <c r="P146" t="n">
        <v>0</v>
      </c>
      <c r="Q146" t="n">
        <v>0</v>
      </c>
      <c r="R146" s="2" t="inlineStr"/>
    </row>
    <row r="147" ht="15" customHeight="1">
      <c r="A147" t="inlineStr">
        <is>
          <t>A 53606-2020</t>
        </is>
      </c>
      <c r="B147" s="1" t="n">
        <v>44124</v>
      </c>
      <c r="C147" s="1" t="n">
        <v>45694</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55728-2020</t>
        </is>
      </c>
      <c r="B148" s="1" t="n">
        <v>44132</v>
      </c>
      <c r="C148" s="1" t="n">
        <v>45694</v>
      </c>
      <c r="D148" t="inlineStr">
        <is>
          <t>VÄSTRA GÖTALANDS LÄN</t>
        </is>
      </c>
      <c r="E148" t="inlineStr">
        <is>
          <t>DALS-ED</t>
        </is>
      </c>
      <c r="G148" t="n">
        <v>0.7</v>
      </c>
      <c r="H148" t="n">
        <v>0</v>
      </c>
      <c r="I148" t="n">
        <v>0</v>
      </c>
      <c r="J148" t="n">
        <v>0</v>
      </c>
      <c r="K148" t="n">
        <v>0</v>
      </c>
      <c r="L148" t="n">
        <v>0</v>
      </c>
      <c r="M148" t="n">
        <v>0</v>
      </c>
      <c r="N148" t="n">
        <v>0</v>
      </c>
      <c r="O148" t="n">
        <v>0</v>
      </c>
      <c r="P148" t="n">
        <v>0</v>
      </c>
      <c r="Q148" t="n">
        <v>0</v>
      </c>
      <c r="R148" s="2" t="inlineStr"/>
    </row>
    <row r="149" ht="15" customHeight="1">
      <c r="A149" t="inlineStr">
        <is>
          <t>A 55763-2020</t>
        </is>
      </c>
      <c r="B149" s="1" t="n">
        <v>44132</v>
      </c>
      <c r="C149" s="1" t="n">
        <v>45694</v>
      </c>
      <c r="D149" t="inlineStr">
        <is>
          <t>VÄSTRA GÖTALANDS LÄN</t>
        </is>
      </c>
      <c r="E149" t="inlineStr">
        <is>
          <t>DALS-ED</t>
        </is>
      </c>
      <c r="G149" t="n">
        <v>3</v>
      </c>
      <c r="H149" t="n">
        <v>0</v>
      </c>
      <c r="I149" t="n">
        <v>0</v>
      </c>
      <c r="J149" t="n">
        <v>0</v>
      </c>
      <c r="K149" t="n">
        <v>0</v>
      </c>
      <c r="L149" t="n">
        <v>0</v>
      </c>
      <c r="M149" t="n">
        <v>0</v>
      </c>
      <c r="N149" t="n">
        <v>0</v>
      </c>
      <c r="O149" t="n">
        <v>0</v>
      </c>
      <c r="P149" t="n">
        <v>0</v>
      </c>
      <c r="Q149" t="n">
        <v>0</v>
      </c>
      <c r="R149" s="2" t="inlineStr"/>
    </row>
    <row r="150" ht="15" customHeight="1">
      <c r="A150" t="inlineStr">
        <is>
          <t>A 55940-2020</t>
        </is>
      </c>
      <c r="B150" s="1" t="n">
        <v>44133</v>
      </c>
      <c r="C150" s="1" t="n">
        <v>45694</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56016-2020</t>
        </is>
      </c>
      <c r="B151" s="1" t="n">
        <v>44133</v>
      </c>
      <c r="C151" s="1" t="n">
        <v>45694</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57201-2020</t>
        </is>
      </c>
      <c r="B152" s="1" t="n">
        <v>44139</v>
      </c>
      <c r="C152" s="1" t="n">
        <v>45694</v>
      </c>
      <c r="D152" t="inlineStr">
        <is>
          <t>VÄSTRA GÖTALANDS LÄN</t>
        </is>
      </c>
      <c r="E152" t="inlineStr">
        <is>
          <t>DALS-ED</t>
        </is>
      </c>
      <c r="G152" t="n">
        <v>10.8</v>
      </c>
      <c r="H152" t="n">
        <v>0</v>
      </c>
      <c r="I152" t="n">
        <v>0</v>
      </c>
      <c r="J152" t="n">
        <v>0</v>
      </c>
      <c r="K152" t="n">
        <v>0</v>
      </c>
      <c r="L152" t="n">
        <v>0</v>
      </c>
      <c r="M152" t="n">
        <v>0</v>
      </c>
      <c r="N152" t="n">
        <v>0</v>
      </c>
      <c r="O152" t="n">
        <v>0</v>
      </c>
      <c r="P152" t="n">
        <v>0</v>
      </c>
      <c r="Q152" t="n">
        <v>0</v>
      </c>
      <c r="R152" s="2" t="inlineStr"/>
    </row>
    <row r="153" ht="15" customHeight="1">
      <c r="A153" t="inlineStr">
        <is>
          <t>A 59943-2020</t>
        </is>
      </c>
      <c r="B153" s="1" t="n">
        <v>44151</v>
      </c>
      <c r="C153" s="1" t="n">
        <v>45694</v>
      </c>
      <c r="D153" t="inlineStr">
        <is>
          <t>VÄSTRA GÖTALANDS LÄN</t>
        </is>
      </c>
      <c r="E153" t="inlineStr">
        <is>
          <t>DALS-ED</t>
        </is>
      </c>
      <c r="G153" t="n">
        <v>3.4</v>
      </c>
      <c r="H153" t="n">
        <v>0</v>
      </c>
      <c r="I153" t="n">
        <v>0</v>
      </c>
      <c r="J153" t="n">
        <v>0</v>
      </c>
      <c r="K153" t="n">
        <v>0</v>
      </c>
      <c r="L153" t="n">
        <v>0</v>
      </c>
      <c r="M153" t="n">
        <v>0</v>
      </c>
      <c r="N153" t="n">
        <v>0</v>
      </c>
      <c r="O153" t="n">
        <v>0</v>
      </c>
      <c r="P153" t="n">
        <v>0</v>
      </c>
      <c r="Q153" t="n">
        <v>0</v>
      </c>
      <c r="R153" s="2" t="inlineStr"/>
    </row>
    <row r="154" ht="15" customHeight="1">
      <c r="A154" t="inlineStr">
        <is>
          <t>A 63280-2020</t>
        </is>
      </c>
      <c r="B154" s="1" t="n">
        <v>44165</v>
      </c>
      <c r="C154" s="1" t="n">
        <v>45694</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65174-2020</t>
        </is>
      </c>
      <c r="B155" s="1" t="n">
        <v>44168</v>
      </c>
      <c r="C155" s="1" t="n">
        <v>45694</v>
      </c>
      <c r="D155" t="inlineStr">
        <is>
          <t>VÄSTRA GÖTALANDS LÄN</t>
        </is>
      </c>
      <c r="E155" t="inlineStr">
        <is>
          <t>DALS-ED</t>
        </is>
      </c>
      <c r="F155" t="inlineStr">
        <is>
          <t>Kyrkan</t>
        </is>
      </c>
      <c r="G155" t="n">
        <v>5.3</v>
      </c>
      <c r="H155" t="n">
        <v>0</v>
      </c>
      <c r="I155" t="n">
        <v>0</v>
      </c>
      <c r="J155" t="n">
        <v>0</v>
      </c>
      <c r="K155" t="n">
        <v>0</v>
      </c>
      <c r="L155" t="n">
        <v>0</v>
      </c>
      <c r="M155" t="n">
        <v>0</v>
      </c>
      <c r="N155" t="n">
        <v>0</v>
      </c>
      <c r="O155" t="n">
        <v>0</v>
      </c>
      <c r="P155" t="n">
        <v>0</v>
      </c>
      <c r="Q155" t="n">
        <v>0</v>
      </c>
      <c r="R155" s="2" t="inlineStr"/>
    </row>
    <row r="156" ht="15" customHeight="1">
      <c r="A156" t="inlineStr">
        <is>
          <t>A 67113-2020</t>
        </is>
      </c>
      <c r="B156" s="1" t="n">
        <v>44180</v>
      </c>
      <c r="C156" s="1" t="n">
        <v>45694</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67873-2020</t>
        </is>
      </c>
      <c r="B157" s="1" t="n">
        <v>44182</v>
      </c>
      <c r="C157" s="1" t="n">
        <v>45694</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68347-2020</t>
        </is>
      </c>
      <c r="B158" s="1" t="n">
        <v>44182</v>
      </c>
      <c r="C158" s="1" t="n">
        <v>45694</v>
      </c>
      <c r="D158" t="inlineStr">
        <is>
          <t>VÄSTRA GÖTALANDS LÄN</t>
        </is>
      </c>
      <c r="E158" t="inlineStr">
        <is>
          <t>DALS-ED</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69122-2020</t>
        </is>
      </c>
      <c r="B159" s="1" t="n">
        <v>44188</v>
      </c>
      <c r="C159" s="1" t="n">
        <v>45694</v>
      </c>
      <c r="D159" t="inlineStr">
        <is>
          <t>VÄSTRA GÖTALANDS LÄN</t>
        </is>
      </c>
      <c r="E159" t="inlineStr">
        <is>
          <t>DALS-ED</t>
        </is>
      </c>
      <c r="G159" t="n">
        <v>2.7</v>
      </c>
      <c r="H159" t="n">
        <v>0</v>
      </c>
      <c r="I159" t="n">
        <v>0</v>
      </c>
      <c r="J159" t="n">
        <v>0</v>
      </c>
      <c r="K159" t="n">
        <v>0</v>
      </c>
      <c r="L159" t="n">
        <v>0</v>
      </c>
      <c r="M159" t="n">
        <v>0</v>
      </c>
      <c r="N159" t="n">
        <v>0</v>
      </c>
      <c r="O159" t="n">
        <v>0</v>
      </c>
      <c r="P159" t="n">
        <v>0</v>
      </c>
      <c r="Q159" t="n">
        <v>0</v>
      </c>
      <c r="R159" s="2" t="inlineStr"/>
    </row>
    <row r="160" ht="15" customHeight="1">
      <c r="A160" t="inlineStr">
        <is>
          <t>A 3147-2021</t>
        </is>
      </c>
      <c r="B160" s="1" t="n">
        <v>44217</v>
      </c>
      <c r="C160" s="1" t="n">
        <v>45694</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3846-2021</t>
        </is>
      </c>
      <c r="B161" s="1" t="n">
        <v>44217</v>
      </c>
      <c r="C161" s="1" t="n">
        <v>45694</v>
      </c>
      <c r="D161" t="inlineStr">
        <is>
          <t>VÄSTRA GÖTALANDS LÄN</t>
        </is>
      </c>
      <c r="E161" t="inlineStr">
        <is>
          <t>DALS-ED</t>
        </is>
      </c>
      <c r="G161" t="n">
        <v>8.5</v>
      </c>
      <c r="H161" t="n">
        <v>0</v>
      </c>
      <c r="I161" t="n">
        <v>0</v>
      </c>
      <c r="J161" t="n">
        <v>0</v>
      </c>
      <c r="K161" t="n">
        <v>0</v>
      </c>
      <c r="L161" t="n">
        <v>0</v>
      </c>
      <c r="M161" t="n">
        <v>0</v>
      </c>
      <c r="N161" t="n">
        <v>0</v>
      </c>
      <c r="O161" t="n">
        <v>0</v>
      </c>
      <c r="P161" t="n">
        <v>0</v>
      </c>
      <c r="Q161" t="n">
        <v>0</v>
      </c>
      <c r="R161" s="2" t="inlineStr"/>
    </row>
    <row r="162" ht="15" customHeight="1">
      <c r="A162" t="inlineStr">
        <is>
          <t>A 3773-2021</t>
        </is>
      </c>
      <c r="B162" s="1" t="n">
        <v>44217</v>
      </c>
      <c r="C162" s="1" t="n">
        <v>45694</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3468-2021</t>
        </is>
      </c>
      <c r="B163" s="1" t="n">
        <v>44218</v>
      </c>
      <c r="C163" s="1" t="n">
        <v>45694</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3390-2021</t>
        </is>
      </c>
      <c r="B164" s="1" t="n">
        <v>44218</v>
      </c>
      <c r="C164" s="1" t="n">
        <v>45694</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4075-2021</t>
        </is>
      </c>
      <c r="B165" s="1" t="n">
        <v>44222</v>
      </c>
      <c r="C165" s="1" t="n">
        <v>45694</v>
      </c>
      <c r="D165" t="inlineStr">
        <is>
          <t>VÄSTRA GÖTALANDS LÄN</t>
        </is>
      </c>
      <c r="E165" t="inlineStr">
        <is>
          <t>DALS-ED</t>
        </is>
      </c>
      <c r="G165" t="n">
        <v>10.4</v>
      </c>
      <c r="H165" t="n">
        <v>0</v>
      </c>
      <c r="I165" t="n">
        <v>0</v>
      </c>
      <c r="J165" t="n">
        <v>0</v>
      </c>
      <c r="K165" t="n">
        <v>0</v>
      </c>
      <c r="L165" t="n">
        <v>0</v>
      </c>
      <c r="M165" t="n">
        <v>0</v>
      </c>
      <c r="N165" t="n">
        <v>0</v>
      </c>
      <c r="O165" t="n">
        <v>0</v>
      </c>
      <c r="P165" t="n">
        <v>0</v>
      </c>
      <c r="Q165" t="n">
        <v>0</v>
      </c>
      <c r="R165" s="2" t="inlineStr"/>
    </row>
    <row r="166" ht="15" customHeight="1">
      <c r="A166" t="inlineStr">
        <is>
          <t>A 5003-2021</t>
        </is>
      </c>
      <c r="B166" s="1" t="n">
        <v>44228</v>
      </c>
      <c r="C166" s="1" t="n">
        <v>45694</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5532-2021</t>
        </is>
      </c>
      <c r="B167" s="1" t="n">
        <v>44230</v>
      </c>
      <c r="C167" s="1" t="n">
        <v>45694</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5766-2021</t>
        </is>
      </c>
      <c r="B168" s="1" t="n">
        <v>44230</v>
      </c>
      <c r="C168" s="1" t="n">
        <v>45694</v>
      </c>
      <c r="D168" t="inlineStr">
        <is>
          <t>VÄSTRA GÖTALANDS LÄN</t>
        </is>
      </c>
      <c r="E168" t="inlineStr">
        <is>
          <t>DALS-ED</t>
        </is>
      </c>
      <c r="G168" t="n">
        <v>3.5</v>
      </c>
      <c r="H168" t="n">
        <v>0</v>
      </c>
      <c r="I168" t="n">
        <v>0</v>
      </c>
      <c r="J168" t="n">
        <v>0</v>
      </c>
      <c r="K168" t="n">
        <v>0</v>
      </c>
      <c r="L168" t="n">
        <v>0</v>
      </c>
      <c r="M168" t="n">
        <v>0</v>
      </c>
      <c r="N168" t="n">
        <v>0</v>
      </c>
      <c r="O168" t="n">
        <v>0</v>
      </c>
      <c r="P168" t="n">
        <v>0</v>
      </c>
      <c r="Q168" t="n">
        <v>0</v>
      </c>
      <c r="R168" s="2" t="inlineStr"/>
    </row>
    <row r="169" ht="15" customHeight="1">
      <c r="A169" t="inlineStr">
        <is>
          <t>A 6113-2021</t>
        </is>
      </c>
      <c r="B169" s="1" t="n">
        <v>44232</v>
      </c>
      <c r="C169" s="1" t="n">
        <v>45694</v>
      </c>
      <c r="D169" t="inlineStr">
        <is>
          <t>VÄSTRA GÖTALANDS LÄN</t>
        </is>
      </c>
      <c r="E169" t="inlineStr">
        <is>
          <t>DALS-ED</t>
        </is>
      </c>
      <c r="G169" t="n">
        <v>1</v>
      </c>
      <c r="H169" t="n">
        <v>0</v>
      </c>
      <c r="I169" t="n">
        <v>0</v>
      </c>
      <c r="J169" t="n">
        <v>0</v>
      </c>
      <c r="K169" t="n">
        <v>0</v>
      </c>
      <c r="L169" t="n">
        <v>0</v>
      </c>
      <c r="M169" t="n">
        <v>0</v>
      </c>
      <c r="N169" t="n">
        <v>0</v>
      </c>
      <c r="O169" t="n">
        <v>0</v>
      </c>
      <c r="P169" t="n">
        <v>0</v>
      </c>
      <c r="Q169" t="n">
        <v>0</v>
      </c>
      <c r="R169" s="2" t="inlineStr"/>
    </row>
    <row r="170" ht="15" customHeight="1">
      <c r="A170" t="inlineStr">
        <is>
          <t>A 6690-2021</t>
        </is>
      </c>
      <c r="B170" s="1" t="n">
        <v>44236</v>
      </c>
      <c r="C170" s="1" t="n">
        <v>45694</v>
      </c>
      <c r="D170" t="inlineStr">
        <is>
          <t>VÄSTRA GÖTALANDS LÄN</t>
        </is>
      </c>
      <c r="E170" t="inlineStr">
        <is>
          <t>DALS-ED</t>
        </is>
      </c>
      <c r="G170" t="n">
        <v>1.7</v>
      </c>
      <c r="H170" t="n">
        <v>0</v>
      </c>
      <c r="I170" t="n">
        <v>0</v>
      </c>
      <c r="J170" t="n">
        <v>0</v>
      </c>
      <c r="K170" t="n">
        <v>0</v>
      </c>
      <c r="L170" t="n">
        <v>0</v>
      </c>
      <c r="M170" t="n">
        <v>0</v>
      </c>
      <c r="N170" t="n">
        <v>0</v>
      </c>
      <c r="O170" t="n">
        <v>0</v>
      </c>
      <c r="P170" t="n">
        <v>0</v>
      </c>
      <c r="Q170" t="n">
        <v>0</v>
      </c>
      <c r="R170" s="2" t="inlineStr"/>
    </row>
    <row r="171" ht="15" customHeight="1">
      <c r="A171" t="inlineStr">
        <is>
          <t>A 6668-2021</t>
        </is>
      </c>
      <c r="B171" s="1" t="n">
        <v>44236</v>
      </c>
      <c r="C171" s="1" t="n">
        <v>45694</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6674-2021</t>
        </is>
      </c>
      <c r="B172" s="1" t="n">
        <v>44236</v>
      </c>
      <c r="C172" s="1" t="n">
        <v>45694</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6829-2021</t>
        </is>
      </c>
      <c r="B173" s="1" t="n">
        <v>44237</v>
      </c>
      <c r="C173" s="1" t="n">
        <v>45694</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6826-2021</t>
        </is>
      </c>
      <c r="B174" s="1" t="n">
        <v>44237</v>
      </c>
      <c r="C174" s="1" t="n">
        <v>45694</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9084-2021</t>
        </is>
      </c>
      <c r="B175" s="1" t="n">
        <v>44249</v>
      </c>
      <c r="C175" s="1" t="n">
        <v>45694</v>
      </c>
      <c r="D175" t="inlineStr">
        <is>
          <t>VÄSTRA GÖTALANDS LÄN</t>
        </is>
      </c>
      <c r="E175" t="inlineStr">
        <is>
          <t>DALS-ED</t>
        </is>
      </c>
      <c r="F175" t="inlineStr">
        <is>
          <t>Övriga Aktiebolag</t>
        </is>
      </c>
      <c r="G175" t="n">
        <v>3.8</v>
      </c>
      <c r="H175" t="n">
        <v>0</v>
      </c>
      <c r="I175" t="n">
        <v>0</v>
      </c>
      <c r="J175" t="n">
        <v>0</v>
      </c>
      <c r="K175" t="n">
        <v>0</v>
      </c>
      <c r="L175" t="n">
        <v>0</v>
      </c>
      <c r="M175" t="n">
        <v>0</v>
      </c>
      <c r="N175" t="n">
        <v>0</v>
      </c>
      <c r="O175" t="n">
        <v>0</v>
      </c>
      <c r="P175" t="n">
        <v>0</v>
      </c>
      <c r="Q175" t="n">
        <v>0</v>
      </c>
      <c r="R175" s="2" t="inlineStr"/>
    </row>
    <row r="176" ht="15" customHeight="1">
      <c r="A176" t="inlineStr">
        <is>
          <t>A 10321-2021</t>
        </is>
      </c>
      <c r="B176" s="1" t="n">
        <v>44257</v>
      </c>
      <c r="C176" s="1" t="n">
        <v>45694</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11526-2021</t>
        </is>
      </c>
      <c r="B177" s="1" t="n">
        <v>44264</v>
      </c>
      <c r="C177" s="1" t="n">
        <v>45694</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11656-2021</t>
        </is>
      </c>
      <c r="B178" s="1" t="n">
        <v>44264</v>
      </c>
      <c r="C178" s="1" t="n">
        <v>45694</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12046-2021</t>
        </is>
      </c>
      <c r="B179" s="1" t="n">
        <v>44266</v>
      </c>
      <c r="C179" s="1" t="n">
        <v>45694</v>
      </c>
      <c r="D179" t="inlineStr">
        <is>
          <t>VÄSTRA GÖTALANDS LÄN</t>
        </is>
      </c>
      <c r="E179" t="inlineStr">
        <is>
          <t>DALS-ED</t>
        </is>
      </c>
      <c r="G179" t="n">
        <v>1.3</v>
      </c>
      <c r="H179" t="n">
        <v>0</v>
      </c>
      <c r="I179" t="n">
        <v>0</v>
      </c>
      <c r="J179" t="n">
        <v>0</v>
      </c>
      <c r="K179" t="n">
        <v>0</v>
      </c>
      <c r="L179" t="n">
        <v>0</v>
      </c>
      <c r="M179" t="n">
        <v>0</v>
      </c>
      <c r="N179" t="n">
        <v>0</v>
      </c>
      <c r="O179" t="n">
        <v>0</v>
      </c>
      <c r="P179" t="n">
        <v>0</v>
      </c>
      <c r="Q179" t="n">
        <v>0</v>
      </c>
      <c r="R179" s="2" t="inlineStr"/>
    </row>
    <row r="180" ht="15" customHeight="1">
      <c r="A180" t="inlineStr">
        <is>
          <t>A 12052-2021</t>
        </is>
      </c>
      <c r="B180" s="1" t="n">
        <v>44266</v>
      </c>
      <c r="C180" s="1" t="n">
        <v>45694</v>
      </c>
      <c r="D180" t="inlineStr">
        <is>
          <t>VÄSTRA GÖTALANDS LÄN</t>
        </is>
      </c>
      <c r="E180" t="inlineStr">
        <is>
          <t>DALS-ED</t>
        </is>
      </c>
      <c r="G180" t="n">
        <v>2.1</v>
      </c>
      <c r="H180" t="n">
        <v>0</v>
      </c>
      <c r="I180" t="n">
        <v>0</v>
      </c>
      <c r="J180" t="n">
        <v>0</v>
      </c>
      <c r="K180" t="n">
        <v>0</v>
      </c>
      <c r="L180" t="n">
        <v>0</v>
      </c>
      <c r="M180" t="n">
        <v>0</v>
      </c>
      <c r="N180" t="n">
        <v>0</v>
      </c>
      <c r="O180" t="n">
        <v>0</v>
      </c>
      <c r="P180" t="n">
        <v>0</v>
      </c>
      <c r="Q180" t="n">
        <v>0</v>
      </c>
      <c r="R180" s="2" t="inlineStr"/>
    </row>
    <row r="181" ht="15" customHeight="1">
      <c r="A181" t="inlineStr">
        <is>
          <t>A 13413-2021</t>
        </is>
      </c>
      <c r="B181" s="1" t="n">
        <v>44273</v>
      </c>
      <c r="C181" s="1" t="n">
        <v>45694</v>
      </c>
      <c r="D181" t="inlineStr">
        <is>
          <t>VÄSTRA GÖTALANDS LÄN</t>
        </is>
      </c>
      <c r="E181" t="inlineStr">
        <is>
          <t>DALS-ED</t>
        </is>
      </c>
      <c r="F181" t="inlineStr">
        <is>
          <t>Övriga Aktiebolag</t>
        </is>
      </c>
      <c r="G181" t="n">
        <v>4.6</v>
      </c>
      <c r="H181" t="n">
        <v>0</v>
      </c>
      <c r="I181" t="n">
        <v>0</v>
      </c>
      <c r="J181" t="n">
        <v>0</v>
      </c>
      <c r="K181" t="n">
        <v>0</v>
      </c>
      <c r="L181" t="n">
        <v>0</v>
      </c>
      <c r="M181" t="n">
        <v>0</v>
      </c>
      <c r="N181" t="n">
        <v>0</v>
      </c>
      <c r="O181" t="n">
        <v>0</v>
      </c>
      <c r="P181" t="n">
        <v>0</v>
      </c>
      <c r="Q181" t="n">
        <v>0</v>
      </c>
      <c r="R181" s="2" t="inlineStr"/>
    </row>
    <row r="182" ht="15" customHeight="1">
      <c r="A182" t="inlineStr">
        <is>
          <t>A 13940-2021</t>
        </is>
      </c>
      <c r="B182" s="1" t="n">
        <v>44277</v>
      </c>
      <c r="C182" s="1" t="n">
        <v>45694</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13998-2021</t>
        </is>
      </c>
      <c r="B183" s="1" t="n">
        <v>44277</v>
      </c>
      <c r="C183" s="1" t="n">
        <v>45694</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13949-2021</t>
        </is>
      </c>
      <c r="B184" s="1" t="n">
        <v>44277</v>
      </c>
      <c r="C184" s="1" t="n">
        <v>45694</v>
      </c>
      <c r="D184" t="inlineStr">
        <is>
          <t>VÄSTRA GÖTALANDS LÄN</t>
        </is>
      </c>
      <c r="E184" t="inlineStr">
        <is>
          <t>DALS-ED</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15009-2021</t>
        </is>
      </c>
      <c r="B185" s="1" t="n">
        <v>44281</v>
      </c>
      <c r="C185" s="1" t="n">
        <v>45694</v>
      </c>
      <c r="D185" t="inlineStr">
        <is>
          <t>VÄSTRA GÖTALANDS LÄN</t>
        </is>
      </c>
      <c r="E185" t="inlineStr">
        <is>
          <t>DALS-ED</t>
        </is>
      </c>
      <c r="F185" t="inlineStr">
        <is>
          <t>Övriga Aktiebolag</t>
        </is>
      </c>
      <c r="G185" t="n">
        <v>1.6</v>
      </c>
      <c r="H185" t="n">
        <v>0</v>
      </c>
      <c r="I185" t="n">
        <v>0</v>
      </c>
      <c r="J185" t="n">
        <v>0</v>
      </c>
      <c r="K185" t="n">
        <v>0</v>
      </c>
      <c r="L185" t="n">
        <v>0</v>
      </c>
      <c r="M185" t="n">
        <v>0</v>
      </c>
      <c r="N185" t="n">
        <v>0</v>
      </c>
      <c r="O185" t="n">
        <v>0</v>
      </c>
      <c r="P185" t="n">
        <v>0</v>
      </c>
      <c r="Q185" t="n">
        <v>0</v>
      </c>
      <c r="R185" s="2" t="inlineStr"/>
    </row>
    <row r="186" ht="15" customHeight="1">
      <c r="A186" t="inlineStr">
        <is>
          <t>A 16924-2021</t>
        </is>
      </c>
      <c r="B186" s="1" t="n">
        <v>44295</v>
      </c>
      <c r="C186" s="1" t="n">
        <v>45694</v>
      </c>
      <c r="D186" t="inlineStr">
        <is>
          <t>VÄSTRA GÖTALANDS LÄN</t>
        </is>
      </c>
      <c r="E186" t="inlineStr">
        <is>
          <t>DALS-ED</t>
        </is>
      </c>
      <c r="G186" t="n">
        <v>0.3</v>
      </c>
      <c r="H186" t="n">
        <v>0</v>
      </c>
      <c r="I186" t="n">
        <v>0</v>
      </c>
      <c r="J186" t="n">
        <v>0</v>
      </c>
      <c r="K186" t="n">
        <v>0</v>
      </c>
      <c r="L186" t="n">
        <v>0</v>
      </c>
      <c r="M186" t="n">
        <v>0</v>
      </c>
      <c r="N186" t="n">
        <v>0</v>
      </c>
      <c r="O186" t="n">
        <v>0</v>
      </c>
      <c r="P186" t="n">
        <v>0</v>
      </c>
      <c r="Q186" t="n">
        <v>0</v>
      </c>
      <c r="R186" s="2" t="inlineStr"/>
    </row>
    <row r="187" ht="15" customHeight="1">
      <c r="A187" t="inlineStr">
        <is>
          <t>A 17156-2021</t>
        </is>
      </c>
      <c r="B187" s="1" t="n">
        <v>44298</v>
      </c>
      <c r="C187" s="1" t="n">
        <v>45694</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17193-2021</t>
        </is>
      </c>
      <c r="B188" s="1" t="n">
        <v>44298</v>
      </c>
      <c r="C188" s="1" t="n">
        <v>45694</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17681-2021</t>
        </is>
      </c>
      <c r="B189" s="1" t="n">
        <v>44299</v>
      </c>
      <c r="C189" s="1" t="n">
        <v>45694</v>
      </c>
      <c r="D189" t="inlineStr">
        <is>
          <t>VÄSTRA GÖTALANDS LÄN</t>
        </is>
      </c>
      <c r="E189" t="inlineStr">
        <is>
          <t>DALS-ED</t>
        </is>
      </c>
      <c r="G189" t="n">
        <v>12.7</v>
      </c>
      <c r="H189" t="n">
        <v>0</v>
      </c>
      <c r="I189" t="n">
        <v>0</v>
      </c>
      <c r="J189" t="n">
        <v>0</v>
      </c>
      <c r="K189" t="n">
        <v>0</v>
      </c>
      <c r="L189" t="n">
        <v>0</v>
      </c>
      <c r="M189" t="n">
        <v>0</v>
      </c>
      <c r="N189" t="n">
        <v>0</v>
      </c>
      <c r="O189" t="n">
        <v>0</v>
      </c>
      <c r="P189" t="n">
        <v>0</v>
      </c>
      <c r="Q189" t="n">
        <v>0</v>
      </c>
      <c r="R189" s="2" t="inlineStr"/>
    </row>
    <row r="190" ht="15" customHeight="1">
      <c r="A190" t="inlineStr">
        <is>
          <t>A 17842-2021</t>
        </is>
      </c>
      <c r="B190" s="1" t="n">
        <v>44300</v>
      </c>
      <c r="C190" s="1" t="n">
        <v>45694</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22200-2021</t>
        </is>
      </c>
      <c r="B191" s="1" t="n">
        <v>44326</v>
      </c>
      <c r="C191" s="1" t="n">
        <v>45694</v>
      </c>
      <c r="D191" t="inlineStr">
        <is>
          <t>VÄSTRA GÖTALANDS LÄN</t>
        </is>
      </c>
      <c r="E191" t="inlineStr">
        <is>
          <t>DALS-ED</t>
        </is>
      </c>
      <c r="G191" t="n">
        <v>5.4</v>
      </c>
      <c r="H191" t="n">
        <v>0</v>
      </c>
      <c r="I191" t="n">
        <v>0</v>
      </c>
      <c r="J191" t="n">
        <v>0</v>
      </c>
      <c r="K191" t="n">
        <v>0</v>
      </c>
      <c r="L191" t="n">
        <v>0</v>
      </c>
      <c r="M191" t="n">
        <v>0</v>
      </c>
      <c r="N191" t="n">
        <v>0</v>
      </c>
      <c r="O191" t="n">
        <v>0</v>
      </c>
      <c r="P191" t="n">
        <v>0</v>
      </c>
      <c r="Q191" t="n">
        <v>0</v>
      </c>
      <c r="R191" s="2" t="inlineStr"/>
    </row>
    <row r="192" ht="15" customHeight="1">
      <c r="A192" t="inlineStr">
        <is>
          <t>A 22847-2021</t>
        </is>
      </c>
      <c r="B192" s="1" t="n">
        <v>44328</v>
      </c>
      <c r="C192" s="1" t="n">
        <v>45694</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26787-2021</t>
        </is>
      </c>
      <c r="B193" s="1" t="n">
        <v>44349</v>
      </c>
      <c r="C193" s="1" t="n">
        <v>45694</v>
      </c>
      <c r="D193" t="inlineStr">
        <is>
          <t>VÄSTRA GÖTALANDS LÄN</t>
        </is>
      </c>
      <c r="E193" t="inlineStr">
        <is>
          <t>DALS-ED</t>
        </is>
      </c>
      <c r="G193" t="n">
        <v>2.8</v>
      </c>
      <c r="H193" t="n">
        <v>0</v>
      </c>
      <c r="I193" t="n">
        <v>0</v>
      </c>
      <c r="J193" t="n">
        <v>0</v>
      </c>
      <c r="K193" t="n">
        <v>0</v>
      </c>
      <c r="L193" t="n">
        <v>0</v>
      </c>
      <c r="M193" t="n">
        <v>0</v>
      </c>
      <c r="N193" t="n">
        <v>0</v>
      </c>
      <c r="O193" t="n">
        <v>0</v>
      </c>
      <c r="P193" t="n">
        <v>0</v>
      </c>
      <c r="Q193" t="n">
        <v>0</v>
      </c>
      <c r="R193" s="2" t="inlineStr"/>
    </row>
    <row r="194" ht="15" customHeight="1">
      <c r="A194" t="inlineStr">
        <is>
          <t>A 30385-2021</t>
        </is>
      </c>
      <c r="B194" s="1" t="n">
        <v>44364</v>
      </c>
      <c r="C194" s="1" t="n">
        <v>45694</v>
      </c>
      <c r="D194" t="inlineStr">
        <is>
          <t>VÄSTRA GÖTALANDS LÄN</t>
        </is>
      </c>
      <c r="E194" t="inlineStr">
        <is>
          <t>DALS-ED</t>
        </is>
      </c>
      <c r="G194" t="n">
        <v>10.5</v>
      </c>
      <c r="H194" t="n">
        <v>0</v>
      </c>
      <c r="I194" t="n">
        <v>0</v>
      </c>
      <c r="J194" t="n">
        <v>0</v>
      </c>
      <c r="K194" t="n">
        <v>0</v>
      </c>
      <c r="L194" t="n">
        <v>0</v>
      </c>
      <c r="M194" t="n">
        <v>0</v>
      </c>
      <c r="N194" t="n">
        <v>0</v>
      </c>
      <c r="O194" t="n">
        <v>0</v>
      </c>
      <c r="P194" t="n">
        <v>0</v>
      </c>
      <c r="Q194" t="n">
        <v>0</v>
      </c>
      <c r="R194" s="2" t="inlineStr"/>
    </row>
    <row r="195" ht="15" customHeight="1">
      <c r="A195" t="inlineStr">
        <is>
          <t>A 30380-2021</t>
        </is>
      </c>
      <c r="B195" s="1" t="n">
        <v>44364</v>
      </c>
      <c r="C195" s="1" t="n">
        <v>45694</v>
      </c>
      <c r="D195" t="inlineStr">
        <is>
          <t>VÄSTRA GÖTALANDS LÄN</t>
        </is>
      </c>
      <c r="E195" t="inlineStr">
        <is>
          <t>DALS-ED</t>
        </is>
      </c>
      <c r="G195" t="n">
        <v>4.5</v>
      </c>
      <c r="H195" t="n">
        <v>0</v>
      </c>
      <c r="I195" t="n">
        <v>0</v>
      </c>
      <c r="J195" t="n">
        <v>0</v>
      </c>
      <c r="K195" t="n">
        <v>0</v>
      </c>
      <c r="L195" t="n">
        <v>0</v>
      </c>
      <c r="M195" t="n">
        <v>0</v>
      </c>
      <c r="N195" t="n">
        <v>0</v>
      </c>
      <c r="O195" t="n">
        <v>0</v>
      </c>
      <c r="P195" t="n">
        <v>0</v>
      </c>
      <c r="Q195" t="n">
        <v>0</v>
      </c>
      <c r="R195" s="2" t="inlineStr"/>
    </row>
    <row r="196" ht="15" customHeight="1">
      <c r="A196" t="inlineStr">
        <is>
          <t>A 31078-2021</t>
        </is>
      </c>
      <c r="B196" s="1" t="n">
        <v>44368</v>
      </c>
      <c r="C196" s="1" t="n">
        <v>45694</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33190-2021</t>
        </is>
      </c>
      <c r="B197" s="1" t="n">
        <v>44376</v>
      </c>
      <c r="C197" s="1" t="n">
        <v>45694</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34030-2021</t>
        </is>
      </c>
      <c r="B198" s="1" t="n">
        <v>44378</v>
      </c>
      <c r="C198" s="1" t="n">
        <v>45694</v>
      </c>
      <c r="D198" t="inlineStr">
        <is>
          <t>VÄSTRA GÖTALANDS LÄN</t>
        </is>
      </c>
      <c r="E198" t="inlineStr">
        <is>
          <t>DALS-ED</t>
        </is>
      </c>
      <c r="G198" t="n">
        <v>3.5</v>
      </c>
      <c r="H198" t="n">
        <v>0</v>
      </c>
      <c r="I198" t="n">
        <v>0</v>
      </c>
      <c r="J198" t="n">
        <v>0</v>
      </c>
      <c r="K198" t="n">
        <v>0</v>
      </c>
      <c r="L198" t="n">
        <v>0</v>
      </c>
      <c r="M198" t="n">
        <v>0</v>
      </c>
      <c r="N198" t="n">
        <v>0</v>
      </c>
      <c r="O198" t="n">
        <v>0</v>
      </c>
      <c r="P198" t="n">
        <v>0</v>
      </c>
      <c r="Q198" t="n">
        <v>0</v>
      </c>
      <c r="R198" s="2" t="inlineStr"/>
    </row>
    <row r="199" ht="15" customHeight="1">
      <c r="A199" t="inlineStr">
        <is>
          <t>A 34760-2021</t>
        </is>
      </c>
      <c r="B199" s="1" t="n">
        <v>44382</v>
      </c>
      <c r="C199" s="1" t="n">
        <v>45694</v>
      </c>
      <c r="D199" t="inlineStr">
        <is>
          <t>VÄSTRA GÖTALANDS LÄN</t>
        </is>
      </c>
      <c r="E199" t="inlineStr">
        <is>
          <t>DALS-ED</t>
        </is>
      </c>
      <c r="G199" t="n">
        <v>0.2</v>
      </c>
      <c r="H199" t="n">
        <v>0</v>
      </c>
      <c r="I199" t="n">
        <v>0</v>
      </c>
      <c r="J199" t="n">
        <v>0</v>
      </c>
      <c r="K199" t="n">
        <v>0</v>
      </c>
      <c r="L199" t="n">
        <v>0</v>
      </c>
      <c r="M199" t="n">
        <v>0</v>
      </c>
      <c r="N199" t="n">
        <v>0</v>
      </c>
      <c r="O199" t="n">
        <v>0</v>
      </c>
      <c r="P199" t="n">
        <v>0</v>
      </c>
      <c r="Q199" t="n">
        <v>0</v>
      </c>
      <c r="R199" s="2" t="inlineStr"/>
    </row>
    <row r="200" ht="15" customHeight="1">
      <c r="A200" t="inlineStr">
        <is>
          <t>A 36167-2021</t>
        </is>
      </c>
      <c r="B200" s="1" t="n">
        <v>44386</v>
      </c>
      <c r="C200" s="1" t="n">
        <v>45694</v>
      </c>
      <c r="D200" t="inlineStr">
        <is>
          <t>VÄSTRA GÖTALANDS LÄN</t>
        </is>
      </c>
      <c r="E200" t="inlineStr">
        <is>
          <t>DALS-ED</t>
        </is>
      </c>
      <c r="F200" t="inlineStr">
        <is>
          <t>Kyrkan</t>
        </is>
      </c>
      <c r="G200" t="n">
        <v>5.4</v>
      </c>
      <c r="H200" t="n">
        <v>0</v>
      </c>
      <c r="I200" t="n">
        <v>0</v>
      </c>
      <c r="J200" t="n">
        <v>0</v>
      </c>
      <c r="K200" t="n">
        <v>0</v>
      </c>
      <c r="L200" t="n">
        <v>0</v>
      </c>
      <c r="M200" t="n">
        <v>0</v>
      </c>
      <c r="N200" t="n">
        <v>0</v>
      </c>
      <c r="O200" t="n">
        <v>0</v>
      </c>
      <c r="P200" t="n">
        <v>0</v>
      </c>
      <c r="Q200" t="n">
        <v>0</v>
      </c>
      <c r="R200" s="2" t="inlineStr"/>
    </row>
    <row r="201" ht="15" customHeight="1">
      <c r="A201" t="inlineStr">
        <is>
          <t>A 35948-2021</t>
        </is>
      </c>
      <c r="B201" s="1" t="n">
        <v>44388</v>
      </c>
      <c r="C201" s="1" t="n">
        <v>45694</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39093-2021</t>
        </is>
      </c>
      <c r="B202" s="1" t="n">
        <v>44412</v>
      </c>
      <c r="C202" s="1" t="n">
        <v>45694</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39016-2021</t>
        </is>
      </c>
      <c r="B203" s="1" t="n">
        <v>44412</v>
      </c>
      <c r="C203" s="1" t="n">
        <v>45694</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41696-2021</t>
        </is>
      </c>
      <c r="B204" s="1" t="n">
        <v>44425</v>
      </c>
      <c r="C204" s="1" t="n">
        <v>45694</v>
      </c>
      <c r="D204" t="inlineStr">
        <is>
          <t>VÄSTRA GÖTALANDS LÄN</t>
        </is>
      </c>
      <c r="E204" t="inlineStr">
        <is>
          <t>DALS-ED</t>
        </is>
      </c>
      <c r="G204" t="n">
        <v>6</v>
      </c>
      <c r="H204" t="n">
        <v>0</v>
      </c>
      <c r="I204" t="n">
        <v>0</v>
      </c>
      <c r="J204" t="n">
        <v>0</v>
      </c>
      <c r="K204" t="n">
        <v>0</v>
      </c>
      <c r="L204" t="n">
        <v>0</v>
      </c>
      <c r="M204" t="n">
        <v>0</v>
      </c>
      <c r="N204" t="n">
        <v>0</v>
      </c>
      <c r="O204" t="n">
        <v>0</v>
      </c>
      <c r="P204" t="n">
        <v>0</v>
      </c>
      <c r="Q204" t="n">
        <v>0</v>
      </c>
      <c r="R204" s="2" t="inlineStr"/>
    </row>
    <row r="205" ht="15" customHeight="1">
      <c r="A205" t="inlineStr">
        <is>
          <t>A 42341-2021</t>
        </is>
      </c>
      <c r="B205" s="1" t="n">
        <v>44427</v>
      </c>
      <c r="C205" s="1" t="n">
        <v>45694</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42588-2021</t>
        </is>
      </c>
      <c r="B206" s="1" t="n">
        <v>44428</v>
      </c>
      <c r="C206" s="1" t="n">
        <v>45694</v>
      </c>
      <c r="D206" t="inlineStr">
        <is>
          <t>VÄSTRA GÖTALANDS LÄN</t>
        </is>
      </c>
      <c r="E206" t="inlineStr">
        <is>
          <t>DALS-ED</t>
        </is>
      </c>
      <c r="G206" t="n">
        <v>5.7</v>
      </c>
      <c r="H206" t="n">
        <v>0</v>
      </c>
      <c r="I206" t="n">
        <v>0</v>
      </c>
      <c r="J206" t="n">
        <v>0</v>
      </c>
      <c r="K206" t="n">
        <v>0</v>
      </c>
      <c r="L206" t="n">
        <v>0</v>
      </c>
      <c r="M206" t="n">
        <v>0</v>
      </c>
      <c r="N206" t="n">
        <v>0</v>
      </c>
      <c r="O206" t="n">
        <v>0</v>
      </c>
      <c r="P206" t="n">
        <v>0</v>
      </c>
      <c r="Q206" t="n">
        <v>0</v>
      </c>
      <c r="R206" s="2" t="inlineStr"/>
    </row>
    <row r="207" ht="15" customHeight="1">
      <c r="A207" t="inlineStr">
        <is>
          <t>A 43380-2021</t>
        </is>
      </c>
      <c r="B207" s="1" t="n">
        <v>44432</v>
      </c>
      <c r="C207" s="1" t="n">
        <v>45694</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44403-2021</t>
        </is>
      </c>
      <c r="B208" s="1" t="n">
        <v>44435</v>
      </c>
      <c r="C208" s="1" t="n">
        <v>45694</v>
      </c>
      <c r="D208" t="inlineStr">
        <is>
          <t>VÄSTRA GÖTALANDS LÄN</t>
        </is>
      </c>
      <c r="E208" t="inlineStr">
        <is>
          <t>DALS-ED</t>
        </is>
      </c>
      <c r="G208" t="n">
        <v>7.9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45694</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46336-2021</t>
        </is>
      </c>
      <c r="B210" s="1" t="n">
        <v>44442</v>
      </c>
      <c r="C210" s="1" t="n">
        <v>45694</v>
      </c>
      <c r="D210" t="inlineStr">
        <is>
          <t>VÄSTRA GÖTALANDS LÄN</t>
        </is>
      </c>
      <c r="E210" t="inlineStr">
        <is>
          <t>DALS-ED</t>
        </is>
      </c>
      <c r="G210" t="n">
        <v>3.4</v>
      </c>
      <c r="H210" t="n">
        <v>0</v>
      </c>
      <c r="I210" t="n">
        <v>0</v>
      </c>
      <c r="J210" t="n">
        <v>0</v>
      </c>
      <c r="K210" t="n">
        <v>0</v>
      </c>
      <c r="L210" t="n">
        <v>0</v>
      </c>
      <c r="M210" t="n">
        <v>0</v>
      </c>
      <c r="N210" t="n">
        <v>0</v>
      </c>
      <c r="O210" t="n">
        <v>0</v>
      </c>
      <c r="P210" t="n">
        <v>0</v>
      </c>
      <c r="Q210" t="n">
        <v>0</v>
      </c>
      <c r="R210" s="2" t="inlineStr"/>
    </row>
    <row r="211" ht="15" customHeight="1">
      <c r="A211" t="inlineStr">
        <is>
          <t>A 46447-2021</t>
        </is>
      </c>
      <c r="B211" s="1" t="n">
        <v>44442</v>
      </c>
      <c r="C211" s="1" t="n">
        <v>45694</v>
      </c>
      <c r="D211" t="inlineStr">
        <is>
          <t>VÄSTRA GÖTALANDS LÄN</t>
        </is>
      </c>
      <c r="E211" t="inlineStr">
        <is>
          <t>DALS-ED</t>
        </is>
      </c>
      <c r="G211" t="n">
        <v>3.6</v>
      </c>
      <c r="H211" t="n">
        <v>0</v>
      </c>
      <c r="I211" t="n">
        <v>0</v>
      </c>
      <c r="J211" t="n">
        <v>0</v>
      </c>
      <c r="K211" t="n">
        <v>0</v>
      </c>
      <c r="L211" t="n">
        <v>0</v>
      </c>
      <c r="M211" t="n">
        <v>0</v>
      </c>
      <c r="N211" t="n">
        <v>0</v>
      </c>
      <c r="O211" t="n">
        <v>0</v>
      </c>
      <c r="P211" t="n">
        <v>0</v>
      </c>
      <c r="Q211" t="n">
        <v>0</v>
      </c>
      <c r="R211" s="2" t="inlineStr"/>
    </row>
    <row r="212" ht="15" customHeight="1">
      <c r="A212" t="inlineStr">
        <is>
          <t>A 47227-2021</t>
        </is>
      </c>
      <c r="B212" s="1" t="n">
        <v>44446</v>
      </c>
      <c r="C212" s="1" t="n">
        <v>45694</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48658-2021</t>
        </is>
      </c>
      <c r="B213" s="1" t="n">
        <v>44452</v>
      </c>
      <c r="C213" s="1" t="n">
        <v>45694</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50465-2021</t>
        </is>
      </c>
      <c r="B214" s="1" t="n">
        <v>44459</v>
      </c>
      <c r="C214" s="1" t="n">
        <v>45694</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50459-2021</t>
        </is>
      </c>
      <c r="B215" s="1" t="n">
        <v>44459</v>
      </c>
      <c r="C215" s="1" t="n">
        <v>45694</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50462-2021</t>
        </is>
      </c>
      <c r="B216" s="1" t="n">
        <v>44459</v>
      </c>
      <c r="C216" s="1" t="n">
        <v>45694</v>
      </c>
      <c r="D216" t="inlineStr">
        <is>
          <t>VÄSTRA GÖTALANDS LÄN</t>
        </is>
      </c>
      <c r="E216" t="inlineStr">
        <is>
          <t>DALS-ED</t>
        </is>
      </c>
      <c r="G216" t="n">
        <v>2.1</v>
      </c>
      <c r="H216" t="n">
        <v>0</v>
      </c>
      <c r="I216" t="n">
        <v>0</v>
      </c>
      <c r="J216" t="n">
        <v>0</v>
      </c>
      <c r="K216" t="n">
        <v>0</v>
      </c>
      <c r="L216" t="n">
        <v>0</v>
      </c>
      <c r="M216" t="n">
        <v>0</v>
      </c>
      <c r="N216" t="n">
        <v>0</v>
      </c>
      <c r="O216" t="n">
        <v>0</v>
      </c>
      <c r="P216" t="n">
        <v>0</v>
      </c>
      <c r="Q216" t="n">
        <v>0</v>
      </c>
      <c r="R216" s="2" t="inlineStr"/>
    </row>
    <row r="217" ht="15" customHeight="1">
      <c r="A217" t="inlineStr">
        <is>
          <t>A 50665-2021</t>
        </is>
      </c>
      <c r="B217" s="1" t="n">
        <v>44460</v>
      </c>
      <c r="C217" s="1" t="n">
        <v>45694</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51701-2021</t>
        </is>
      </c>
      <c r="B218" s="1" t="n">
        <v>44462</v>
      </c>
      <c r="C218" s="1" t="n">
        <v>45694</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51564-2021</t>
        </is>
      </c>
      <c r="B219" s="1" t="n">
        <v>44462</v>
      </c>
      <c r="C219" s="1" t="n">
        <v>45694</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54018-2021</t>
        </is>
      </c>
      <c r="B220" s="1" t="n">
        <v>44468</v>
      </c>
      <c r="C220" s="1" t="n">
        <v>45694</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54107-2021</t>
        </is>
      </c>
      <c r="B221" s="1" t="n">
        <v>44470</v>
      </c>
      <c r="C221" s="1" t="n">
        <v>45694</v>
      </c>
      <c r="D221" t="inlineStr">
        <is>
          <t>VÄSTRA GÖTALANDS LÄN</t>
        </is>
      </c>
      <c r="E221" t="inlineStr">
        <is>
          <t>DALS-ED</t>
        </is>
      </c>
      <c r="G221" t="n">
        <v>7.1</v>
      </c>
      <c r="H221" t="n">
        <v>0</v>
      </c>
      <c r="I221" t="n">
        <v>0</v>
      </c>
      <c r="J221" t="n">
        <v>0</v>
      </c>
      <c r="K221" t="n">
        <v>0</v>
      </c>
      <c r="L221" t="n">
        <v>0</v>
      </c>
      <c r="M221" t="n">
        <v>0</v>
      </c>
      <c r="N221" t="n">
        <v>0</v>
      </c>
      <c r="O221" t="n">
        <v>0</v>
      </c>
      <c r="P221" t="n">
        <v>0</v>
      </c>
      <c r="Q221" t="n">
        <v>0</v>
      </c>
      <c r="R221" s="2" t="inlineStr"/>
    </row>
    <row r="222" ht="15" customHeight="1">
      <c r="A222" t="inlineStr">
        <is>
          <t>A 54161-2021</t>
        </is>
      </c>
      <c r="B222" s="1" t="n">
        <v>44470</v>
      </c>
      <c r="C222" s="1" t="n">
        <v>45694</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56551-2021</t>
        </is>
      </c>
      <c r="B223" s="1" t="n">
        <v>44480</v>
      </c>
      <c r="C223" s="1" t="n">
        <v>45694</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58213-2021</t>
        </is>
      </c>
      <c r="B224" s="1" t="n">
        <v>44487</v>
      </c>
      <c r="C224" s="1" t="n">
        <v>45694</v>
      </c>
      <c r="D224" t="inlineStr">
        <is>
          <t>VÄSTRA GÖTALANDS LÄN</t>
        </is>
      </c>
      <c r="E224" t="inlineStr">
        <is>
          <t>DALS-ED</t>
        </is>
      </c>
      <c r="G224" t="n">
        <v>5.7</v>
      </c>
      <c r="H224" t="n">
        <v>0</v>
      </c>
      <c r="I224" t="n">
        <v>0</v>
      </c>
      <c r="J224" t="n">
        <v>0</v>
      </c>
      <c r="K224" t="n">
        <v>0</v>
      </c>
      <c r="L224" t="n">
        <v>0</v>
      </c>
      <c r="M224" t="n">
        <v>0</v>
      </c>
      <c r="N224" t="n">
        <v>0</v>
      </c>
      <c r="O224" t="n">
        <v>0</v>
      </c>
      <c r="P224" t="n">
        <v>0</v>
      </c>
      <c r="Q224" t="n">
        <v>0</v>
      </c>
      <c r="R224" s="2" t="inlineStr"/>
    </row>
    <row r="225" ht="15" customHeight="1">
      <c r="A225" t="inlineStr">
        <is>
          <t>A 59931-2021</t>
        </is>
      </c>
      <c r="B225" s="1" t="n">
        <v>44494</v>
      </c>
      <c r="C225" s="1" t="n">
        <v>45694</v>
      </c>
      <c r="D225" t="inlineStr">
        <is>
          <t>VÄSTRA GÖTALANDS LÄN</t>
        </is>
      </c>
      <c r="E225" t="inlineStr">
        <is>
          <t>DALS-ED</t>
        </is>
      </c>
      <c r="G225" t="n">
        <v>1</v>
      </c>
      <c r="H225" t="n">
        <v>0</v>
      </c>
      <c r="I225" t="n">
        <v>0</v>
      </c>
      <c r="J225" t="n">
        <v>0</v>
      </c>
      <c r="K225" t="n">
        <v>0</v>
      </c>
      <c r="L225" t="n">
        <v>0</v>
      </c>
      <c r="M225" t="n">
        <v>0</v>
      </c>
      <c r="N225" t="n">
        <v>0</v>
      </c>
      <c r="O225" t="n">
        <v>0</v>
      </c>
      <c r="P225" t="n">
        <v>0</v>
      </c>
      <c r="Q225" t="n">
        <v>0</v>
      </c>
      <c r="R225" s="2" t="inlineStr"/>
    </row>
    <row r="226" ht="15" customHeight="1">
      <c r="A226" t="inlineStr">
        <is>
          <t>A 62303-2021</t>
        </is>
      </c>
      <c r="B226" s="1" t="n">
        <v>44503</v>
      </c>
      <c r="C226" s="1" t="n">
        <v>45694</v>
      </c>
      <c r="D226" t="inlineStr">
        <is>
          <t>VÄSTRA GÖTALANDS LÄN</t>
        </is>
      </c>
      <c r="E226" t="inlineStr">
        <is>
          <t>DALS-ED</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62849-2021</t>
        </is>
      </c>
      <c r="B227" s="1" t="n">
        <v>44504</v>
      </c>
      <c r="C227" s="1" t="n">
        <v>45694</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63192-2021</t>
        </is>
      </c>
      <c r="B228" s="1" t="n">
        <v>44507</v>
      </c>
      <c r="C228" s="1" t="n">
        <v>45694</v>
      </c>
      <c r="D228" t="inlineStr">
        <is>
          <t>VÄSTRA GÖTALANDS LÄN</t>
        </is>
      </c>
      <c r="E228" t="inlineStr">
        <is>
          <t>DALS-ED</t>
        </is>
      </c>
      <c r="G228" t="n">
        <v>4.9</v>
      </c>
      <c r="H228" t="n">
        <v>0</v>
      </c>
      <c r="I228" t="n">
        <v>0</v>
      </c>
      <c r="J228" t="n">
        <v>0</v>
      </c>
      <c r="K228" t="n">
        <v>0</v>
      </c>
      <c r="L228" t="n">
        <v>0</v>
      </c>
      <c r="M228" t="n">
        <v>0</v>
      </c>
      <c r="N228" t="n">
        <v>0</v>
      </c>
      <c r="O228" t="n">
        <v>0</v>
      </c>
      <c r="P228" t="n">
        <v>0</v>
      </c>
      <c r="Q228" t="n">
        <v>0</v>
      </c>
      <c r="R228" s="2" t="inlineStr"/>
    </row>
    <row r="229" ht="15" customHeight="1">
      <c r="A229" t="inlineStr">
        <is>
          <t>A 63186-2021</t>
        </is>
      </c>
      <c r="B229" s="1" t="n">
        <v>44507</v>
      </c>
      <c r="C229" s="1" t="n">
        <v>45694</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64338-2021</t>
        </is>
      </c>
      <c r="B230" s="1" t="n">
        <v>44511</v>
      </c>
      <c r="C230" s="1" t="n">
        <v>45694</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70027-2021</t>
        </is>
      </c>
      <c r="B231" s="1" t="n">
        <v>44533</v>
      </c>
      <c r="C231" s="1" t="n">
        <v>45694</v>
      </c>
      <c r="D231" t="inlineStr">
        <is>
          <t>VÄSTRA GÖTALANDS LÄN</t>
        </is>
      </c>
      <c r="E231" t="inlineStr">
        <is>
          <t>DALS-ED</t>
        </is>
      </c>
      <c r="G231" t="n">
        <v>7.6</v>
      </c>
      <c r="H231" t="n">
        <v>0</v>
      </c>
      <c r="I231" t="n">
        <v>0</v>
      </c>
      <c r="J231" t="n">
        <v>0</v>
      </c>
      <c r="K231" t="n">
        <v>0</v>
      </c>
      <c r="L231" t="n">
        <v>0</v>
      </c>
      <c r="M231" t="n">
        <v>0</v>
      </c>
      <c r="N231" t="n">
        <v>0</v>
      </c>
      <c r="O231" t="n">
        <v>0</v>
      </c>
      <c r="P231" t="n">
        <v>0</v>
      </c>
      <c r="Q231" t="n">
        <v>0</v>
      </c>
      <c r="R231" s="2" t="inlineStr"/>
    </row>
    <row r="232" ht="15" customHeight="1">
      <c r="A232" t="inlineStr">
        <is>
          <t>A 70370-2021</t>
        </is>
      </c>
      <c r="B232" s="1" t="n">
        <v>44536</v>
      </c>
      <c r="C232" s="1" t="n">
        <v>45694</v>
      </c>
      <c r="D232" t="inlineStr">
        <is>
          <t>VÄSTRA GÖTALANDS LÄN</t>
        </is>
      </c>
      <c r="E232" t="inlineStr">
        <is>
          <t>DALS-ED</t>
        </is>
      </c>
      <c r="G232" t="n">
        <v>1.4</v>
      </c>
      <c r="H232" t="n">
        <v>0</v>
      </c>
      <c r="I232" t="n">
        <v>0</v>
      </c>
      <c r="J232" t="n">
        <v>0</v>
      </c>
      <c r="K232" t="n">
        <v>0</v>
      </c>
      <c r="L232" t="n">
        <v>0</v>
      </c>
      <c r="M232" t="n">
        <v>0</v>
      </c>
      <c r="N232" t="n">
        <v>0</v>
      </c>
      <c r="O232" t="n">
        <v>0</v>
      </c>
      <c r="P232" t="n">
        <v>0</v>
      </c>
      <c r="Q232" t="n">
        <v>0</v>
      </c>
      <c r="R232" s="2" t="inlineStr"/>
    </row>
    <row r="233" ht="15" customHeight="1">
      <c r="A233" t="inlineStr">
        <is>
          <t>A 70374-2021</t>
        </is>
      </c>
      <c r="B233" s="1" t="n">
        <v>44536</v>
      </c>
      <c r="C233" s="1" t="n">
        <v>45694</v>
      </c>
      <c r="D233" t="inlineStr">
        <is>
          <t>VÄSTRA GÖTALANDS LÄN</t>
        </is>
      </c>
      <c r="E233" t="inlineStr">
        <is>
          <t>DALS-ED</t>
        </is>
      </c>
      <c r="G233" t="n">
        <v>7.8</v>
      </c>
      <c r="H233" t="n">
        <v>0</v>
      </c>
      <c r="I233" t="n">
        <v>0</v>
      </c>
      <c r="J233" t="n">
        <v>0</v>
      </c>
      <c r="K233" t="n">
        <v>0</v>
      </c>
      <c r="L233" t="n">
        <v>0</v>
      </c>
      <c r="M233" t="n">
        <v>0</v>
      </c>
      <c r="N233" t="n">
        <v>0</v>
      </c>
      <c r="O233" t="n">
        <v>0</v>
      </c>
      <c r="P233" t="n">
        <v>0</v>
      </c>
      <c r="Q233" t="n">
        <v>0</v>
      </c>
      <c r="R233" s="2" t="inlineStr"/>
    </row>
    <row r="234" ht="15" customHeight="1">
      <c r="A234" t="inlineStr">
        <is>
          <t>A 70367-2021</t>
        </is>
      </c>
      <c r="B234" s="1" t="n">
        <v>44536</v>
      </c>
      <c r="C234" s="1" t="n">
        <v>45694</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72456-2021</t>
        </is>
      </c>
      <c r="B235" s="1" t="n">
        <v>44545</v>
      </c>
      <c r="C235" s="1" t="n">
        <v>45694</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2286-2022</t>
        </is>
      </c>
      <c r="B236" s="1" t="n">
        <v>44578</v>
      </c>
      <c r="C236" s="1" t="n">
        <v>45694</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2287-2022</t>
        </is>
      </c>
      <c r="B237" s="1" t="n">
        <v>44578</v>
      </c>
      <c r="C237" s="1" t="n">
        <v>45694</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4133-2022</t>
        </is>
      </c>
      <c r="B238" s="1" t="n">
        <v>44588</v>
      </c>
      <c r="C238" s="1" t="n">
        <v>45694</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4121-2022</t>
        </is>
      </c>
      <c r="B239" s="1" t="n">
        <v>44588</v>
      </c>
      <c r="C239" s="1" t="n">
        <v>45694</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4435-2022</t>
        </is>
      </c>
      <c r="B240" s="1" t="n">
        <v>44589</v>
      </c>
      <c r="C240" s="1" t="n">
        <v>45694</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4724-2022</t>
        </is>
      </c>
      <c r="B241" s="1" t="n">
        <v>44592</v>
      </c>
      <c r="C241" s="1" t="n">
        <v>45694</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4736-2022</t>
        </is>
      </c>
      <c r="B242" s="1" t="n">
        <v>44592</v>
      </c>
      <c r="C242" s="1" t="n">
        <v>45694</v>
      </c>
      <c r="D242" t="inlineStr">
        <is>
          <t>VÄSTRA GÖTALANDS LÄN</t>
        </is>
      </c>
      <c r="E242" t="inlineStr">
        <is>
          <t>DALS-ED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4727-2022</t>
        </is>
      </c>
      <c r="B243" s="1" t="n">
        <v>44592</v>
      </c>
      <c r="C243" s="1" t="n">
        <v>45694</v>
      </c>
      <c r="D243" t="inlineStr">
        <is>
          <t>VÄSTRA GÖTALANDS LÄN</t>
        </is>
      </c>
      <c r="E243" t="inlineStr">
        <is>
          <t>DALS-ED</t>
        </is>
      </c>
      <c r="G243" t="n">
        <v>5</v>
      </c>
      <c r="H243" t="n">
        <v>0</v>
      </c>
      <c r="I243" t="n">
        <v>0</v>
      </c>
      <c r="J243" t="n">
        <v>0</v>
      </c>
      <c r="K243" t="n">
        <v>0</v>
      </c>
      <c r="L243" t="n">
        <v>0</v>
      </c>
      <c r="M243" t="n">
        <v>0</v>
      </c>
      <c r="N243" t="n">
        <v>0</v>
      </c>
      <c r="O243" t="n">
        <v>0</v>
      </c>
      <c r="P243" t="n">
        <v>0</v>
      </c>
      <c r="Q243" t="n">
        <v>0</v>
      </c>
      <c r="R243" s="2" t="inlineStr"/>
    </row>
    <row r="244" ht="15" customHeight="1">
      <c r="A244" t="inlineStr">
        <is>
          <t>A 4731-2022</t>
        </is>
      </c>
      <c r="B244" s="1" t="n">
        <v>44592</v>
      </c>
      <c r="C244" s="1" t="n">
        <v>45694</v>
      </c>
      <c r="D244" t="inlineStr">
        <is>
          <t>VÄSTRA GÖTALANDS LÄN</t>
        </is>
      </c>
      <c r="E244" t="inlineStr">
        <is>
          <t>DALS-ED</t>
        </is>
      </c>
      <c r="G244" t="n">
        <v>2.6</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45694</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6464-2022</t>
        </is>
      </c>
      <c r="B246" s="1" t="n">
        <v>44601</v>
      </c>
      <c r="C246" s="1" t="n">
        <v>45694</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6528-2022</t>
        </is>
      </c>
      <c r="B247" s="1" t="n">
        <v>44601</v>
      </c>
      <c r="C247" s="1" t="n">
        <v>45694</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6570-2022</t>
        </is>
      </c>
      <c r="B248" s="1" t="n">
        <v>44601</v>
      </c>
      <c r="C248" s="1" t="n">
        <v>45694</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7933-2022</t>
        </is>
      </c>
      <c r="B249" s="1" t="n">
        <v>44608</v>
      </c>
      <c r="C249" s="1" t="n">
        <v>45694</v>
      </c>
      <c r="D249" t="inlineStr">
        <is>
          <t>VÄSTRA GÖTALANDS LÄN</t>
        </is>
      </c>
      <c r="E249" t="inlineStr">
        <is>
          <t>DALS-ED</t>
        </is>
      </c>
      <c r="G249" t="n">
        <v>5.2</v>
      </c>
      <c r="H249" t="n">
        <v>0</v>
      </c>
      <c r="I249" t="n">
        <v>0</v>
      </c>
      <c r="J249" t="n">
        <v>0</v>
      </c>
      <c r="K249" t="n">
        <v>0</v>
      </c>
      <c r="L249" t="n">
        <v>0</v>
      </c>
      <c r="M249" t="n">
        <v>0</v>
      </c>
      <c r="N249" t="n">
        <v>0</v>
      </c>
      <c r="O249" t="n">
        <v>0</v>
      </c>
      <c r="P249" t="n">
        <v>0</v>
      </c>
      <c r="Q249" t="n">
        <v>0</v>
      </c>
      <c r="R249" s="2" t="inlineStr"/>
    </row>
    <row r="250" ht="15" customHeight="1">
      <c r="A250" t="inlineStr">
        <is>
          <t>A 8654-2022</t>
        </is>
      </c>
      <c r="B250" s="1" t="n">
        <v>44613</v>
      </c>
      <c r="C250" s="1" t="n">
        <v>45694</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8651-2022</t>
        </is>
      </c>
      <c r="B251" s="1" t="n">
        <v>44613</v>
      </c>
      <c r="C251" s="1" t="n">
        <v>45694</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8892-2022</t>
        </is>
      </c>
      <c r="B252" s="1" t="n">
        <v>44614</v>
      </c>
      <c r="C252" s="1" t="n">
        <v>45694</v>
      </c>
      <c r="D252" t="inlineStr">
        <is>
          <t>VÄSTRA GÖTALANDS LÄN</t>
        </is>
      </c>
      <c r="E252" t="inlineStr">
        <is>
          <t>DALS-ED</t>
        </is>
      </c>
      <c r="G252" t="n">
        <v>0.2</v>
      </c>
      <c r="H252" t="n">
        <v>0</v>
      </c>
      <c r="I252" t="n">
        <v>0</v>
      </c>
      <c r="J252" t="n">
        <v>0</v>
      </c>
      <c r="K252" t="n">
        <v>0</v>
      </c>
      <c r="L252" t="n">
        <v>0</v>
      </c>
      <c r="M252" t="n">
        <v>0</v>
      </c>
      <c r="N252" t="n">
        <v>0</v>
      </c>
      <c r="O252" t="n">
        <v>0</v>
      </c>
      <c r="P252" t="n">
        <v>0</v>
      </c>
      <c r="Q252" t="n">
        <v>0</v>
      </c>
      <c r="R252" s="2" t="inlineStr"/>
    </row>
    <row r="253" ht="15" customHeight="1">
      <c r="A253" t="inlineStr">
        <is>
          <t>A 9157-2022</t>
        </is>
      </c>
      <c r="B253" s="1" t="n">
        <v>44615</v>
      </c>
      <c r="C253" s="1" t="n">
        <v>45694</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9144-2022</t>
        </is>
      </c>
      <c r="B254" s="1" t="n">
        <v>44615</v>
      </c>
      <c r="C254" s="1" t="n">
        <v>45694</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9153-2022</t>
        </is>
      </c>
      <c r="B255" s="1" t="n">
        <v>44615</v>
      </c>
      <c r="C255" s="1" t="n">
        <v>45694</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9154-2022</t>
        </is>
      </c>
      <c r="B256" s="1" t="n">
        <v>44615</v>
      </c>
      <c r="C256" s="1" t="n">
        <v>45694</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10095-2022</t>
        </is>
      </c>
      <c r="B257" s="1" t="n">
        <v>44621</v>
      </c>
      <c r="C257" s="1" t="n">
        <v>45694</v>
      </c>
      <c r="D257" t="inlineStr">
        <is>
          <t>VÄSTRA GÖTALANDS LÄN</t>
        </is>
      </c>
      <c r="E257" t="inlineStr">
        <is>
          <t>DALS-ED</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10092-2022</t>
        </is>
      </c>
      <c r="B258" s="1" t="n">
        <v>44621</v>
      </c>
      <c r="C258" s="1" t="n">
        <v>45694</v>
      </c>
      <c r="D258" t="inlineStr">
        <is>
          <t>VÄSTRA GÖTALANDS LÄN</t>
        </is>
      </c>
      <c r="E258" t="inlineStr">
        <is>
          <t>DALS-ED</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10749-2022</t>
        </is>
      </c>
      <c r="B259" s="1" t="n">
        <v>44627</v>
      </c>
      <c r="C259" s="1" t="n">
        <v>45694</v>
      </c>
      <c r="D259" t="inlineStr">
        <is>
          <t>VÄSTRA GÖTALANDS LÄN</t>
        </is>
      </c>
      <c r="E259" t="inlineStr">
        <is>
          <t>DALS-ED</t>
        </is>
      </c>
      <c r="G259" t="n">
        <v>4.8</v>
      </c>
      <c r="H259" t="n">
        <v>0</v>
      </c>
      <c r="I259" t="n">
        <v>0</v>
      </c>
      <c r="J259" t="n">
        <v>0</v>
      </c>
      <c r="K259" t="n">
        <v>0</v>
      </c>
      <c r="L259" t="n">
        <v>0</v>
      </c>
      <c r="M259" t="n">
        <v>0</v>
      </c>
      <c r="N259" t="n">
        <v>0</v>
      </c>
      <c r="O259" t="n">
        <v>0</v>
      </c>
      <c r="P259" t="n">
        <v>0</v>
      </c>
      <c r="Q259" t="n">
        <v>0</v>
      </c>
      <c r="R259" s="2" t="inlineStr"/>
    </row>
    <row r="260" ht="15" customHeight="1">
      <c r="A260" t="inlineStr">
        <is>
          <t>A 13581-2022</t>
        </is>
      </c>
      <c r="B260" s="1" t="n">
        <v>44648</v>
      </c>
      <c r="C260" s="1" t="n">
        <v>45694</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14993-2022</t>
        </is>
      </c>
      <c r="B261" s="1" t="n">
        <v>44657</v>
      </c>
      <c r="C261" s="1" t="n">
        <v>45694</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15364-2022</t>
        </is>
      </c>
      <c r="B262" s="1" t="n">
        <v>44659</v>
      </c>
      <c r="C262" s="1" t="n">
        <v>45694</v>
      </c>
      <c r="D262" t="inlineStr">
        <is>
          <t>VÄSTRA GÖTALANDS LÄN</t>
        </is>
      </c>
      <c r="E262" t="inlineStr">
        <is>
          <t>DALS-ED</t>
        </is>
      </c>
      <c r="G262" t="n">
        <v>6.5</v>
      </c>
      <c r="H262" t="n">
        <v>0</v>
      </c>
      <c r="I262" t="n">
        <v>0</v>
      </c>
      <c r="J262" t="n">
        <v>0</v>
      </c>
      <c r="K262" t="n">
        <v>0</v>
      </c>
      <c r="L262" t="n">
        <v>0</v>
      </c>
      <c r="M262" t="n">
        <v>0</v>
      </c>
      <c r="N262" t="n">
        <v>0</v>
      </c>
      <c r="O262" t="n">
        <v>0</v>
      </c>
      <c r="P262" t="n">
        <v>0</v>
      </c>
      <c r="Q262" t="n">
        <v>0</v>
      </c>
      <c r="R262" s="2" t="inlineStr"/>
    </row>
    <row r="263" ht="15" customHeight="1">
      <c r="A263" t="inlineStr">
        <is>
          <t>A 16935-2022</t>
        </is>
      </c>
      <c r="B263" s="1" t="n">
        <v>44676</v>
      </c>
      <c r="C263" s="1" t="n">
        <v>45694</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18360-2022</t>
        </is>
      </c>
      <c r="B264" s="1" t="n">
        <v>44685</v>
      </c>
      <c r="C264" s="1" t="n">
        <v>45694</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18362-2022</t>
        </is>
      </c>
      <c r="B265" s="1" t="n">
        <v>44685</v>
      </c>
      <c r="C265" s="1" t="n">
        <v>45694</v>
      </c>
      <c r="D265" t="inlineStr">
        <is>
          <t>VÄSTRA GÖTALANDS LÄN</t>
        </is>
      </c>
      <c r="E265" t="inlineStr">
        <is>
          <t>DALS-ED</t>
        </is>
      </c>
      <c r="G265" t="n">
        <v>0.5</v>
      </c>
      <c r="H265" t="n">
        <v>0</v>
      </c>
      <c r="I265" t="n">
        <v>0</v>
      </c>
      <c r="J265" t="n">
        <v>0</v>
      </c>
      <c r="K265" t="n">
        <v>0</v>
      </c>
      <c r="L265" t="n">
        <v>0</v>
      </c>
      <c r="M265" t="n">
        <v>0</v>
      </c>
      <c r="N265" t="n">
        <v>0</v>
      </c>
      <c r="O265" t="n">
        <v>0</v>
      </c>
      <c r="P265" t="n">
        <v>0</v>
      </c>
      <c r="Q265" t="n">
        <v>0</v>
      </c>
      <c r="R265" s="2" t="inlineStr"/>
    </row>
    <row r="266" ht="15" customHeight="1">
      <c r="A266" t="inlineStr">
        <is>
          <t>A 18356-2022</t>
        </is>
      </c>
      <c r="B266" s="1" t="n">
        <v>44685</v>
      </c>
      <c r="C266" s="1" t="n">
        <v>45694</v>
      </c>
      <c r="D266" t="inlineStr">
        <is>
          <t>VÄSTRA GÖTALANDS LÄN</t>
        </is>
      </c>
      <c r="E266" t="inlineStr">
        <is>
          <t>DALS-ED</t>
        </is>
      </c>
      <c r="G266" t="n">
        <v>3</v>
      </c>
      <c r="H266" t="n">
        <v>0</v>
      </c>
      <c r="I266" t="n">
        <v>0</v>
      </c>
      <c r="J266" t="n">
        <v>0</v>
      </c>
      <c r="K266" t="n">
        <v>0</v>
      </c>
      <c r="L266" t="n">
        <v>0</v>
      </c>
      <c r="M266" t="n">
        <v>0</v>
      </c>
      <c r="N266" t="n">
        <v>0</v>
      </c>
      <c r="O266" t="n">
        <v>0</v>
      </c>
      <c r="P266" t="n">
        <v>0</v>
      </c>
      <c r="Q266" t="n">
        <v>0</v>
      </c>
      <c r="R266" s="2" t="inlineStr"/>
    </row>
    <row r="267" ht="15" customHeight="1">
      <c r="A267" t="inlineStr">
        <is>
          <t>A 18361-2022</t>
        </is>
      </c>
      <c r="B267" s="1" t="n">
        <v>44685</v>
      </c>
      <c r="C267" s="1" t="n">
        <v>45694</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18358-2022</t>
        </is>
      </c>
      <c r="B268" s="1" t="n">
        <v>44685</v>
      </c>
      <c r="C268" s="1" t="n">
        <v>45694</v>
      </c>
      <c r="D268" t="inlineStr">
        <is>
          <t>VÄSTRA GÖTALANDS LÄN</t>
        </is>
      </c>
      <c r="E268" t="inlineStr">
        <is>
          <t>DALS-ED</t>
        </is>
      </c>
      <c r="G268" t="n">
        <v>7.7</v>
      </c>
      <c r="H268" t="n">
        <v>0</v>
      </c>
      <c r="I268" t="n">
        <v>0</v>
      </c>
      <c r="J268" t="n">
        <v>0</v>
      </c>
      <c r="K268" t="n">
        <v>0</v>
      </c>
      <c r="L268" t="n">
        <v>0</v>
      </c>
      <c r="M268" t="n">
        <v>0</v>
      </c>
      <c r="N268" t="n">
        <v>0</v>
      </c>
      <c r="O268" t="n">
        <v>0</v>
      </c>
      <c r="P268" t="n">
        <v>0</v>
      </c>
      <c r="Q268" t="n">
        <v>0</v>
      </c>
      <c r="R268" s="2" t="inlineStr"/>
    </row>
    <row r="269" ht="15" customHeight="1">
      <c r="A269" t="inlineStr">
        <is>
          <t>A 18837-2022</t>
        </is>
      </c>
      <c r="B269" s="1" t="n">
        <v>44690</v>
      </c>
      <c r="C269" s="1" t="n">
        <v>45694</v>
      </c>
      <c r="D269" t="inlineStr">
        <is>
          <t>VÄSTRA GÖTALANDS LÄN</t>
        </is>
      </c>
      <c r="E269" t="inlineStr">
        <is>
          <t>DALS-ED</t>
        </is>
      </c>
      <c r="G269" t="n">
        <v>4.7</v>
      </c>
      <c r="H269" t="n">
        <v>0</v>
      </c>
      <c r="I269" t="n">
        <v>0</v>
      </c>
      <c r="J269" t="n">
        <v>0</v>
      </c>
      <c r="K269" t="n">
        <v>0</v>
      </c>
      <c r="L269" t="n">
        <v>0</v>
      </c>
      <c r="M269" t="n">
        <v>0</v>
      </c>
      <c r="N269" t="n">
        <v>0</v>
      </c>
      <c r="O269" t="n">
        <v>0</v>
      </c>
      <c r="P269" t="n">
        <v>0</v>
      </c>
      <c r="Q269" t="n">
        <v>0</v>
      </c>
      <c r="R269" s="2" t="inlineStr"/>
    </row>
    <row r="270" ht="15" customHeight="1">
      <c r="A270" t="inlineStr">
        <is>
          <t>A 18839-2022</t>
        </is>
      </c>
      <c r="B270" s="1" t="n">
        <v>44690</v>
      </c>
      <c r="C270" s="1" t="n">
        <v>45694</v>
      </c>
      <c r="D270" t="inlineStr">
        <is>
          <t>VÄSTRA GÖTALANDS LÄN</t>
        </is>
      </c>
      <c r="E270" t="inlineStr">
        <is>
          <t>DALS-ED</t>
        </is>
      </c>
      <c r="G270" t="n">
        <v>8.9</v>
      </c>
      <c r="H270" t="n">
        <v>0</v>
      </c>
      <c r="I270" t="n">
        <v>0</v>
      </c>
      <c r="J270" t="n">
        <v>0</v>
      </c>
      <c r="K270" t="n">
        <v>0</v>
      </c>
      <c r="L270" t="n">
        <v>0</v>
      </c>
      <c r="M270" t="n">
        <v>0</v>
      </c>
      <c r="N270" t="n">
        <v>0</v>
      </c>
      <c r="O270" t="n">
        <v>0</v>
      </c>
      <c r="P270" t="n">
        <v>0</v>
      </c>
      <c r="Q270" t="n">
        <v>0</v>
      </c>
      <c r="R270" s="2" t="inlineStr"/>
    </row>
    <row r="271" ht="15" customHeight="1">
      <c r="A271" t="inlineStr">
        <is>
          <t>A 20889-2022</t>
        </is>
      </c>
      <c r="B271" s="1" t="n">
        <v>44701</v>
      </c>
      <c r="C271" s="1" t="n">
        <v>45694</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20887-2022</t>
        </is>
      </c>
      <c r="B272" s="1" t="n">
        <v>44701</v>
      </c>
      <c r="C272" s="1" t="n">
        <v>45694</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20908-2022</t>
        </is>
      </c>
      <c r="B273" s="1" t="n">
        <v>44701</v>
      </c>
      <c r="C273" s="1" t="n">
        <v>45694</v>
      </c>
      <c r="D273" t="inlineStr">
        <is>
          <t>VÄSTRA GÖTALANDS LÄN</t>
        </is>
      </c>
      <c r="E273" t="inlineStr">
        <is>
          <t>DALS-ED</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v>
      </c>
      <c r="C274" s="1" t="n">
        <v>45694</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21368-2022</t>
        </is>
      </c>
      <c r="B275" s="1" t="n">
        <v>44705</v>
      </c>
      <c r="C275" s="1" t="n">
        <v>45694</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21373-2022</t>
        </is>
      </c>
      <c r="B276" s="1" t="n">
        <v>44705</v>
      </c>
      <c r="C276" s="1" t="n">
        <v>45694</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21367-2022</t>
        </is>
      </c>
      <c r="B277" s="1" t="n">
        <v>44705</v>
      </c>
      <c r="C277" s="1" t="n">
        <v>45694</v>
      </c>
      <c r="D277" t="inlineStr">
        <is>
          <t>VÄSTRA GÖTALANDS LÄN</t>
        </is>
      </c>
      <c r="E277" t="inlineStr">
        <is>
          <t>DALS-ED</t>
        </is>
      </c>
      <c r="G277" t="n">
        <v>6.8</v>
      </c>
      <c r="H277" t="n">
        <v>0</v>
      </c>
      <c r="I277" t="n">
        <v>0</v>
      </c>
      <c r="J277" t="n">
        <v>0</v>
      </c>
      <c r="K277" t="n">
        <v>0</v>
      </c>
      <c r="L277" t="n">
        <v>0</v>
      </c>
      <c r="M277" t="n">
        <v>0</v>
      </c>
      <c r="N277" t="n">
        <v>0</v>
      </c>
      <c r="O277" t="n">
        <v>0</v>
      </c>
      <c r="P277" t="n">
        <v>0</v>
      </c>
      <c r="Q277" t="n">
        <v>0</v>
      </c>
      <c r="R277" s="2" t="inlineStr"/>
    </row>
    <row r="278" ht="15" customHeight="1">
      <c r="A278" t="inlineStr">
        <is>
          <t>A 21372-2022</t>
        </is>
      </c>
      <c r="B278" s="1" t="n">
        <v>44705</v>
      </c>
      <c r="C278" s="1" t="n">
        <v>45694</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23317-2022</t>
        </is>
      </c>
      <c r="B279" s="1" t="n">
        <v>44720</v>
      </c>
      <c r="C279" s="1" t="n">
        <v>45694</v>
      </c>
      <c r="D279" t="inlineStr">
        <is>
          <t>VÄSTRA GÖTALANDS LÄN</t>
        </is>
      </c>
      <c r="E279" t="inlineStr">
        <is>
          <t>DALS-ED</t>
        </is>
      </c>
      <c r="G279" t="n">
        <v>6.9</v>
      </c>
      <c r="H279" t="n">
        <v>0</v>
      </c>
      <c r="I279" t="n">
        <v>0</v>
      </c>
      <c r="J279" t="n">
        <v>0</v>
      </c>
      <c r="K279" t="n">
        <v>0</v>
      </c>
      <c r="L279" t="n">
        <v>0</v>
      </c>
      <c r="M279" t="n">
        <v>0</v>
      </c>
      <c r="N279" t="n">
        <v>0</v>
      </c>
      <c r="O279" t="n">
        <v>0</v>
      </c>
      <c r="P279" t="n">
        <v>0</v>
      </c>
      <c r="Q279" t="n">
        <v>0</v>
      </c>
      <c r="R279" s="2" t="inlineStr"/>
    </row>
    <row r="280" ht="15" customHeight="1">
      <c r="A280" t="inlineStr">
        <is>
          <t>A 25762-2022</t>
        </is>
      </c>
      <c r="B280" s="1" t="n">
        <v>44733</v>
      </c>
      <c r="C280" s="1" t="n">
        <v>45694</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v>
      </c>
      <c r="C281" s="1" t="n">
        <v>45694</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27682-2022</t>
        </is>
      </c>
      <c r="B282" s="1" t="n">
        <v>44743</v>
      </c>
      <c r="C282" s="1" t="n">
        <v>45694</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27685-2022</t>
        </is>
      </c>
      <c r="B283" s="1" t="n">
        <v>44743</v>
      </c>
      <c r="C283" s="1" t="n">
        <v>45694</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27796-2022</t>
        </is>
      </c>
      <c r="B284" s="1" t="n">
        <v>44743</v>
      </c>
      <c r="C284" s="1" t="n">
        <v>45694</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27807-2022</t>
        </is>
      </c>
      <c r="B285" s="1" t="n">
        <v>44743</v>
      </c>
      <c r="C285" s="1" t="n">
        <v>45694</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27812-2022</t>
        </is>
      </c>
      <c r="B286" s="1" t="n">
        <v>44743</v>
      </c>
      <c r="C286" s="1" t="n">
        <v>45694</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29518-2022</t>
        </is>
      </c>
      <c r="B287" s="1" t="n">
        <v>44753</v>
      </c>
      <c r="C287" s="1" t="n">
        <v>45694</v>
      </c>
      <c r="D287" t="inlineStr">
        <is>
          <t>VÄSTRA GÖTALANDS LÄN</t>
        </is>
      </c>
      <c r="E287" t="inlineStr">
        <is>
          <t>DALS-ED</t>
        </is>
      </c>
      <c r="F287" t="inlineStr">
        <is>
          <t>Övriga Aktiebolag</t>
        </is>
      </c>
      <c r="G287" t="n">
        <v>5.5</v>
      </c>
      <c r="H287" t="n">
        <v>0</v>
      </c>
      <c r="I287" t="n">
        <v>0</v>
      </c>
      <c r="J287" t="n">
        <v>0</v>
      </c>
      <c r="K287" t="n">
        <v>0</v>
      </c>
      <c r="L287" t="n">
        <v>0</v>
      </c>
      <c r="M287" t="n">
        <v>0</v>
      </c>
      <c r="N287" t="n">
        <v>0</v>
      </c>
      <c r="O287" t="n">
        <v>0</v>
      </c>
      <c r="P287" t="n">
        <v>0</v>
      </c>
      <c r="Q287" t="n">
        <v>0</v>
      </c>
      <c r="R287" s="2" t="inlineStr"/>
    </row>
    <row r="288" ht="15" customHeight="1">
      <c r="A288" t="inlineStr">
        <is>
          <t>A 31754-2022</t>
        </is>
      </c>
      <c r="B288" s="1" t="n">
        <v>44776</v>
      </c>
      <c r="C288" s="1" t="n">
        <v>45694</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31764-2022</t>
        </is>
      </c>
      <c r="B289" s="1" t="n">
        <v>44776</v>
      </c>
      <c r="C289" s="1" t="n">
        <v>45694</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32193-2022</t>
        </is>
      </c>
      <c r="B290" s="1" t="n">
        <v>44781</v>
      </c>
      <c r="C290" s="1" t="n">
        <v>45694</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32317-2022</t>
        </is>
      </c>
      <c r="B291" s="1" t="n">
        <v>44781</v>
      </c>
      <c r="C291" s="1" t="n">
        <v>45694</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32313-2022</t>
        </is>
      </c>
      <c r="B292" s="1" t="n">
        <v>44781</v>
      </c>
      <c r="C292" s="1" t="n">
        <v>45694</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32872-2022</t>
        </is>
      </c>
      <c r="B293" s="1" t="n">
        <v>44784</v>
      </c>
      <c r="C293" s="1" t="n">
        <v>45694</v>
      </c>
      <c r="D293" t="inlineStr">
        <is>
          <t>VÄSTRA GÖTALANDS LÄN</t>
        </is>
      </c>
      <c r="E293" t="inlineStr">
        <is>
          <t>DALS-ED</t>
        </is>
      </c>
      <c r="G293" t="n">
        <v>18.3</v>
      </c>
      <c r="H293" t="n">
        <v>0</v>
      </c>
      <c r="I293" t="n">
        <v>0</v>
      </c>
      <c r="J293" t="n">
        <v>0</v>
      </c>
      <c r="K293" t="n">
        <v>0</v>
      </c>
      <c r="L293" t="n">
        <v>0</v>
      </c>
      <c r="M293" t="n">
        <v>0</v>
      </c>
      <c r="N293" t="n">
        <v>0</v>
      </c>
      <c r="O293" t="n">
        <v>0</v>
      </c>
      <c r="P293" t="n">
        <v>0</v>
      </c>
      <c r="Q293" t="n">
        <v>0</v>
      </c>
      <c r="R293" s="2" t="inlineStr"/>
    </row>
    <row r="294" ht="15" customHeight="1">
      <c r="A294" t="inlineStr">
        <is>
          <t>A 33688-2022</t>
        </is>
      </c>
      <c r="B294" s="1" t="n">
        <v>44789</v>
      </c>
      <c r="C294" s="1" t="n">
        <v>45694</v>
      </c>
      <c r="D294" t="inlineStr">
        <is>
          <t>VÄSTRA GÖTALANDS LÄN</t>
        </is>
      </c>
      <c r="E294" t="inlineStr">
        <is>
          <t>DALS-ED</t>
        </is>
      </c>
      <c r="G294" t="n">
        <v>12.9</v>
      </c>
      <c r="H294" t="n">
        <v>0</v>
      </c>
      <c r="I294" t="n">
        <v>0</v>
      </c>
      <c r="J294" t="n">
        <v>0</v>
      </c>
      <c r="K294" t="n">
        <v>0</v>
      </c>
      <c r="L294" t="n">
        <v>0</v>
      </c>
      <c r="M294" t="n">
        <v>0</v>
      </c>
      <c r="N294" t="n">
        <v>0</v>
      </c>
      <c r="O294" t="n">
        <v>0</v>
      </c>
      <c r="P294" t="n">
        <v>0</v>
      </c>
      <c r="Q294" t="n">
        <v>0</v>
      </c>
      <c r="R294" s="2" t="inlineStr"/>
    </row>
    <row r="295" ht="15" customHeight="1">
      <c r="A295" t="inlineStr">
        <is>
          <t>A 34888-2022</t>
        </is>
      </c>
      <c r="B295" s="1" t="n">
        <v>44796</v>
      </c>
      <c r="C295" s="1" t="n">
        <v>45694</v>
      </c>
      <c r="D295" t="inlineStr">
        <is>
          <t>VÄSTRA GÖTALANDS LÄN</t>
        </is>
      </c>
      <c r="E295" t="inlineStr">
        <is>
          <t>DALS-ED</t>
        </is>
      </c>
      <c r="G295" t="n">
        <v>2.7</v>
      </c>
      <c r="H295" t="n">
        <v>0</v>
      </c>
      <c r="I295" t="n">
        <v>0</v>
      </c>
      <c r="J295" t="n">
        <v>0</v>
      </c>
      <c r="K295" t="n">
        <v>0</v>
      </c>
      <c r="L295" t="n">
        <v>0</v>
      </c>
      <c r="M295" t="n">
        <v>0</v>
      </c>
      <c r="N295" t="n">
        <v>0</v>
      </c>
      <c r="O295" t="n">
        <v>0</v>
      </c>
      <c r="P295" t="n">
        <v>0</v>
      </c>
      <c r="Q295" t="n">
        <v>0</v>
      </c>
      <c r="R295" s="2" t="inlineStr"/>
    </row>
    <row r="296" ht="15" customHeight="1">
      <c r="A296" t="inlineStr">
        <is>
          <t>A 35629-2022</t>
        </is>
      </c>
      <c r="B296" s="1" t="n">
        <v>44799</v>
      </c>
      <c r="C296" s="1" t="n">
        <v>45694</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35879-2022</t>
        </is>
      </c>
      <c r="B297" s="1" t="n">
        <v>44802</v>
      </c>
      <c r="C297" s="1" t="n">
        <v>45694</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37168-2022</t>
        </is>
      </c>
      <c r="B298" s="1" t="n">
        <v>44806</v>
      </c>
      <c r="C298" s="1" t="n">
        <v>45694</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37253-2022</t>
        </is>
      </c>
      <c r="B299" s="1" t="n">
        <v>44807</v>
      </c>
      <c r="C299" s="1" t="n">
        <v>45694</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38392-2022</t>
        </is>
      </c>
      <c r="B300" s="1" t="n">
        <v>44812</v>
      </c>
      <c r="C300" s="1" t="n">
        <v>45694</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45694</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40380-2022</t>
        </is>
      </c>
      <c r="B302" s="1" t="n">
        <v>44823</v>
      </c>
      <c r="C302" s="1" t="n">
        <v>45694</v>
      </c>
      <c r="D302" t="inlineStr">
        <is>
          <t>VÄSTRA GÖTALANDS LÄN</t>
        </is>
      </c>
      <c r="E302" t="inlineStr">
        <is>
          <t>DALS-ED</t>
        </is>
      </c>
      <c r="G302" t="n">
        <v>5.1</v>
      </c>
      <c r="H302" t="n">
        <v>0</v>
      </c>
      <c r="I302" t="n">
        <v>0</v>
      </c>
      <c r="J302" t="n">
        <v>0</v>
      </c>
      <c r="K302" t="n">
        <v>0</v>
      </c>
      <c r="L302" t="n">
        <v>0</v>
      </c>
      <c r="M302" t="n">
        <v>0</v>
      </c>
      <c r="N302" t="n">
        <v>0</v>
      </c>
      <c r="O302" t="n">
        <v>0</v>
      </c>
      <c r="P302" t="n">
        <v>0</v>
      </c>
      <c r="Q302" t="n">
        <v>0</v>
      </c>
      <c r="R302" s="2" t="inlineStr"/>
    </row>
    <row r="303" ht="15" customHeight="1">
      <c r="A303" t="inlineStr">
        <is>
          <t>A 40390-2022</t>
        </is>
      </c>
      <c r="B303" s="1" t="n">
        <v>44823</v>
      </c>
      <c r="C303" s="1" t="n">
        <v>45694</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40354-2022</t>
        </is>
      </c>
      <c r="B304" s="1" t="n">
        <v>44823</v>
      </c>
      <c r="C304" s="1" t="n">
        <v>45694</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40378-2022</t>
        </is>
      </c>
      <c r="B305" s="1" t="n">
        <v>44823</v>
      </c>
      <c r="C305" s="1" t="n">
        <v>45694</v>
      </c>
      <c r="D305" t="inlineStr">
        <is>
          <t>VÄSTRA GÖTALANDS LÄN</t>
        </is>
      </c>
      <c r="E305" t="inlineStr">
        <is>
          <t>DALS-ED</t>
        </is>
      </c>
      <c r="F305" t="inlineStr">
        <is>
          <t>Kyrkan</t>
        </is>
      </c>
      <c r="G305" t="n">
        <v>2.9</v>
      </c>
      <c r="H305" t="n">
        <v>0</v>
      </c>
      <c r="I305" t="n">
        <v>0</v>
      </c>
      <c r="J305" t="n">
        <v>0</v>
      </c>
      <c r="K305" t="n">
        <v>0</v>
      </c>
      <c r="L305" t="n">
        <v>0</v>
      </c>
      <c r="M305" t="n">
        <v>0</v>
      </c>
      <c r="N305" t="n">
        <v>0</v>
      </c>
      <c r="O305" t="n">
        <v>0</v>
      </c>
      <c r="P305" t="n">
        <v>0</v>
      </c>
      <c r="Q305" t="n">
        <v>0</v>
      </c>
      <c r="R305" s="2" t="inlineStr"/>
    </row>
    <row r="306" ht="15" customHeight="1">
      <c r="A306" t="inlineStr">
        <is>
          <t>A 40482-2022</t>
        </is>
      </c>
      <c r="B306" s="1" t="n">
        <v>44823</v>
      </c>
      <c r="C306" s="1" t="n">
        <v>45694</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40488-2022</t>
        </is>
      </c>
      <c r="B307" s="1" t="n">
        <v>44823</v>
      </c>
      <c r="C307" s="1" t="n">
        <v>45694</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41151-2022</t>
        </is>
      </c>
      <c r="B308" s="1" t="n">
        <v>44825</v>
      </c>
      <c r="C308" s="1" t="n">
        <v>45694</v>
      </c>
      <c r="D308" t="inlineStr">
        <is>
          <t>VÄSTRA GÖTALANDS LÄN</t>
        </is>
      </c>
      <c r="E308" t="inlineStr">
        <is>
          <t>DALS-ED</t>
        </is>
      </c>
      <c r="G308" t="n">
        <v>3.4</v>
      </c>
      <c r="H308" t="n">
        <v>0</v>
      </c>
      <c r="I308" t="n">
        <v>0</v>
      </c>
      <c r="J308" t="n">
        <v>0</v>
      </c>
      <c r="K308" t="n">
        <v>0</v>
      </c>
      <c r="L308" t="n">
        <v>0</v>
      </c>
      <c r="M308" t="n">
        <v>0</v>
      </c>
      <c r="N308" t="n">
        <v>0</v>
      </c>
      <c r="O308" t="n">
        <v>0</v>
      </c>
      <c r="P308" t="n">
        <v>0</v>
      </c>
      <c r="Q308" t="n">
        <v>0</v>
      </c>
      <c r="R308" s="2" t="inlineStr"/>
    </row>
    <row r="309" ht="15" customHeight="1">
      <c r="A309" t="inlineStr">
        <is>
          <t>A 41255-2022</t>
        </is>
      </c>
      <c r="B309" s="1" t="n">
        <v>44826</v>
      </c>
      <c r="C309" s="1" t="n">
        <v>45694</v>
      </c>
      <c r="D309" t="inlineStr">
        <is>
          <t>VÄSTRA GÖTALANDS LÄN</t>
        </is>
      </c>
      <c r="E309" t="inlineStr">
        <is>
          <t>DALS-ED</t>
        </is>
      </c>
      <c r="G309" t="n">
        <v>10.8</v>
      </c>
      <c r="H309" t="n">
        <v>0</v>
      </c>
      <c r="I309" t="n">
        <v>0</v>
      </c>
      <c r="J309" t="n">
        <v>0</v>
      </c>
      <c r="K309" t="n">
        <v>0</v>
      </c>
      <c r="L309" t="n">
        <v>0</v>
      </c>
      <c r="M309" t="n">
        <v>0</v>
      </c>
      <c r="N309" t="n">
        <v>0</v>
      </c>
      <c r="O309" t="n">
        <v>0</v>
      </c>
      <c r="P309" t="n">
        <v>0</v>
      </c>
      <c r="Q309" t="n">
        <v>0</v>
      </c>
      <c r="R309" s="2" t="inlineStr"/>
    </row>
    <row r="310" ht="15" customHeight="1">
      <c r="A310" t="inlineStr">
        <is>
          <t>A 42951-2022</t>
        </is>
      </c>
      <c r="B310" s="1" t="n">
        <v>44832</v>
      </c>
      <c r="C310" s="1" t="n">
        <v>45694</v>
      </c>
      <c r="D310" t="inlineStr">
        <is>
          <t>VÄSTRA GÖTALANDS LÄN</t>
        </is>
      </c>
      <c r="E310" t="inlineStr">
        <is>
          <t>DALS-ED</t>
        </is>
      </c>
      <c r="F310" t="inlineStr">
        <is>
          <t>Kyrkan</t>
        </is>
      </c>
      <c r="G310" t="n">
        <v>7.9</v>
      </c>
      <c r="H310" t="n">
        <v>0</v>
      </c>
      <c r="I310" t="n">
        <v>0</v>
      </c>
      <c r="J310" t="n">
        <v>0</v>
      </c>
      <c r="K310" t="n">
        <v>0</v>
      </c>
      <c r="L310" t="n">
        <v>0</v>
      </c>
      <c r="M310" t="n">
        <v>0</v>
      </c>
      <c r="N310" t="n">
        <v>0</v>
      </c>
      <c r="O310" t="n">
        <v>0</v>
      </c>
      <c r="P310" t="n">
        <v>0</v>
      </c>
      <c r="Q310" t="n">
        <v>0</v>
      </c>
      <c r="R310" s="2" t="inlineStr"/>
    </row>
    <row r="311" ht="15" customHeight="1">
      <c r="A311" t="inlineStr">
        <is>
          <t>A 42979-2022</t>
        </is>
      </c>
      <c r="B311" s="1" t="n">
        <v>44833</v>
      </c>
      <c r="C311" s="1" t="n">
        <v>45694</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43027-2022</t>
        </is>
      </c>
      <c r="B312" s="1" t="n">
        <v>44833</v>
      </c>
      <c r="C312" s="1" t="n">
        <v>45694</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43492-2022</t>
        </is>
      </c>
      <c r="B313" s="1" t="n">
        <v>44837</v>
      </c>
      <c r="C313" s="1" t="n">
        <v>45694</v>
      </c>
      <c r="D313" t="inlineStr">
        <is>
          <t>VÄSTRA GÖTALANDS LÄN</t>
        </is>
      </c>
      <c r="E313" t="inlineStr">
        <is>
          <t>DALS-ED</t>
        </is>
      </c>
      <c r="G313" t="n">
        <v>1</v>
      </c>
      <c r="H313" t="n">
        <v>0</v>
      </c>
      <c r="I313" t="n">
        <v>0</v>
      </c>
      <c r="J313" t="n">
        <v>0</v>
      </c>
      <c r="K313" t="n">
        <v>0</v>
      </c>
      <c r="L313" t="n">
        <v>0</v>
      </c>
      <c r="M313" t="n">
        <v>0</v>
      </c>
      <c r="N313" t="n">
        <v>0</v>
      </c>
      <c r="O313" t="n">
        <v>0</v>
      </c>
      <c r="P313" t="n">
        <v>0</v>
      </c>
      <c r="Q313" t="n">
        <v>0</v>
      </c>
      <c r="R313" s="2" t="inlineStr"/>
    </row>
    <row r="314" ht="15" customHeight="1">
      <c r="A314" t="inlineStr">
        <is>
          <t>A 44826-2022</t>
        </is>
      </c>
      <c r="B314" s="1" t="n">
        <v>44841</v>
      </c>
      <c r="C314" s="1" t="n">
        <v>45694</v>
      </c>
      <c r="D314" t="inlineStr">
        <is>
          <t>VÄSTRA GÖTALANDS LÄN</t>
        </is>
      </c>
      <c r="E314" t="inlineStr">
        <is>
          <t>DALS-ED</t>
        </is>
      </c>
      <c r="F314" t="inlineStr">
        <is>
          <t>Övriga Aktiebolag</t>
        </is>
      </c>
      <c r="G314" t="n">
        <v>7.2</v>
      </c>
      <c r="H314" t="n">
        <v>0</v>
      </c>
      <c r="I314" t="n">
        <v>0</v>
      </c>
      <c r="J314" t="n">
        <v>0</v>
      </c>
      <c r="K314" t="n">
        <v>0</v>
      </c>
      <c r="L314" t="n">
        <v>0</v>
      </c>
      <c r="M314" t="n">
        <v>0</v>
      </c>
      <c r="N314" t="n">
        <v>0</v>
      </c>
      <c r="O314" t="n">
        <v>0</v>
      </c>
      <c r="P314" t="n">
        <v>0</v>
      </c>
      <c r="Q314" t="n">
        <v>0</v>
      </c>
      <c r="R314" s="2" t="inlineStr"/>
    </row>
    <row r="315" ht="15" customHeight="1">
      <c r="A315" t="inlineStr">
        <is>
          <t>A 47828-2022</t>
        </is>
      </c>
      <c r="B315" s="1" t="n">
        <v>44855</v>
      </c>
      <c r="C315" s="1" t="n">
        <v>45694</v>
      </c>
      <c r="D315" t="inlineStr">
        <is>
          <t>VÄSTRA GÖTALANDS LÄN</t>
        </is>
      </c>
      <c r="E315" t="inlineStr">
        <is>
          <t>DALS-ED</t>
        </is>
      </c>
      <c r="G315" t="n">
        <v>0.4</v>
      </c>
      <c r="H315" t="n">
        <v>0</v>
      </c>
      <c r="I315" t="n">
        <v>0</v>
      </c>
      <c r="J315" t="n">
        <v>0</v>
      </c>
      <c r="K315" t="n">
        <v>0</v>
      </c>
      <c r="L315" t="n">
        <v>0</v>
      </c>
      <c r="M315" t="n">
        <v>0</v>
      </c>
      <c r="N315" t="n">
        <v>0</v>
      </c>
      <c r="O315" t="n">
        <v>0</v>
      </c>
      <c r="P315" t="n">
        <v>0</v>
      </c>
      <c r="Q315" t="n">
        <v>0</v>
      </c>
      <c r="R315" s="2" t="inlineStr"/>
    </row>
    <row r="316" ht="15" customHeight="1">
      <c r="A316" t="inlineStr">
        <is>
          <t>A 48278-2022</t>
        </is>
      </c>
      <c r="B316" s="1" t="n">
        <v>44858</v>
      </c>
      <c r="C316" s="1" t="n">
        <v>45694</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48295-2022</t>
        </is>
      </c>
      <c r="B317" s="1" t="n">
        <v>44858</v>
      </c>
      <c r="C317" s="1" t="n">
        <v>45694</v>
      </c>
      <c r="D317" t="inlineStr">
        <is>
          <t>VÄSTRA GÖTALANDS LÄN</t>
        </is>
      </c>
      <c r="E317" t="inlineStr">
        <is>
          <t>DALS-ED</t>
        </is>
      </c>
      <c r="G317" t="n">
        <v>2.4</v>
      </c>
      <c r="H317" t="n">
        <v>0</v>
      </c>
      <c r="I317" t="n">
        <v>0</v>
      </c>
      <c r="J317" t="n">
        <v>0</v>
      </c>
      <c r="K317" t="n">
        <v>0</v>
      </c>
      <c r="L317" t="n">
        <v>0</v>
      </c>
      <c r="M317" t="n">
        <v>0</v>
      </c>
      <c r="N317" t="n">
        <v>0</v>
      </c>
      <c r="O317" t="n">
        <v>0</v>
      </c>
      <c r="P317" t="n">
        <v>0</v>
      </c>
      <c r="Q317" t="n">
        <v>0</v>
      </c>
      <c r="R317" s="2" t="inlineStr"/>
    </row>
    <row r="318" ht="15" customHeight="1">
      <c r="A318" t="inlineStr">
        <is>
          <t>A 48281-2022</t>
        </is>
      </c>
      <c r="B318" s="1" t="n">
        <v>44858</v>
      </c>
      <c r="C318" s="1" t="n">
        <v>45694</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49036-2022</t>
        </is>
      </c>
      <c r="B319" s="1" t="n">
        <v>44860</v>
      </c>
      <c r="C319" s="1" t="n">
        <v>45694</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51214-2022</t>
        </is>
      </c>
      <c r="B320" s="1" t="n">
        <v>44865</v>
      </c>
      <c r="C320" s="1" t="n">
        <v>45694</v>
      </c>
      <c r="D320" t="inlineStr">
        <is>
          <t>VÄSTRA GÖTALANDS LÄN</t>
        </is>
      </c>
      <c r="E320" t="inlineStr">
        <is>
          <t>DALS-ED</t>
        </is>
      </c>
      <c r="F320" t="inlineStr">
        <is>
          <t>Kyrkan</t>
        </is>
      </c>
      <c r="G320" t="n">
        <v>3</v>
      </c>
      <c r="H320" t="n">
        <v>0</v>
      </c>
      <c r="I320" t="n">
        <v>0</v>
      </c>
      <c r="J320" t="n">
        <v>0</v>
      </c>
      <c r="K320" t="n">
        <v>0</v>
      </c>
      <c r="L320" t="n">
        <v>0</v>
      </c>
      <c r="M320" t="n">
        <v>0</v>
      </c>
      <c r="N320" t="n">
        <v>0</v>
      </c>
      <c r="O320" t="n">
        <v>0</v>
      </c>
      <c r="P320" t="n">
        <v>0</v>
      </c>
      <c r="Q320" t="n">
        <v>0</v>
      </c>
      <c r="R320" s="2" t="inlineStr"/>
    </row>
    <row r="321" ht="15" customHeight="1">
      <c r="A321" t="inlineStr">
        <is>
          <t>A 53084-2022</t>
        </is>
      </c>
      <c r="B321" s="1" t="n">
        <v>44873</v>
      </c>
      <c r="C321" s="1" t="n">
        <v>45694</v>
      </c>
      <c r="D321" t="inlineStr">
        <is>
          <t>VÄSTRA GÖTALANDS LÄN</t>
        </is>
      </c>
      <c r="E321" t="inlineStr">
        <is>
          <t>DALS-ED</t>
        </is>
      </c>
      <c r="G321" t="n">
        <v>9.4</v>
      </c>
      <c r="H321" t="n">
        <v>0</v>
      </c>
      <c r="I321" t="n">
        <v>0</v>
      </c>
      <c r="J321" t="n">
        <v>0</v>
      </c>
      <c r="K321" t="n">
        <v>0</v>
      </c>
      <c r="L321" t="n">
        <v>0</v>
      </c>
      <c r="M321" t="n">
        <v>0</v>
      </c>
      <c r="N321" t="n">
        <v>0</v>
      </c>
      <c r="O321" t="n">
        <v>0</v>
      </c>
      <c r="P321" t="n">
        <v>0</v>
      </c>
      <c r="Q321" t="n">
        <v>0</v>
      </c>
      <c r="R321" s="2" t="inlineStr"/>
    </row>
    <row r="322" ht="15" customHeight="1">
      <c r="A322" t="inlineStr">
        <is>
          <t>A 52860-2022</t>
        </is>
      </c>
      <c r="B322" s="1" t="n">
        <v>44875</v>
      </c>
      <c r="C322" s="1" t="n">
        <v>45694</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56310-2022</t>
        </is>
      </c>
      <c r="B323" s="1" t="n">
        <v>44887</v>
      </c>
      <c r="C323" s="1" t="n">
        <v>45694</v>
      </c>
      <c r="D323" t="inlineStr">
        <is>
          <t>VÄSTRA GÖTALANDS LÄN</t>
        </is>
      </c>
      <c r="E323" t="inlineStr">
        <is>
          <t>DALS-ED</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57105-2022</t>
        </is>
      </c>
      <c r="B324" s="1" t="n">
        <v>44895</v>
      </c>
      <c r="C324" s="1" t="n">
        <v>45694</v>
      </c>
      <c r="D324" t="inlineStr">
        <is>
          <t>VÄSTRA GÖTALANDS LÄN</t>
        </is>
      </c>
      <c r="E324" t="inlineStr">
        <is>
          <t>DALS-ED</t>
        </is>
      </c>
      <c r="G324" t="n">
        <v>11.4</v>
      </c>
      <c r="H324" t="n">
        <v>0</v>
      </c>
      <c r="I324" t="n">
        <v>0</v>
      </c>
      <c r="J324" t="n">
        <v>0</v>
      </c>
      <c r="K324" t="n">
        <v>0</v>
      </c>
      <c r="L324" t="n">
        <v>0</v>
      </c>
      <c r="M324" t="n">
        <v>0</v>
      </c>
      <c r="N324" t="n">
        <v>0</v>
      </c>
      <c r="O324" t="n">
        <v>0</v>
      </c>
      <c r="P324" t="n">
        <v>0</v>
      </c>
      <c r="Q324" t="n">
        <v>0</v>
      </c>
      <c r="R324" s="2" t="inlineStr"/>
    </row>
    <row r="325" ht="15" customHeight="1">
      <c r="A325" t="inlineStr">
        <is>
          <t>A 57262-2022</t>
        </is>
      </c>
      <c r="B325" s="1" t="n">
        <v>44895</v>
      </c>
      <c r="C325" s="1" t="n">
        <v>45694</v>
      </c>
      <c r="D325" t="inlineStr">
        <is>
          <t>VÄSTRA GÖTALANDS LÄN</t>
        </is>
      </c>
      <c r="E325" t="inlineStr">
        <is>
          <t>DALS-ED</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45694</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58199-2022</t>
        </is>
      </c>
      <c r="B327" s="1" t="n">
        <v>44901</v>
      </c>
      <c r="C327" s="1" t="n">
        <v>45694</v>
      </c>
      <c r="D327" t="inlineStr">
        <is>
          <t>VÄSTRA GÖTALANDS LÄN</t>
        </is>
      </c>
      <c r="E327" t="inlineStr">
        <is>
          <t>DALS-ED</t>
        </is>
      </c>
      <c r="G327" t="n">
        <v>5.6</v>
      </c>
      <c r="H327" t="n">
        <v>0</v>
      </c>
      <c r="I327" t="n">
        <v>0</v>
      </c>
      <c r="J327" t="n">
        <v>0</v>
      </c>
      <c r="K327" t="n">
        <v>0</v>
      </c>
      <c r="L327" t="n">
        <v>0</v>
      </c>
      <c r="M327" t="n">
        <v>0</v>
      </c>
      <c r="N327" t="n">
        <v>0</v>
      </c>
      <c r="O327" t="n">
        <v>0</v>
      </c>
      <c r="P327" t="n">
        <v>0</v>
      </c>
      <c r="Q327" t="n">
        <v>0</v>
      </c>
      <c r="R327" s="2" t="inlineStr"/>
    </row>
    <row r="328" ht="15" customHeight="1">
      <c r="A328" t="inlineStr">
        <is>
          <t>A 60139-2022</t>
        </is>
      </c>
      <c r="B328" s="1" t="n">
        <v>44902</v>
      </c>
      <c r="C328" s="1" t="n">
        <v>45694</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60146-2022</t>
        </is>
      </c>
      <c r="B329" s="1" t="n">
        <v>44902</v>
      </c>
      <c r="C329" s="1" t="n">
        <v>45694</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59339-2022</t>
        </is>
      </c>
      <c r="B330" s="1" t="n">
        <v>44904</v>
      </c>
      <c r="C330" s="1" t="n">
        <v>45694</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59530-2022</t>
        </is>
      </c>
      <c r="B331" s="1" t="n">
        <v>44907</v>
      </c>
      <c r="C331" s="1" t="n">
        <v>45694</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59714-2022</t>
        </is>
      </c>
      <c r="B332" s="1" t="n">
        <v>44908</v>
      </c>
      <c r="C332" s="1" t="n">
        <v>45694</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61073-2022</t>
        </is>
      </c>
      <c r="B333" s="1" t="n">
        <v>44908</v>
      </c>
      <c r="C333" s="1" t="n">
        <v>45694</v>
      </c>
      <c r="D333" t="inlineStr">
        <is>
          <t>VÄSTRA GÖTALANDS LÄN</t>
        </is>
      </c>
      <c r="E333" t="inlineStr">
        <is>
          <t>DALS-ED</t>
        </is>
      </c>
      <c r="G333" t="n">
        <v>0.9</v>
      </c>
      <c r="H333" t="n">
        <v>0</v>
      </c>
      <c r="I333" t="n">
        <v>0</v>
      </c>
      <c r="J333" t="n">
        <v>0</v>
      </c>
      <c r="K333" t="n">
        <v>0</v>
      </c>
      <c r="L333" t="n">
        <v>0</v>
      </c>
      <c r="M333" t="n">
        <v>0</v>
      </c>
      <c r="N333" t="n">
        <v>0</v>
      </c>
      <c r="O333" t="n">
        <v>0</v>
      </c>
      <c r="P333" t="n">
        <v>0</v>
      </c>
      <c r="Q333" t="n">
        <v>0</v>
      </c>
      <c r="R333" s="2" t="inlineStr"/>
    </row>
    <row r="334" ht="15" customHeight="1">
      <c r="A334" t="inlineStr">
        <is>
          <t>A 60106-2022</t>
        </is>
      </c>
      <c r="B334" s="1" t="n">
        <v>44909</v>
      </c>
      <c r="C334" s="1" t="n">
        <v>45694</v>
      </c>
      <c r="D334" t="inlineStr">
        <is>
          <t>VÄSTRA GÖTALANDS LÄN</t>
        </is>
      </c>
      <c r="E334" t="inlineStr">
        <is>
          <t>DALS-ED</t>
        </is>
      </c>
      <c r="G334" t="n">
        <v>3.7</v>
      </c>
      <c r="H334" t="n">
        <v>0</v>
      </c>
      <c r="I334" t="n">
        <v>0</v>
      </c>
      <c r="J334" t="n">
        <v>0</v>
      </c>
      <c r="K334" t="n">
        <v>0</v>
      </c>
      <c r="L334" t="n">
        <v>0</v>
      </c>
      <c r="M334" t="n">
        <v>0</v>
      </c>
      <c r="N334" t="n">
        <v>0</v>
      </c>
      <c r="O334" t="n">
        <v>0</v>
      </c>
      <c r="P334" t="n">
        <v>0</v>
      </c>
      <c r="Q334" t="n">
        <v>0</v>
      </c>
      <c r="R334" s="2" t="inlineStr"/>
    </row>
    <row r="335" ht="15" customHeight="1">
      <c r="A335" t="inlineStr">
        <is>
          <t>A 61478-2022</t>
        </is>
      </c>
      <c r="B335" s="1" t="n">
        <v>44910</v>
      </c>
      <c r="C335" s="1" t="n">
        <v>45694</v>
      </c>
      <c r="D335" t="inlineStr">
        <is>
          <t>VÄSTRA GÖTALANDS LÄN</t>
        </is>
      </c>
      <c r="E335" t="inlineStr">
        <is>
          <t>DALS-ED</t>
        </is>
      </c>
      <c r="G335" t="n">
        <v>11.1</v>
      </c>
      <c r="H335" t="n">
        <v>0</v>
      </c>
      <c r="I335" t="n">
        <v>0</v>
      </c>
      <c r="J335" t="n">
        <v>0</v>
      </c>
      <c r="K335" t="n">
        <v>0</v>
      </c>
      <c r="L335" t="n">
        <v>0</v>
      </c>
      <c r="M335" t="n">
        <v>0</v>
      </c>
      <c r="N335" t="n">
        <v>0</v>
      </c>
      <c r="O335" t="n">
        <v>0</v>
      </c>
      <c r="P335" t="n">
        <v>0</v>
      </c>
      <c r="Q335" t="n">
        <v>0</v>
      </c>
      <c r="R335" s="2" t="inlineStr"/>
    </row>
    <row r="336" ht="15" customHeight="1">
      <c r="A336" t="inlineStr">
        <is>
          <t>A 61487-2022</t>
        </is>
      </c>
      <c r="B336" s="1" t="n">
        <v>44910</v>
      </c>
      <c r="C336" s="1" t="n">
        <v>45694</v>
      </c>
      <c r="D336" t="inlineStr">
        <is>
          <t>VÄSTRA GÖTALANDS LÄN</t>
        </is>
      </c>
      <c r="E336" t="inlineStr">
        <is>
          <t>DALS-ED</t>
        </is>
      </c>
      <c r="F336" t="inlineStr">
        <is>
          <t>Kyrkan</t>
        </is>
      </c>
      <c r="G336" t="n">
        <v>9.4</v>
      </c>
      <c r="H336" t="n">
        <v>0</v>
      </c>
      <c r="I336" t="n">
        <v>0</v>
      </c>
      <c r="J336" t="n">
        <v>0</v>
      </c>
      <c r="K336" t="n">
        <v>0</v>
      </c>
      <c r="L336" t="n">
        <v>0</v>
      </c>
      <c r="M336" t="n">
        <v>0</v>
      </c>
      <c r="N336" t="n">
        <v>0</v>
      </c>
      <c r="O336" t="n">
        <v>0</v>
      </c>
      <c r="P336" t="n">
        <v>0</v>
      </c>
      <c r="Q336" t="n">
        <v>0</v>
      </c>
      <c r="R336" s="2" t="inlineStr"/>
    </row>
    <row r="337" ht="15" customHeight="1">
      <c r="A337" t="inlineStr">
        <is>
          <t>A 61626-2022</t>
        </is>
      </c>
      <c r="B337" s="1" t="n">
        <v>44916</v>
      </c>
      <c r="C337" s="1" t="n">
        <v>45694</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1491-2023</t>
        </is>
      </c>
      <c r="B338" s="1" t="n">
        <v>44937</v>
      </c>
      <c r="C338" s="1" t="n">
        <v>45694</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2278-2023</t>
        </is>
      </c>
      <c r="B339" s="1" t="n">
        <v>44942</v>
      </c>
      <c r="C339" s="1" t="n">
        <v>45694</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2275-2023</t>
        </is>
      </c>
      <c r="B340" s="1" t="n">
        <v>44942</v>
      </c>
      <c r="C340" s="1" t="n">
        <v>45694</v>
      </c>
      <c r="D340" t="inlineStr">
        <is>
          <t>VÄSTRA GÖTALANDS LÄN</t>
        </is>
      </c>
      <c r="E340" t="inlineStr">
        <is>
          <t>DALS-ED</t>
        </is>
      </c>
      <c r="G340" t="n">
        <v>1</v>
      </c>
      <c r="H340" t="n">
        <v>0</v>
      </c>
      <c r="I340" t="n">
        <v>0</v>
      </c>
      <c r="J340" t="n">
        <v>0</v>
      </c>
      <c r="K340" t="n">
        <v>0</v>
      </c>
      <c r="L340" t="n">
        <v>0</v>
      </c>
      <c r="M340" t="n">
        <v>0</v>
      </c>
      <c r="N340" t="n">
        <v>0</v>
      </c>
      <c r="O340" t="n">
        <v>0</v>
      </c>
      <c r="P340" t="n">
        <v>0</v>
      </c>
      <c r="Q340" t="n">
        <v>0</v>
      </c>
      <c r="R340" s="2" t="inlineStr"/>
    </row>
    <row r="341" ht="15" customHeight="1">
      <c r="A341" t="inlineStr">
        <is>
          <t>A 2284-2023</t>
        </is>
      </c>
      <c r="B341" s="1" t="n">
        <v>44942</v>
      </c>
      <c r="C341" s="1" t="n">
        <v>45694</v>
      </c>
      <c r="D341" t="inlineStr">
        <is>
          <t>VÄSTRA GÖTALANDS LÄN</t>
        </is>
      </c>
      <c r="E341" t="inlineStr">
        <is>
          <t>DALS-ED</t>
        </is>
      </c>
      <c r="G341" t="n">
        <v>6.9</v>
      </c>
      <c r="H341" t="n">
        <v>0</v>
      </c>
      <c r="I341" t="n">
        <v>0</v>
      </c>
      <c r="J341" t="n">
        <v>0</v>
      </c>
      <c r="K341" t="n">
        <v>0</v>
      </c>
      <c r="L341" t="n">
        <v>0</v>
      </c>
      <c r="M341" t="n">
        <v>0</v>
      </c>
      <c r="N341" t="n">
        <v>0</v>
      </c>
      <c r="O341" t="n">
        <v>0</v>
      </c>
      <c r="P341" t="n">
        <v>0</v>
      </c>
      <c r="Q341" t="n">
        <v>0</v>
      </c>
      <c r="R341" s="2" t="inlineStr"/>
    </row>
    <row r="342" ht="15" customHeight="1">
      <c r="A342" t="inlineStr">
        <is>
          <t>A 2280-2023</t>
        </is>
      </c>
      <c r="B342" s="1" t="n">
        <v>44942</v>
      </c>
      <c r="C342" s="1" t="n">
        <v>45694</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3398-2023</t>
        </is>
      </c>
      <c r="B343" s="1" t="n">
        <v>44949</v>
      </c>
      <c r="C343" s="1" t="n">
        <v>45694</v>
      </c>
      <c r="D343" t="inlineStr">
        <is>
          <t>VÄSTRA GÖTALANDS LÄN</t>
        </is>
      </c>
      <c r="E343" t="inlineStr">
        <is>
          <t>DALS-ED</t>
        </is>
      </c>
      <c r="G343" t="n">
        <v>2.7</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45694</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4025-2023</t>
        </is>
      </c>
      <c r="B345" s="1" t="n">
        <v>44952</v>
      </c>
      <c r="C345" s="1" t="n">
        <v>45694</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4043-2023</t>
        </is>
      </c>
      <c r="B346" s="1" t="n">
        <v>44952</v>
      </c>
      <c r="C346" s="1" t="n">
        <v>45694</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45694</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4107-2023</t>
        </is>
      </c>
      <c r="B348" s="1" t="n">
        <v>44952</v>
      </c>
      <c r="C348" s="1" t="n">
        <v>45694</v>
      </c>
      <c r="D348" t="inlineStr">
        <is>
          <t>VÄSTRA GÖTALANDS LÄN</t>
        </is>
      </c>
      <c r="E348" t="inlineStr">
        <is>
          <t>DALS-ED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4112-2023</t>
        </is>
      </c>
      <c r="B349" s="1" t="n">
        <v>44952</v>
      </c>
      <c r="C349" s="1" t="n">
        <v>45694</v>
      </c>
      <c r="D349" t="inlineStr">
        <is>
          <t>VÄSTRA GÖTALANDS LÄN</t>
        </is>
      </c>
      <c r="E349" t="inlineStr">
        <is>
          <t>DALS-ED</t>
        </is>
      </c>
      <c r="G349" t="n">
        <v>7.4</v>
      </c>
      <c r="H349" t="n">
        <v>0</v>
      </c>
      <c r="I349" t="n">
        <v>0</v>
      </c>
      <c r="J349" t="n">
        <v>0</v>
      </c>
      <c r="K349" t="n">
        <v>0</v>
      </c>
      <c r="L349" t="n">
        <v>0</v>
      </c>
      <c r="M349" t="n">
        <v>0</v>
      </c>
      <c r="N349" t="n">
        <v>0</v>
      </c>
      <c r="O349" t="n">
        <v>0</v>
      </c>
      <c r="P349" t="n">
        <v>0</v>
      </c>
      <c r="Q349" t="n">
        <v>0</v>
      </c>
      <c r="R349" s="2" t="inlineStr"/>
    </row>
    <row r="350" ht="15" customHeight="1">
      <c r="A350" t="inlineStr">
        <is>
          <t>A 4105-2023</t>
        </is>
      </c>
      <c r="B350" s="1" t="n">
        <v>44952</v>
      </c>
      <c r="C350" s="1" t="n">
        <v>45694</v>
      </c>
      <c r="D350" t="inlineStr">
        <is>
          <t>VÄSTRA GÖTALANDS LÄN</t>
        </is>
      </c>
      <c r="E350" t="inlineStr">
        <is>
          <t>DALS-ED</t>
        </is>
      </c>
      <c r="G350" t="n">
        <v>3.9</v>
      </c>
      <c r="H350" t="n">
        <v>0</v>
      </c>
      <c r="I350" t="n">
        <v>0</v>
      </c>
      <c r="J350" t="n">
        <v>0</v>
      </c>
      <c r="K350" t="n">
        <v>0</v>
      </c>
      <c r="L350" t="n">
        <v>0</v>
      </c>
      <c r="M350" t="n">
        <v>0</v>
      </c>
      <c r="N350" t="n">
        <v>0</v>
      </c>
      <c r="O350" t="n">
        <v>0</v>
      </c>
      <c r="P350" t="n">
        <v>0</v>
      </c>
      <c r="Q350" t="n">
        <v>0</v>
      </c>
      <c r="R350" s="2" t="inlineStr"/>
    </row>
    <row r="351" ht="15" customHeight="1">
      <c r="A351" t="inlineStr">
        <is>
          <t>A 4110-2023</t>
        </is>
      </c>
      <c r="B351" s="1" t="n">
        <v>44952</v>
      </c>
      <c r="C351" s="1" t="n">
        <v>45694</v>
      </c>
      <c r="D351" t="inlineStr">
        <is>
          <t>VÄSTRA GÖTALANDS LÄN</t>
        </is>
      </c>
      <c r="E351" t="inlineStr">
        <is>
          <t>DALS-ED</t>
        </is>
      </c>
      <c r="G351" t="n">
        <v>27.4</v>
      </c>
      <c r="H351" t="n">
        <v>0</v>
      </c>
      <c r="I351" t="n">
        <v>0</v>
      </c>
      <c r="J351" t="n">
        <v>0</v>
      </c>
      <c r="K351" t="n">
        <v>0</v>
      </c>
      <c r="L351" t="n">
        <v>0</v>
      </c>
      <c r="M351" t="n">
        <v>0</v>
      </c>
      <c r="N351" t="n">
        <v>0</v>
      </c>
      <c r="O351" t="n">
        <v>0</v>
      </c>
      <c r="P351" t="n">
        <v>0</v>
      </c>
      <c r="Q351" t="n">
        <v>0</v>
      </c>
      <c r="R351" s="2" t="inlineStr"/>
    </row>
    <row r="352" ht="15" customHeight="1">
      <c r="A352" t="inlineStr">
        <is>
          <t>A 4115-2023</t>
        </is>
      </c>
      <c r="B352" s="1" t="n">
        <v>44952</v>
      </c>
      <c r="C352" s="1" t="n">
        <v>45694</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5117-2023</t>
        </is>
      </c>
      <c r="B353" s="1" t="n">
        <v>44958</v>
      </c>
      <c r="C353" s="1" t="n">
        <v>45694</v>
      </c>
      <c r="D353" t="inlineStr">
        <is>
          <t>VÄSTRA GÖTALANDS LÄN</t>
        </is>
      </c>
      <c r="E353" t="inlineStr">
        <is>
          <t>DALS-ED</t>
        </is>
      </c>
      <c r="G353" t="n">
        <v>1.7</v>
      </c>
      <c r="H353" t="n">
        <v>0</v>
      </c>
      <c r="I353" t="n">
        <v>0</v>
      </c>
      <c r="J353" t="n">
        <v>0</v>
      </c>
      <c r="K353" t="n">
        <v>0</v>
      </c>
      <c r="L353" t="n">
        <v>0</v>
      </c>
      <c r="M353" t="n">
        <v>0</v>
      </c>
      <c r="N353" t="n">
        <v>0</v>
      </c>
      <c r="O353" t="n">
        <v>0</v>
      </c>
      <c r="P353" t="n">
        <v>0</v>
      </c>
      <c r="Q353" t="n">
        <v>0</v>
      </c>
      <c r="R353" s="2" t="inlineStr"/>
    </row>
    <row r="354" ht="15" customHeight="1">
      <c r="A354" t="inlineStr">
        <is>
          <t>A 5114-2023</t>
        </is>
      </c>
      <c r="B354" s="1" t="n">
        <v>44958</v>
      </c>
      <c r="C354" s="1" t="n">
        <v>45694</v>
      </c>
      <c r="D354" t="inlineStr">
        <is>
          <t>VÄSTRA GÖTALANDS LÄN</t>
        </is>
      </c>
      <c r="E354" t="inlineStr">
        <is>
          <t>DALS-ED</t>
        </is>
      </c>
      <c r="G354" t="n">
        <v>2.2</v>
      </c>
      <c r="H354" t="n">
        <v>0</v>
      </c>
      <c r="I354" t="n">
        <v>0</v>
      </c>
      <c r="J354" t="n">
        <v>0</v>
      </c>
      <c r="K354" t="n">
        <v>0</v>
      </c>
      <c r="L354" t="n">
        <v>0</v>
      </c>
      <c r="M354" t="n">
        <v>0</v>
      </c>
      <c r="N354" t="n">
        <v>0</v>
      </c>
      <c r="O354" t="n">
        <v>0</v>
      </c>
      <c r="P354" t="n">
        <v>0</v>
      </c>
      <c r="Q354" t="n">
        <v>0</v>
      </c>
      <c r="R354" s="2" t="inlineStr"/>
    </row>
    <row r="355" ht="15" customHeight="1">
      <c r="A355" t="inlineStr">
        <is>
          <t>A 5121-2023</t>
        </is>
      </c>
      <c r="B355" s="1" t="n">
        <v>44958</v>
      </c>
      <c r="C355" s="1" t="n">
        <v>45694</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5312-2023</t>
        </is>
      </c>
      <c r="B356" s="1" t="n">
        <v>44959</v>
      </c>
      <c r="C356" s="1" t="n">
        <v>45694</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5385-2023</t>
        </is>
      </c>
      <c r="B357" s="1" t="n">
        <v>44959</v>
      </c>
      <c r="C357" s="1" t="n">
        <v>45694</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5388-2023</t>
        </is>
      </c>
      <c r="B358" s="1" t="n">
        <v>44959</v>
      </c>
      <c r="C358" s="1" t="n">
        <v>45694</v>
      </c>
      <c r="D358" t="inlineStr">
        <is>
          <t>VÄSTRA GÖTALANDS LÄN</t>
        </is>
      </c>
      <c r="E358" t="inlineStr">
        <is>
          <t>DALS-ED</t>
        </is>
      </c>
      <c r="G358" t="n">
        <v>1.9</v>
      </c>
      <c r="H358" t="n">
        <v>0</v>
      </c>
      <c r="I358" t="n">
        <v>0</v>
      </c>
      <c r="J358" t="n">
        <v>0</v>
      </c>
      <c r="K358" t="n">
        <v>0</v>
      </c>
      <c r="L358" t="n">
        <v>0</v>
      </c>
      <c r="M358" t="n">
        <v>0</v>
      </c>
      <c r="N358" t="n">
        <v>0</v>
      </c>
      <c r="O358" t="n">
        <v>0</v>
      </c>
      <c r="P358" t="n">
        <v>0</v>
      </c>
      <c r="Q358" t="n">
        <v>0</v>
      </c>
      <c r="R358" s="2" t="inlineStr"/>
    </row>
    <row r="359" ht="15" customHeight="1">
      <c r="A359" t="inlineStr">
        <is>
          <t>A 5569-2023</t>
        </is>
      </c>
      <c r="B359" s="1" t="n">
        <v>44960</v>
      </c>
      <c r="C359" s="1" t="n">
        <v>45694</v>
      </c>
      <c r="D359" t="inlineStr">
        <is>
          <t>VÄSTRA GÖTALANDS LÄN</t>
        </is>
      </c>
      <c r="E359" t="inlineStr">
        <is>
          <t>DALS-ED</t>
        </is>
      </c>
      <c r="G359" t="n">
        <v>10.4</v>
      </c>
      <c r="H359" t="n">
        <v>0</v>
      </c>
      <c r="I359" t="n">
        <v>0</v>
      </c>
      <c r="J359" t="n">
        <v>0</v>
      </c>
      <c r="K359" t="n">
        <v>0</v>
      </c>
      <c r="L359" t="n">
        <v>0</v>
      </c>
      <c r="M359" t="n">
        <v>0</v>
      </c>
      <c r="N359" t="n">
        <v>0</v>
      </c>
      <c r="O359" t="n">
        <v>0</v>
      </c>
      <c r="P359" t="n">
        <v>0</v>
      </c>
      <c r="Q359" t="n">
        <v>0</v>
      </c>
      <c r="R359" s="2" t="inlineStr"/>
    </row>
    <row r="360" ht="15" customHeight="1">
      <c r="A360" t="inlineStr">
        <is>
          <t>A 5553-2023</t>
        </is>
      </c>
      <c r="B360" s="1" t="n">
        <v>44960</v>
      </c>
      <c r="C360" s="1" t="n">
        <v>45694</v>
      </c>
      <c r="D360" t="inlineStr">
        <is>
          <t>VÄSTRA GÖTALANDS LÄN</t>
        </is>
      </c>
      <c r="E360" t="inlineStr">
        <is>
          <t>DALS-ED</t>
        </is>
      </c>
      <c r="G360" t="n">
        <v>7.9</v>
      </c>
      <c r="H360" t="n">
        <v>0</v>
      </c>
      <c r="I360" t="n">
        <v>0</v>
      </c>
      <c r="J360" t="n">
        <v>0</v>
      </c>
      <c r="K360" t="n">
        <v>0</v>
      </c>
      <c r="L360" t="n">
        <v>0</v>
      </c>
      <c r="M360" t="n">
        <v>0</v>
      </c>
      <c r="N360" t="n">
        <v>0</v>
      </c>
      <c r="O360" t="n">
        <v>0</v>
      </c>
      <c r="P360" t="n">
        <v>0</v>
      </c>
      <c r="Q360" t="n">
        <v>0</v>
      </c>
      <c r="R360" s="2" t="inlineStr"/>
    </row>
    <row r="361" ht="15" customHeight="1">
      <c r="A361" t="inlineStr">
        <is>
          <t>A 5576-2023</t>
        </is>
      </c>
      <c r="B361" s="1" t="n">
        <v>44960</v>
      </c>
      <c r="C361" s="1" t="n">
        <v>45694</v>
      </c>
      <c r="D361" t="inlineStr">
        <is>
          <t>VÄSTRA GÖTALANDS LÄN</t>
        </is>
      </c>
      <c r="E361" t="inlineStr">
        <is>
          <t>DALS-ED</t>
        </is>
      </c>
      <c r="G361" t="n">
        <v>5.2</v>
      </c>
      <c r="H361" t="n">
        <v>0</v>
      </c>
      <c r="I361" t="n">
        <v>0</v>
      </c>
      <c r="J361" t="n">
        <v>0</v>
      </c>
      <c r="K361" t="n">
        <v>0</v>
      </c>
      <c r="L361" t="n">
        <v>0</v>
      </c>
      <c r="M361" t="n">
        <v>0</v>
      </c>
      <c r="N361" t="n">
        <v>0</v>
      </c>
      <c r="O361" t="n">
        <v>0</v>
      </c>
      <c r="P361" t="n">
        <v>0</v>
      </c>
      <c r="Q361" t="n">
        <v>0</v>
      </c>
      <c r="R361" s="2" t="inlineStr"/>
    </row>
    <row r="362" ht="15" customHeight="1">
      <c r="A362" t="inlineStr">
        <is>
          <t>A 6185-2023</t>
        </is>
      </c>
      <c r="B362" s="1" t="n">
        <v>44964</v>
      </c>
      <c r="C362" s="1" t="n">
        <v>45694</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6515-2023</t>
        </is>
      </c>
      <c r="B363" s="1" t="n">
        <v>44966</v>
      </c>
      <c r="C363" s="1" t="n">
        <v>45694</v>
      </c>
      <c r="D363" t="inlineStr">
        <is>
          <t>VÄSTRA GÖTALANDS LÄN</t>
        </is>
      </c>
      <c r="E363" t="inlineStr">
        <is>
          <t>DALS-ED</t>
        </is>
      </c>
      <c r="G363" t="n">
        <v>6.4</v>
      </c>
      <c r="H363" t="n">
        <v>0</v>
      </c>
      <c r="I363" t="n">
        <v>0</v>
      </c>
      <c r="J363" t="n">
        <v>0</v>
      </c>
      <c r="K363" t="n">
        <v>0</v>
      </c>
      <c r="L363" t="n">
        <v>0</v>
      </c>
      <c r="M363" t="n">
        <v>0</v>
      </c>
      <c r="N363" t="n">
        <v>0</v>
      </c>
      <c r="O363" t="n">
        <v>0</v>
      </c>
      <c r="P363" t="n">
        <v>0</v>
      </c>
      <c r="Q363" t="n">
        <v>0</v>
      </c>
      <c r="R363" s="2" t="inlineStr"/>
    </row>
    <row r="364" ht="15" customHeight="1">
      <c r="A364" t="inlineStr">
        <is>
          <t>A 7986-2023</t>
        </is>
      </c>
      <c r="B364" s="1" t="n">
        <v>44970</v>
      </c>
      <c r="C364" s="1" t="n">
        <v>45694</v>
      </c>
      <c r="D364" t="inlineStr">
        <is>
          <t>VÄSTRA GÖTALANDS LÄN</t>
        </is>
      </c>
      <c r="E364" t="inlineStr">
        <is>
          <t>DALS-ED</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7445-2023</t>
        </is>
      </c>
      <c r="B365" s="1" t="n">
        <v>44971</v>
      </c>
      <c r="C365" s="1" t="n">
        <v>45694</v>
      </c>
      <c r="D365" t="inlineStr">
        <is>
          <t>VÄSTRA GÖTALANDS LÄN</t>
        </is>
      </c>
      <c r="E365" t="inlineStr">
        <is>
          <t>DALS-ED</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7440-2023</t>
        </is>
      </c>
      <c r="B366" s="1" t="n">
        <v>44971</v>
      </c>
      <c r="C366" s="1" t="n">
        <v>45694</v>
      </c>
      <c r="D366" t="inlineStr">
        <is>
          <t>VÄSTRA GÖTALANDS LÄN</t>
        </is>
      </c>
      <c r="E366" t="inlineStr">
        <is>
          <t>DALS-ED</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8492-2023</t>
        </is>
      </c>
      <c r="B367" s="1" t="n">
        <v>44972</v>
      </c>
      <c r="C367" s="1" t="n">
        <v>45694</v>
      </c>
      <c r="D367" t="inlineStr">
        <is>
          <t>VÄSTRA GÖTALANDS LÄN</t>
        </is>
      </c>
      <c r="E367" t="inlineStr">
        <is>
          <t>DALS-ED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8268-2023</t>
        </is>
      </c>
      <c r="B368" s="1" t="n">
        <v>44974</v>
      </c>
      <c r="C368" s="1" t="n">
        <v>45694</v>
      </c>
      <c r="D368" t="inlineStr">
        <is>
          <t>VÄSTRA GÖTALANDS LÄN</t>
        </is>
      </c>
      <c r="E368" t="inlineStr">
        <is>
          <t>DALS-ED</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9226-2023</t>
        </is>
      </c>
      <c r="B369" s="1" t="n">
        <v>44977</v>
      </c>
      <c r="C369" s="1" t="n">
        <v>45694</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9623-2023</t>
        </is>
      </c>
      <c r="B370" s="1" t="n">
        <v>44984</v>
      </c>
      <c r="C370" s="1" t="n">
        <v>45694</v>
      </c>
      <c r="D370" t="inlineStr">
        <is>
          <t>VÄSTRA GÖTALANDS LÄN</t>
        </is>
      </c>
      <c r="E370" t="inlineStr">
        <is>
          <t>DALS-ED</t>
        </is>
      </c>
      <c r="G370" t="n">
        <v>7.2</v>
      </c>
      <c r="H370" t="n">
        <v>0</v>
      </c>
      <c r="I370" t="n">
        <v>0</v>
      </c>
      <c r="J370" t="n">
        <v>0</v>
      </c>
      <c r="K370" t="n">
        <v>0</v>
      </c>
      <c r="L370" t="n">
        <v>0</v>
      </c>
      <c r="M370" t="n">
        <v>0</v>
      </c>
      <c r="N370" t="n">
        <v>0</v>
      </c>
      <c r="O370" t="n">
        <v>0</v>
      </c>
      <c r="P370" t="n">
        <v>0</v>
      </c>
      <c r="Q370" t="n">
        <v>0</v>
      </c>
      <c r="R370" s="2" t="inlineStr"/>
    </row>
    <row r="371" ht="15" customHeight="1">
      <c r="A371" t="inlineStr">
        <is>
          <t>A 10283-2023</t>
        </is>
      </c>
      <c r="B371" s="1" t="n">
        <v>44986</v>
      </c>
      <c r="C371" s="1" t="n">
        <v>45694</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11412-2023</t>
        </is>
      </c>
      <c r="B372" s="1" t="n">
        <v>44993</v>
      </c>
      <c r="C372" s="1" t="n">
        <v>45694</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11591-2023</t>
        </is>
      </c>
      <c r="B373" s="1" t="n">
        <v>44994</v>
      </c>
      <c r="C373" s="1" t="n">
        <v>45694</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12375-2023</t>
        </is>
      </c>
      <c r="B374" s="1" t="n">
        <v>44999</v>
      </c>
      <c r="C374" s="1" t="n">
        <v>45694</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12548-2023</t>
        </is>
      </c>
      <c r="B375" s="1" t="n">
        <v>45000</v>
      </c>
      <c r="C375" s="1" t="n">
        <v>45694</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13026-2023</t>
        </is>
      </c>
      <c r="B376" s="1" t="n">
        <v>45002</v>
      </c>
      <c r="C376" s="1" t="n">
        <v>45694</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13440-2023</t>
        </is>
      </c>
      <c r="B377" s="1" t="n">
        <v>45005</v>
      </c>
      <c r="C377" s="1" t="n">
        <v>45694</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13537-2023</t>
        </is>
      </c>
      <c r="B378" s="1" t="n">
        <v>45006</v>
      </c>
      <c r="C378" s="1" t="n">
        <v>45694</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13541-2023</t>
        </is>
      </c>
      <c r="B379" s="1" t="n">
        <v>45006</v>
      </c>
      <c r="C379" s="1" t="n">
        <v>45694</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13871-2023</t>
        </is>
      </c>
      <c r="B380" s="1" t="n">
        <v>45007</v>
      </c>
      <c r="C380" s="1" t="n">
        <v>45694</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13949-2023</t>
        </is>
      </c>
      <c r="B381" s="1" t="n">
        <v>45008</v>
      </c>
      <c r="C381" s="1" t="n">
        <v>45694</v>
      </c>
      <c r="D381" t="inlineStr">
        <is>
          <t>VÄSTRA GÖTALANDS LÄN</t>
        </is>
      </c>
      <c r="E381" t="inlineStr">
        <is>
          <t>DALS-ED</t>
        </is>
      </c>
      <c r="G381" t="n">
        <v>2.3</v>
      </c>
      <c r="H381" t="n">
        <v>0</v>
      </c>
      <c r="I381" t="n">
        <v>0</v>
      </c>
      <c r="J381" t="n">
        <v>0</v>
      </c>
      <c r="K381" t="n">
        <v>0</v>
      </c>
      <c r="L381" t="n">
        <v>0</v>
      </c>
      <c r="M381" t="n">
        <v>0</v>
      </c>
      <c r="N381" t="n">
        <v>0</v>
      </c>
      <c r="O381" t="n">
        <v>0</v>
      </c>
      <c r="P381" t="n">
        <v>0</v>
      </c>
      <c r="Q381" t="n">
        <v>0</v>
      </c>
      <c r="R381" s="2" t="inlineStr"/>
    </row>
    <row r="382" ht="15" customHeight="1">
      <c r="A382" t="inlineStr">
        <is>
          <t>A 14012-2023</t>
        </is>
      </c>
      <c r="B382" s="1" t="n">
        <v>45008</v>
      </c>
      <c r="C382" s="1" t="n">
        <v>45694</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14010-2023</t>
        </is>
      </c>
      <c r="B383" s="1" t="n">
        <v>45008</v>
      </c>
      <c r="C383" s="1" t="n">
        <v>45694</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14309-2023</t>
        </is>
      </c>
      <c r="B384" s="1" t="n">
        <v>45011</v>
      </c>
      <c r="C384" s="1" t="n">
        <v>45694</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14376-2023</t>
        </is>
      </c>
      <c r="B385" s="1" t="n">
        <v>45012</v>
      </c>
      <c r="C385" s="1" t="n">
        <v>45694</v>
      </c>
      <c r="D385" t="inlineStr">
        <is>
          <t>VÄSTRA GÖTALANDS LÄN</t>
        </is>
      </c>
      <c r="E385" t="inlineStr">
        <is>
          <t>DALS-ED</t>
        </is>
      </c>
      <c r="G385" t="n">
        <v>8.1</v>
      </c>
      <c r="H385" t="n">
        <v>0</v>
      </c>
      <c r="I385" t="n">
        <v>0</v>
      </c>
      <c r="J385" t="n">
        <v>0</v>
      </c>
      <c r="K385" t="n">
        <v>0</v>
      </c>
      <c r="L385" t="n">
        <v>0</v>
      </c>
      <c r="M385" t="n">
        <v>0</v>
      </c>
      <c r="N385" t="n">
        <v>0</v>
      </c>
      <c r="O385" t="n">
        <v>0</v>
      </c>
      <c r="P385" t="n">
        <v>0</v>
      </c>
      <c r="Q385" t="n">
        <v>0</v>
      </c>
      <c r="R385" s="2" t="inlineStr"/>
    </row>
    <row r="386" ht="15" customHeight="1">
      <c r="A386" t="inlineStr">
        <is>
          <t>A 14791-2023</t>
        </is>
      </c>
      <c r="B386" s="1" t="n">
        <v>45014</v>
      </c>
      <c r="C386" s="1" t="n">
        <v>45694</v>
      </c>
      <c r="D386" t="inlineStr">
        <is>
          <t>VÄSTRA GÖTALANDS LÄN</t>
        </is>
      </c>
      <c r="E386" t="inlineStr">
        <is>
          <t>DALS-ED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14758-2023</t>
        </is>
      </c>
      <c r="B387" s="1" t="n">
        <v>45014</v>
      </c>
      <c r="C387" s="1" t="n">
        <v>45694</v>
      </c>
      <c r="D387" t="inlineStr">
        <is>
          <t>VÄSTRA GÖTALANDS LÄN</t>
        </is>
      </c>
      <c r="E387" t="inlineStr">
        <is>
          <t>DALS-ED</t>
        </is>
      </c>
      <c r="G387" t="n">
        <v>3.3</v>
      </c>
      <c r="H387" t="n">
        <v>0</v>
      </c>
      <c r="I387" t="n">
        <v>0</v>
      </c>
      <c r="J387" t="n">
        <v>0</v>
      </c>
      <c r="K387" t="n">
        <v>0</v>
      </c>
      <c r="L387" t="n">
        <v>0</v>
      </c>
      <c r="M387" t="n">
        <v>0</v>
      </c>
      <c r="N387" t="n">
        <v>0</v>
      </c>
      <c r="O387" t="n">
        <v>0</v>
      </c>
      <c r="P387" t="n">
        <v>0</v>
      </c>
      <c r="Q387" t="n">
        <v>0</v>
      </c>
      <c r="R387" s="2" t="inlineStr"/>
    </row>
    <row r="388" ht="15" customHeight="1">
      <c r="A388" t="inlineStr">
        <is>
          <t>A 15009-2023</t>
        </is>
      </c>
      <c r="B388" s="1" t="n">
        <v>45015</v>
      </c>
      <c r="C388" s="1" t="n">
        <v>45694</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15008-2023</t>
        </is>
      </c>
      <c r="B389" s="1" t="n">
        <v>45015</v>
      </c>
      <c r="C389" s="1" t="n">
        <v>45694</v>
      </c>
      <c r="D389" t="inlineStr">
        <is>
          <t>VÄSTRA GÖTALANDS LÄN</t>
        </is>
      </c>
      <c r="E389" t="inlineStr">
        <is>
          <t>DALS-ED</t>
        </is>
      </c>
      <c r="G389" t="n">
        <v>1.3</v>
      </c>
      <c r="H389" t="n">
        <v>0</v>
      </c>
      <c r="I389" t="n">
        <v>0</v>
      </c>
      <c r="J389" t="n">
        <v>0</v>
      </c>
      <c r="K389" t="n">
        <v>0</v>
      </c>
      <c r="L389" t="n">
        <v>0</v>
      </c>
      <c r="M389" t="n">
        <v>0</v>
      </c>
      <c r="N389" t="n">
        <v>0</v>
      </c>
      <c r="O389" t="n">
        <v>0</v>
      </c>
      <c r="P389" t="n">
        <v>0</v>
      </c>
      <c r="Q389" t="n">
        <v>0</v>
      </c>
      <c r="R389" s="2" t="inlineStr"/>
    </row>
    <row r="390" ht="15" customHeight="1">
      <c r="A390" t="inlineStr">
        <is>
          <t>A 15259-2023</t>
        </is>
      </c>
      <c r="B390" s="1" t="n">
        <v>45016</v>
      </c>
      <c r="C390" s="1" t="n">
        <v>45694</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15262-2023</t>
        </is>
      </c>
      <c r="B391" s="1" t="n">
        <v>45016</v>
      </c>
      <c r="C391" s="1" t="n">
        <v>45694</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15338-2023</t>
        </is>
      </c>
      <c r="B392" s="1" t="n">
        <v>45019</v>
      </c>
      <c r="C392" s="1" t="n">
        <v>45694</v>
      </c>
      <c r="D392" t="inlineStr">
        <is>
          <t>VÄSTRA GÖTALANDS LÄN</t>
        </is>
      </c>
      <c r="E392" t="inlineStr">
        <is>
          <t>DALS-ED</t>
        </is>
      </c>
      <c r="G392" t="n">
        <v>3.6</v>
      </c>
      <c r="H392" t="n">
        <v>0</v>
      </c>
      <c r="I392" t="n">
        <v>0</v>
      </c>
      <c r="J392" t="n">
        <v>0</v>
      </c>
      <c r="K392" t="n">
        <v>0</v>
      </c>
      <c r="L392" t="n">
        <v>0</v>
      </c>
      <c r="M392" t="n">
        <v>0</v>
      </c>
      <c r="N392" t="n">
        <v>0</v>
      </c>
      <c r="O392" t="n">
        <v>0</v>
      </c>
      <c r="P392" t="n">
        <v>0</v>
      </c>
      <c r="Q392" t="n">
        <v>0</v>
      </c>
      <c r="R392" s="2" t="inlineStr"/>
    </row>
    <row r="393" ht="15" customHeight="1">
      <c r="A393" t="inlineStr">
        <is>
          <t>A 17147-2023</t>
        </is>
      </c>
      <c r="B393" s="1" t="n">
        <v>45034</v>
      </c>
      <c r="C393" s="1" t="n">
        <v>45694</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17800-2023</t>
        </is>
      </c>
      <c r="B394" s="1" t="n">
        <v>45037</v>
      </c>
      <c r="C394" s="1" t="n">
        <v>45694</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19024-2023</t>
        </is>
      </c>
      <c r="B395" s="1" t="n">
        <v>45047</v>
      </c>
      <c r="C395" s="1" t="n">
        <v>45694</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19049-2023</t>
        </is>
      </c>
      <c r="B396" s="1" t="n">
        <v>45047</v>
      </c>
      <c r="C396" s="1" t="n">
        <v>45694</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19383-2023</t>
        </is>
      </c>
      <c r="B397" s="1" t="n">
        <v>45049</v>
      </c>
      <c r="C397" s="1" t="n">
        <v>45694</v>
      </c>
      <c r="D397" t="inlineStr">
        <is>
          <t>VÄSTRA GÖTALANDS LÄN</t>
        </is>
      </c>
      <c r="E397" t="inlineStr">
        <is>
          <t>DALS-ED</t>
        </is>
      </c>
      <c r="G397" t="n">
        <v>7.5</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v>
      </c>
      <c r="C398" s="1" t="n">
        <v>45694</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19370-2023</t>
        </is>
      </c>
      <c r="B399" s="1" t="n">
        <v>45049</v>
      </c>
      <c r="C399" s="1" t="n">
        <v>45694</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45694</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20486-2023</t>
        </is>
      </c>
      <c r="B401" s="1" t="n">
        <v>45054</v>
      </c>
      <c r="C401" s="1" t="n">
        <v>45694</v>
      </c>
      <c r="D401" t="inlineStr">
        <is>
          <t>VÄSTRA GÖTALANDS LÄN</t>
        </is>
      </c>
      <c r="E401" t="inlineStr">
        <is>
          <t>DALS-ED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20163-2023</t>
        </is>
      </c>
      <c r="B402" s="1" t="n">
        <v>45055</v>
      </c>
      <c r="C402" s="1" t="n">
        <v>45694</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20147-2023</t>
        </is>
      </c>
      <c r="B403" s="1" t="n">
        <v>45055</v>
      </c>
      <c r="C403" s="1" t="n">
        <v>45694</v>
      </c>
      <c r="D403" t="inlineStr">
        <is>
          <t>VÄSTRA GÖTALANDS LÄN</t>
        </is>
      </c>
      <c r="E403" t="inlineStr">
        <is>
          <t>DALS-ED</t>
        </is>
      </c>
      <c r="G403" t="n">
        <v>3.1</v>
      </c>
      <c r="H403" t="n">
        <v>0</v>
      </c>
      <c r="I403" t="n">
        <v>0</v>
      </c>
      <c r="J403" t="n">
        <v>0</v>
      </c>
      <c r="K403" t="n">
        <v>0</v>
      </c>
      <c r="L403" t="n">
        <v>0</v>
      </c>
      <c r="M403" t="n">
        <v>0</v>
      </c>
      <c r="N403" t="n">
        <v>0</v>
      </c>
      <c r="O403" t="n">
        <v>0</v>
      </c>
      <c r="P403" t="n">
        <v>0</v>
      </c>
      <c r="Q403" t="n">
        <v>0</v>
      </c>
      <c r="R403" s="2" t="inlineStr"/>
    </row>
    <row r="404" ht="15" customHeight="1">
      <c r="A404" t="inlineStr">
        <is>
          <t>A 20482-2023</t>
        </is>
      </c>
      <c r="B404" s="1" t="n">
        <v>45057</v>
      </c>
      <c r="C404" s="1" t="n">
        <v>45694</v>
      </c>
      <c r="D404" t="inlineStr">
        <is>
          <t>VÄSTRA GÖTALANDS LÄN</t>
        </is>
      </c>
      <c r="E404" t="inlineStr">
        <is>
          <t>DALS-ED</t>
        </is>
      </c>
      <c r="G404" t="n">
        <v>2.9</v>
      </c>
      <c r="H404" t="n">
        <v>0</v>
      </c>
      <c r="I404" t="n">
        <v>0</v>
      </c>
      <c r="J404" t="n">
        <v>0</v>
      </c>
      <c r="K404" t="n">
        <v>0</v>
      </c>
      <c r="L404" t="n">
        <v>0</v>
      </c>
      <c r="M404" t="n">
        <v>0</v>
      </c>
      <c r="N404" t="n">
        <v>0</v>
      </c>
      <c r="O404" t="n">
        <v>0</v>
      </c>
      <c r="P404" t="n">
        <v>0</v>
      </c>
      <c r="Q404" t="n">
        <v>0</v>
      </c>
      <c r="R404" s="2" t="inlineStr"/>
    </row>
    <row r="405" ht="15" customHeight="1">
      <c r="A405" t="inlineStr">
        <is>
          <t>A 20765-2023</t>
        </is>
      </c>
      <c r="B405" s="1" t="n">
        <v>45058</v>
      </c>
      <c r="C405" s="1" t="n">
        <v>45694</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21290-2023</t>
        </is>
      </c>
      <c r="B406" s="1" t="n">
        <v>45062</v>
      </c>
      <c r="C406" s="1" t="n">
        <v>45694</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21865-2023</t>
        </is>
      </c>
      <c r="B407" s="1" t="n">
        <v>45068</v>
      </c>
      <c r="C407" s="1" t="n">
        <v>45694</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21866-2023</t>
        </is>
      </c>
      <c r="B408" s="1" t="n">
        <v>45068</v>
      </c>
      <c r="C408" s="1" t="n">
        <v>45694</v>
      </c>
      <c r="D408" t="inlineStr">
        <is>
          <t>VÄSTRA GÖTALANDS LÄN</t>
        </is>
      </c>
      <c r="E408" t="inlineStr">
        <is>
          <t>DALS-ED</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22402-2023</t>
        </is>
      </c>
      <c r="B409" s="1" t="n">
        <v>45069</v>
      </c>
      <c r="C409" s="1" t="n">
        <v>45694</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23132-2023</t>
        </is>
      </c>
      <c r="B410" s="1" t="n">
        <v>45070</v>
      </c>
      <c r="C410" s="1" t="n">
        <v>45694</v>
      </c>
      <c r="D410" t="inlineStr">
        <is>
          <t>VÄSTRA GÖTALANDS LÄN</t>
        </is>
      </c>
      <c r="E410" t="inlineStr">
        <is>
          <t>DALS-ED</t>
        </is>
      </c>
      <c r="G410" t="n">
        <v>7</v>
      </c>
      <c r="H410" t="n">
        <v>0</v>
      </c>
      <c r="I410" t="n">
        <v>0</v>
      </c>
      <c r="J410" t="n">
        <v>0</v>
      </c>
      <c r="K410" t="n">
        <v>0</v>
      </c>
      <c r="L410" t="n">
        <v>0</v>
      </c>
      <c r="M410" t="n">
        <v>0</v>
      </c>
      <c r="N410" t="n">
        <v>0</v>
      </c>
      <c r="O410" t="n">
        <v>0</v>
      </c>
      <c r="P410" t="n">
        <v>0</v>
      </c>
      <c r="Q410" t="n">
        <v>0</v>
      </c>
      <c r="R410" s="2" t="inlineStr"/>
    </row>
    <row r="411" ht="15" customHeight="1">
      <c r="A411" t="inlineStr">
        <is>
          <t>A 23115-2023</t>
        </is>
      </c>
      <c r="B411" s="1" t="n">
        <v>45070</v>
      </c>
      <c r="C411" s="1" t="n">
        <v>45694</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23862-2023</t>
        </is>
      </c>
      <c r="B412" s="1" t="n">
        <v>45075</v>
      </c>
      <c r="C412" s="1" t="n">
        <v>45694</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23859-2023</t>
        </is>
      </c>
      <c r="B413" s="1" t="n">
        <v>45075</v>
      </c>
      <c r="C413" s="1" t="n">
        <v>45694</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45694</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25284-2023</t>
        </is>
      </c>
      <c r="B415" s="1" t="n">
        <v>45079</v>
      </c>
      <c r="C415" s="1" t="n">
        <v>45694</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25007-2023</t>
        </is>
      </c>
      <c r="B416" s="1" t="n">
        <v>45085</v>
      </c>
      <c r="C416" s="1" t="n">
        <v>45694</v>
      </c>
      <c r="D416" t="inlineStr">
        <is>
          <t>VÄSTRA GÖTALANDS LÄN</t>
        </is>
      </c>
      <c r="E416" t="inlineStr">
        <is>
          <t>DALS-ED</t>
        </is>
      </c>
      <c r="G416" t="n">
        <v>4.3</v>
      </c>
      <c r="H416" t="n">
        <v>0</v>
      </c>
      <c r="I416" t="n">
        <v>0</v>
      </c>
      <c r="J416" t="n">
        <v>0</v>
      </c>
      <c r="K416" t="n">
        <v>0</v>
      </c>
      <c r="L416" t="n">
        <v>0</v>
      </c>
      <c r="M416" t="n">
        <v>0</v>
      </c>
      <c r="N416" t="n">
        <v>0</v>
      </c>
      <c r="O416" t="n">
        <v>0</v>
      </c>
      <c r="P416" t="n">
        <v>0</v>
      </c>
      <c r="Q416" t="n">
        <v>0</v>
      </c>
      <c r="R416" s="2" t="inlineStr"/>
    </row>
    <row r="417" ht="15" customHeight="1">
      <c r="A417" t="inlineStr">
        <is>
          <t>A 25460-2023</t>
        </is>
      </c>
      <c r="B417" s="1" t="n">
        <v>45089</v>
      </c>
      <c r="C417" s="1" t="n">
        <v>45694</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25448-2023</t>
        </is>
      </c>
      <c r="B418" s="1" t="n">
        <v>45089</v>
      </c>
      <c r="C418" s="1" t="n">
        <v>45694</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26534-2023</t>
        </is>
      </c>
      <c r="B419" s="1" t="n">
        <v>45092</v>
      </c>
      <c r="C419" s="1" t="n">
        <v>45694</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26740-2023</t>
        </is>
      </c>
      <c r="B420" s="1" t="n">
        <v>45093</v>
      </c>
      <c r="C420" s="1" t="n">
        <v>45694</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27717-2023</t>
        </is>
      </c>
      <c r="B421" s="1" t="n">
        <v>45098</v>
      </c>
      <c r="C421" s="1" t="n">
        <v>45694</v>
      </c>
      <c r="D421" t="inlineStr">
        <is>
          <t>VÄSTRA GÖTALANDS LÄN</t>
        </is>
      </c>
      <c r="E421" t="inlineStr">
        <is>
          <t>DALS-ED</t>
        </is>
      </c>
      <c r="G421" t="n">
        <v>2.6</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45694</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28447-2023</t>
        </is>
      </c>
      <c r="B423" s="1" t="n">
        <v>45103</v>
      </c>
      <c r="C423" s="1" t="n">
        <v>45694</v>
      </c>
      <c r="D423" t="inlineStr">
        <is>
          <t>VÄSTRA GÖTALANDS LÄN</t>
        </is>
      </c>
      <c r="E423" t="inlineStr">
        <is>
          <t>DALS-ED</t>
        </is>
      </c>
      <c r="G423" t="n">
        <v>7.6</v>
      </c>
      <c r="H423" t="n">
        <v>0</v>
      </c>
      <c r="I423" t="n">
        <v>0</v>
      </c>
      <c r="J423" t="n">
        <v>0</v>
      </c>
      <c r="K423" t="n">
        <v>0</v>
      </c>
      <c r="L423" t="n">
        <v>0</v>
      </c>
      <c r="M423" t="n">
        <v>0</v>
      </c>
      <c r="N423" t="n">
        <v>0</v>
      </c>
      <c r="O423" t="n">
        <v>0</v>
      </c>
      <c r="P423" t="n">
        <v>0</v>
      </c>
      <c r="Q423" t="n">
        <v>0</v>
      </c>
      <c r="R423" s="2" t="inlineStr"/>
    </row>
    <row r="424" ht="15" customHeight="1">
      <c r="A424" t="inlineStr">
        <is>
          <t>A 28705-2023</t>
        </is>
      </c>
      <c r="B424" s="1" t="n">
        <v>45103</v>
      </c>
      <c r="C424" s="1" t="n">
        <v>45694</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28708-2023</t>
        </is>
      </c>
      <c r="B425" s="1" t="n">
        <v>45103</v>
      </c>
      <c r="C425" s="1" t="n">
        <v>45694</v>
      </c>
      <c r="D425" t="inlineStr">
        <is>
          <t>VÄSTRA GÖTALANDS LÄN</t>
        </is>
      </c>
      <c r="E425" t="inlineStr">
        <is>
          <t>DALS-ED</t>
        </is>
      </c>
      <c r="G425" t="n">
        <v>1.3</v>
      </c>
      <c r="H425" t="n">
        <v>0</v>
      </c>
      <c r="I425" t="n">
        <v>0</v>
      </c>
      <c r="J425" t="n">
        <v>0</v>
      </c>
      <c r="K425" t="n">
        <v>0</v>
      </c>
      <c r="L425" t="n">
        <v>0</v>
      </c>
      <c r="M425" t="n">
        <v>0</v>
      </c>
      <c r="N425" t="n">
        <v>0</v>
      </c>
      <c r="O425" t="n">
        <v>0</v>
      </c>
      <c r="P425" t="n">
        <v>0</v>
      </c>
      <c r="Q425" t="n">
        <v>0</v>
      </c>
      <c r="R425" s="2" t="inlineStr"/>
    </row>
    <row r="426" ht="15" customHeight="1">
      <c r="A426" t="inlineStr">
        <is>
          <t>A 28702-2023</t>
        </is>
      </c>
      <c r="B426" s="1" t="n">
        <v>45103</v>
      </c>
      <c r="C426" s="1" t="n">
        <v>45694</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29047-2023</t>
        </is>
      </c>
      <c r="B427" s="1" t="n">
        <v>45104</v>
      </c>
      <c r="C427" s="1" t="n">
        <v>45694</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30807-2023</t>
        </is>
      </c>
      <c r="B428" s="1" t="n">
        <v>45106</v>
      </c>
      <c r="C428" s="1" t="n">
        <v>45694</v>
      </c>
      <c r="D428" t="inlineStr">
        <is>
          <t>VÄSTRA GÖTALANDS LÄN</t>
        </is>
      </c>
      <c r="E428" t="inlineStr">
        <is>
          <t>DALS-ED</t>
        </is>
      </c>
      <c r="G428" t="n">
        <v>5.3</v>
      </c>
      <c r="H428" t="n">
        <v>0</v>
      </c>
      <c r="I428" t="n">
        <v>0</v>
      </c>
      <c r="J428" t="n">
        <v>0</v>
      </c>
      <c r="K428" t="n">
        <v>0</v>
      </c>
      <c r="L428" t="n">
        <v>0</v>
      </c>
      <c r="M428" t="n">
        <v>0</v>
      </c>
      <c r="N428" t="n">
        <v>0</v>
      </c>
      <c r="O428" t="n">
        <v>0</v>
      </c>
      <c r="P428" t="n">
        <v>0</v>
      </c>
      <c r="Q428" t="n">
        <v>0</v>
      </c>
      <c r="R428" s="2" t="inlineStr"/>
    </row>
    <row r="429" ht="15" customHeight="1">
      <c r="A429" t="inlineStr">
        <is>
          <t>A 32683-2023</t>
        </is>
      </c>
      <c r="B429" s="1" t="n">
        <v>45112</v>
      </c>
      <c r="C429" s="1" t="n">
        <v>45694</v>
      </c>
      <c r="D429" t="inlineStr">
        <is>
          <t>VÄSTRA GÖTALANDS LÄN</t>
        </is>
      </c>
      <c r="E429" t="inlineStr">
        <is>
          <t>DALS-ED</t>
        </is>
      </c>
      <c r="G429" t="n">
        <v>0.9</v>
      </c>
      <c r="H429" t="n">
        <v>0</v>
      </c>
      <c r="I429" t="n">
        <v>0</v>
      </c>
      <c r="J429" t="n">
        <v>0</v>
      </c>
      <c r="K429" t="n">
        <v>0</v>
      </c>
      <c r="L429" t="n">
        <v>0</v>
      </c>
      <c r="M429" t="n">
        <v>0</v>
      </c>
      <c r="N429" t="n">
        <v>0</v>
      </c>
      <c r="O429" t="n">
        <v>0</v>
      </c>
      <c r="P429" t="n">
        <v>0</v>
      </c>
      <c r="Q429" t="n">
        <v>0</v>
      </c>
      <c r="R429" s="2" t="inlineStr"/>
    </row>
    <row r="430" ht="15" customHeight="1">
      <c r="A430" t="inlineStr">
        <is>
          <t>A 31909-2023</t>
        </is>
      </c>
      <c r="B430" s="1" t="n">
        <v>45118</v>
      </c>
      <c r="C430" s="1" t="n">
        <v>45694</v>
      </c>
      <c r="D430" t="inlineStr">
        <is>
          <t>VÄSTRA GÖTALANDS LÄN</t>
        </is>
      </c>
      <c r="E430" t="inlineStr">
        <is>
          <t>DALS-ED</t>
        </is>
      </c>
      <c r="G430" t="n">
        <v>6.1</v>
      </c>
      <c r="H430" t="n">
        <v>0</v>
      </c>
      <c r="I430" t="n">
        <v>0</v>
      </c>
      <c r="J430" t="n">
        <v>0</v>
      </c>
      <c r="K430" t="n">
        <v>0</v>
      </c>
      <c r="L430" t="n">
        <v>0</v>
      </c>
      <c r="M430" t="n">
        <v>0</v>
      </c>
      <c r="N430" t="n">
        <v>0</v>
      </c>
      <c r="O430" t="n">
        <v>0</v>
      </c>
      <c r="P430" t="n">
        <v>0</v>
      </c>
      <c r="Q430" t="n">
        <v>0</v>
      </c>
      <c r="R430" s="2" t="inlineStr"/>
    </row>
    <row r="431" ht="15" customHeight="1">
      <c r="A431" t="inlineStr">
        <is>
          <t>A 33504-2023</t>
        </is>
      </c>
      <c r="B431" s="1" t="n">
        <v>45118</v>
      </c>
      <c r="C431" s="1" t="n">
        <v>45694</v>
      </c>
      <c r="D431" t="inlineStr">
        <is>
          <t>VÄSTRA GÖTALANDS LÄN</t>
        </is>
      </c>
      <c r="E431" t="inlineStr">
        <is>
          <t>DALS-ED</t>
        </is>
      </c>
      <c r="G431" t="n">
        <v>7.9</v>
      </c>
      <c r="H431" t="n">
        <v>0</v>
      </c>
      <c r="I431" t="n">
        <v>0</v>
      </c>
      <c r="J431" t="n">
        <v>0</v>
      </c>
      <c r="K431" t="n">
        <v>0</v>
      </c>
      <c r="L431" t="n">
        <v>0</v>
      </c>
      <c r="M431" t="n">
        <v>0</v>
      </c>
      <c r="N431" t="n">
        <v>0</v>
      </c>
      <c r="O431" t="n">
        <v>0</v>
      </c>
      <c r="P431" t="n">
        <v>0</v>
      </c>
      <c r="Q431" t="n">
        <v>0</v>
      </c>
      <c r="R431" s="2" t="inlineStr"/>
    </row>
    <row r="432" ht="15" customHeight="1">
      <c r="A432" t="inlineStr">
        <is>
          <t>A 32082-2023</t>
        </is>
      </c>
      <c r="B432" s="1" t="n">
        <v>45119</v>
      </c>
      <c r="C432" s="1" t="n">
        <v>45694</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32080-2023</t>
        </is>
      </c>
      <c r="B433" s="1" t="n">
        <v>45119</v>
      </c>
      <c r="C433" s="1" t="n">
        <v>45694</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32059-2023</t>
        </is>
      </c>
      <c r="B434" s="1" t="n">
        <v>45119</v>
      </c>
      <c r="C434" s="1" t="n">
        <v>45694</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32672-2023</t>
        </is>
      </c>
      <c r="B435" s="1" t="n">
        <v>45121</v>
      </c>
      <c r="C435" s="1" t="n">
        <v>45694</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32797-2023</t>
        </is>
      </c>
      <c r="B436" s="1" t="n">
        <v>45124</v>
      </c>
      <c r="C436" s="1" t="n">
        <v>45694</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33103-2023</t>
        </is>
      </c>
      <c r="B437" s="1" t="n">
        <v>45126</v>
      </c>
      <c r="C437" s="1" t="n">
        <v>45694</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33616-2023</t>
        </is>
      </c>
      <c r="B438" s="1" t="n">
        <v>45132</v>
      </c>
      <c r="C438" s="1" t="n">
        <v>45694</v>
      </c>
      <c r="D438" t="inlineStr">
        <is>
          <t>VÄSTRA GÖTALANDS LÄN</t>
        </is>
      </c>
      <c r="E438" t="inlineStr">
        <is>
          <t>DALS-ED</t>
        </is>
      </c>
      <c r="G438" t="n">
        <v>26.5</v>
      </c>
      <c r="H438" t="n">
        <v>0</v>
      </c>
      <c r="I438" t="n">
        <v>0</v>
      </c>
      <c r="J438" t="n">
        <v>0</v>
      </c>
      <c r="K438" t="n">
        <v>0</v>
      </c>
      <c r="L438" t="n">
        <v>0</v>
      </c>
      <c r="M438" t="n">
        <v>0</v>
      </c>
      <c r="N438" t="n">
        <v>0</v>
      </c>
      <c r="O438" t="n">
        <v>0</v>
      </c>
      <c r="P438" t="n">
        <v>0</v>
      </c>
      <c r="Q438" t="n">
        <v>0</v>
      </c>
      <c r="R438" s="2" t="inlineStr"/>
    </row>
    <row r="439" ht="15" customHeight="1">
      <c r="A439" t="inlineStr">
        <is>
          <t>A 33773-2023</t>
        </is>
      </c>
      <c r="B439" s="1" t="n">
        <v>45133</v>
      </c>
      <c r="C439" s="1" t="n">
        <v>45694</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33798-2023</t>
        </is>
      </c>
      <c r="B440" s="1" t="n">
        <v>45133</v>
      </c>
      <c r="C440" s="1" t="n">
        <v>45694</v>
      </c>
      <c r="D440" t="inlineStr">
        <is>
          <t>VÄSTRA GÖTALANDS LÄN</t>
        </is>
      </c>
      <c r="E440" t="inlineStr">
        <is>
          <t>DALS-ED</t>
        </is>
      </c>
      <c r="G440" t="n">
        <v>2.6</v>
      </c>
      <c r="H440" t="n">
        <v>0</v>
      </c>
      <c r="I440" t="n">
        <v>0</v>
      </c>
      <c r="J440" t="n">
        <v>0</v>
      </c>
      <c r="K440" t="n">
        <v>0</v>
      </c>
      <c r="L440" t="n">
        <v>0</v>
      </c>
      <c r="M440" t="n">
        <v>0</v>
      </c>
      <c r="N440" t="n">
        <v>0</v>
      </c>
      <c r="O440" t="n">
        <v>0</v>
      </c>
      <c r="P440" t="n">
        <v>0</v>
      </c>
      <c r="Q440" t="n">
        <v>0</v>
      </c>
      <c r="R440" s="2" t="inlineStr"/>
    </row>
    <row r="441" ht="15" customHeight="1">
      <c r="A441" t="inlineStr">
        <is>
          <t>A 33805-2023</t>
        </is>
      </c>
      <c r="B441" s="1" t="n">
        <v>45133</v>
      </c>
      <c r="C441" s="1" t="n">
        <v>45694</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v>
      </c>
      <c r="C442" s="1" t="n">
        <v>45694</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35697-2023</t>
        </is>
      </c>
      <c r="B443" s="1" t="n">
        <v>45147</v>
      </c>
      <c r="C443" s="1" t="n">
        <v>45694</v>
      </c>
      <c r="D443" t="inlineStr">
        <is>
          <t>VÄSTRA GÖTALANDS LÄN</t>
        </is>
      </c>
      <c r="E443" t="inlineStr">
        <is>
          <t>DALS-ED</t>
        </is>
      </c>
      <c r="G443" t="n">
        <v>1.6</v>
      </c>
      <c r="H443" t="n">
        <v>0</v>
      </c>
      <c r="I443" t="n">
        <v>0</v>
      </c>
      <c r="J443" t="n">
        <v>0</v>
      </c>
      <c r="K443" t="n">
        <v>0</v>
      </c>
      <c r="L443" t="n">
        <v>0</v>
      </c>
      <c r="M443" t="n">
        <v>0</v>
      </c>
      <c r="N443" t="n">
        <v>0</v>
      </c>
      <c r="O443" t="n">
        <v>0</v>
      </c>
      <c r="P443" t="n">
        <v>0</v>
      </c>
      <c r="Q443" t="n">
        <v>0</v>
      </c>
      <c r="R443" s="2" t="inlineStr"/>
    </row>
    <row r="444" ht="15" customHeight="1">
      <c r="A444" t="inlineStr">
        <is>
          <t>A 36232-2023</t>
        </is>
      </c>
      <c r="B444" s="1" t="n">
        <v>45150</v>
      </c>
      <c r="C444" s="1" t="n">
        <v>45694</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36231-2023</t>
        </is>
      </c>
      <c r="B445" s="1" t="n">
        <v>45150</v>
      </c>
      <c r="C445" s="1" t="n">
        <v>45694</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36464-2023</t>
        </is>
      </c>
      <c r="B446" s="1" t="n">
        <v>45151</v>
      </c>
      <c r="C446" s="1" t="n">
        <v>45694</v>
      </c>
      <c r="D446" t="inlineStr">
        <is>
          <t>VÄSTRA GÖTALANDS LÄN</t>
        </is>
      </c>
      <c r="E446" t="inlineStr">
        <is>
          <t>DALS-ED</t>
        </is>
      </c>
      <c r="G446" t="n">
        <v>6.2</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45694</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36436-2023</t>
        </is>
      </c>
      <c r="B448" s="1" t="n">
        <v>45151</v>
      </c>
      <c r="C448" s="1" t="n">
        <v>45694</v>
      </c>
      <c r="D448" t="inlineStr">
        <is>
          <t>VÄSTRA GÖTALANDS LÄN</t>
        </is>
      </c>
      <c r="E448" t="inlineStr">
        <is>
          <t>DALS-ED</t>
        </is>
      </c>
      <c r="G448" t="n">
        <v>27.1</v>
      </c>
      <c r="H448" t="n">
        <v>0</v>
      </c>
      <c r="I448" t="n">
        <v>0</v>
      </c>
      <c r="J448" t="n">
        <v>0</v>
      </c>
      <c r="K448" t="n">
        <v>0</v>
      </c>
      <c r="L448" t="n">
        <v>0</v>
      </c>
      <c r="M448" t="n">
        <v>0</v>
      </c>
      <c r="N448" t="n">
        <v>0</v>
      </c>
      <c r="O448" t="n">
        <v>0</v>
      </c>
      <c r="P448" t="n">
        <v>0</v>
      </c>
      <c r="Q448" t="n">
        <v>0</v>
      </c>
      <c r="R448" s="2" t="inlineStr"/>
      <c r="U448">
        <f>HYPERLINK("https://klasma.github.io/Logging_1438/knärot/A 36436-2023 karta knärot.png", "A 36436-2023")</f>
        <v/>
      </c>
      <c r="V448">
        <f>HYPERLINK("https://klasma.github.io/Logging_1438/klagomål/A 36436-2023 FSC-klagomål.docx", "A 36436-2023")</f>
        <v/>
      </c>
      <c r="W448">
        <f>HYPERLINK("https://klasma.github.io/Logging_1438/klagomålsmail/A 36436-2023 FSC-klagomål mail.docx", "A 36436-2023")</f>
        <v/>
      </c>
      <c r="X448">
        <f>HYPERLINK("https://klasma.github.io/Logging_1438/tillsyn/A 36436-2023 tillsynsbegäran.docx", "A 36436-2023")</f>
        <v/>
      </c>
      <c r="Y448">
        <f>HYPERLINK("https://klasma.github.io/Logging_1438/tillsynsmail/A 36436-2023 tillsynsbegäran mail.docx", "A 36436-2023")</f>
        <v/>
      </c>
    </row>
    <row r="449" ht="15" customHeight="1">
      <c r="A449" t="inlineStr">
        <is>
          <t>A 36342-2023</t>
        </is>
      </c>
      <c r="B449" s="1" t="n">
        <v>45152</v>
      </c>
      <c r="C449" s="1" t="n">
        <v>45694</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36877-2023</t>
        </is>
      </c>
      <c r="B450" s="1" t="n">
        <v>45154</v>
      </c>
      <c r="C450" s="1" t="n">
        <v>45694</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37374-2023</t>
        </is>
      </c>
      <c r="B451" s="1" t="n">
        <v>45155</v>
      </c>
      <c r="C451" s="1" t="n">
        <v>45694</v>
      </c>
      <c r="D451" t="inlineStr">
        <is>
          <t>VÄSTRA GÖTALANDS LÄN</t>
        </is>
      </c>
      <c r="E451" t="inlineStr">
        <is>
          <t>DALS-ED</t>
        </is>
      </c>
      <c r="F451" t="inlineStr">
        <is>
          <t>Kyrkan</t>
        </is>
      </c>
      <c r="G451" t="n">
        <v>4.9</v>
      </c>
      <c r="H451" t="n">
        <v>0</v>
      </c>
      <c r="I451" t="n">
        <v>0</v>
      </c>
      <c r="J451" t="n">
        <v>0</v>
      </c>
      <c r="K451" t="n">
        <v>0</v>
      </c>
      <c r="L451" t="n">
        <v>0</v>
      </c>
      <c r="M451" t="n">
        <v>0</v>
      </c>
      <c r="N451" t="n">
        <v>0</v>
      </c>
      <c r="O451" t="n">
        <v>0</v>
      </c>
      <c r="P451" t="n">
        <v>0</v>
      </c>
      <c r="Q451" t="n">
        <v>0</v>
      </c>
      <c r="R451" s="2" t="inlineStr"/>
    </row>
    <row r="452" ht="15" customHeight="1">
      <c r="A452" t="inlineStr">
        <is>
          <t>A 38347-2023</t>
        </is>
      </c>
      <c r="B452" s="1" t="n">
        <v>45161</v>
      </c>
      <c r="C452" s="1" t="n">
        <v>45694</v>
      </c>
      <c r="D452" t="inlineStr">
        <is>
          <t>VÄSTRA GÖTALANDS LÄN</t>
        </is>
      </c>
      <c r="E452" t="inlineStr">
        <is>
          <t>DALS-ED</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38383-2023</t>
        </is>
      </c>
      <c r="B453" s="1" t="n">
        <v>45162</v>
      </c>
      <c r="C453" s="1" t="n">
        <v>45694</v>
      </c>
      <c r="D453" t="inlineStr">
        <is>
          <t>VÄSTRA GÖTALANDS LÄN</t>
        </is>
      </c>
      <c r="E453" t="inlineStr">
        <is>
          <t>DALS-ED</t>
        </is>
      </c>
      <c r="G453" t="n">
        <v>2.5</v>
      </c>
      <c r="H453" t="n">
        <v>0</v>
      </c>
      <c r="I453" t="n">
        <v>0</v>
      </c>
      <c r="J453" t="n">
        <v>0</v>
      </c>
      <c r="K453" t="n">
        <v>0</v>
      </c>
      <c r="L453" t="n">
        <v>0</v>
      </c>
      <c r="M453" t="n">
        <v>0</v>
      </c>
      <c r="N453" t="n">
        <v>0</v>
      </c>
      <c r="O453" t="n">
        <v>0</v>
      </c>
      <c r="P453" t="n">
        <v>0</v>
      </c>
      <c r="Q453" t="n">
        <v>0</v>
      </c>
      <c r="R453" s="2" t="inlineStr"/>
    </row>
    <row r="454" ht="15" customHeight="1">
      <c r="A454" t="inlineStr">
        <is>
          <t>A 38407-2023</t>
        </is>
      </c>
      <c r="B454" s="1" t="n">
        <v>45162</v>
      </c>
      <c r="C454" s="1" t="n">
        <v>45694</v>
      </c>
      <c r="D454" t="inlineStr">
        <is>
          <t>VÄSTRA GÖTALANDS LÄN</t>
        </is>
      </c>
      <c r="E454" t="inlineStr">
        <is>
          <t>DALS-ED</t>
        </is>
      </c>
      <c r="G454" t="n">
        <v>10.8</v>
      </c>
      <c r="H454" t="n">
        <v>0</v>
      </c>
      <c r="I454" t="n">
        <v>0</v>
      </c>
      <c r="J454" t="n">
        <v>0</v>
      </c>
      <c r="K454" t="n">
        <v>0</v>
      </c>
      <c r="L454" t="n">
        <v>0</v>
      </c>
      <c r="M454" t="n">
        <v>0</v>
      </c>
      <c r="N454" t="n">
        <v>0</v>
      </c>
      <c r="O454" t="n">
        <v>0</v>
      </c>
      <c r="P454" t="n">
        <v>0</v>
      </c>
      <c r="Q454" t="n">
        <v>0</v>
      </c>
      <c r="R454" s="2" t="inlineStr"/>
    </row>
    <row r="455" ht="15" customHeight="1">
      <c r="A455" t="inlineStr">
        <is>
          <t>A 38548-2023</t>
        </is>
      </c>
      <c r="B455" s="1" t="n">
        <v>45162</v>
      </c>
      <c r="C455" s="1" t="n">
        <v>45694</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38527-2023</t>
        </is>
      </c>
      <c r="B456" s="1" t="n">
        <v>45162</v>
      </c>
      <c r="C456" s="1" t="n">
        <v>45694</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38578-2023</t>
        </is>
      </c>
      <c r="B457" s="1" t="n">
        <v>45162</v>
      </c>
      <c r="C457" s="1" t="n">
        <v>45694</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39279-2023</t>
        </is>
      </c>
      <c r="B458" s="1" t="n">
        <v>45166</v>
      </c>
      <c r="C458" s="1" t="n">
        <v>45694</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39443-2023</t>
        </is>
      </c>
      <c r="B459" s="1" t="n">
        <v>45166</v>
      </c>
      <c r="C459" s="1" t="n">
        <v>45694</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40961-2023</t>
        </is>
      </c>
      <c r="B460" s="1" t="n">
        <v>45173</v>
      </c>
      <c r="C460" s="1" t="n">
        <v>45694</v>
      </c>
      <c r="D460" t="inlineStr">
        <is>
          <t>VÄSTRA GÖTALANDS LÄN</t>
        </is>
      </c>
      <c r="E460" t="inlineStr">
        <is>
          <t>DALS-ED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v>
      </c>
      <c r="C461" s="1" t="n">
        <v>45694</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41114-2023</t>
        </is>
      </c>
      <c r="B462" s="1" t="n">
        <v>45173</v>
      </c>
      <c r="C462" s="1" t="n">
        <v>45694</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42193-2023</t>
        </is>
      </c>
      <c r="B463" s="1" t="n">
        <v>45179</v>
      </c>
      <c r="C463" s="1" t="n">
        <v>45694</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42781-2023</t>
        </is>
      </c>
      <c r="B464" s="1" t="n">
        <v>45181</v>
      </c>
      <c r="C464" s="1" t="n">
        <v>45694</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42821-2023</t>
        </is>
      </c>
      <c r="B465" s="1" t="n">
        <v>45182</v>
      </c>
      <c r="C465" s="1" t="n">
        <v>45694</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42810-2023</t>
        </is>
      </c>
      <c r="B466" s="1" t="n">
        <v>45182</v>
      </c>
      <c r="C466" s="1" t="n">
        <v>45694</v>
      </c>
      <c r="D466" t="inlineStr">
        <is>
          <t>VÄSTRA GÖTALANDS LÄN</t>
        </is>
      </c>
      <c r="E466" t="inlineStr">
        <is>
          <t>DALS-ED</t>
        </is>
      </c>
      <c r="G466" t="n">
        <v>18.8</v>
      </c>
      <c r="H466" t="n">
        <v>0</v>
      </c>
      <c r="I466" t="n">
        <v>0</v>
      </c>
      <c r="J466" t="n">
        <v>0</v>
      </c>
      <c r="K466" t="n">
        <v>0</v>
      </c>
      <c r="L466" t="n">
        <v>0</v>
      </c>
      <c r="M466" t="n">
        <v>0</v>
      </c>
      <c r="N466" t="n">
        <v>0</v>
      </c>
      <c r="O466" t="n">
        <v>0</v>
      </c>
      <c r="P466" t="n">
        <v>0</v>
      </c>
      <c r="Q466" t="n">
        <v>0</v>
      </c>
      <c r="R466" s="2" t="inlineStr"/>
    </row>
    <row r="467" ht="15" customHeight="1">
      <c r="A467" t="inlineStr">
        <is>
          <t>A 42823-2023</t>
        </is>
      </c>
      <c r="B467" s="1" t="n">
        <v>45182</v>
      </c>
      <c r="C467" s="1" t="n">
        <v>45694</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43747-2023</t>
        </is>
      </c>
      <c r="B468" s="1" t="n">
        <v>45187</v>
      </c>
      <c r="C468" s="1" t="n">
        <v>45694</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43801-2023</t>
        </is>
      </c>
      <c r="B469" s="1" t="n">
        <v>45187</v>
      </c>
      <c r="C469" s="1" t="n">
        <v>45694</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44465-2023</t>
        </is>
      </c>
      <c r="B470" s="1" t="n">
        <v>45189</v>
      </c>
      <c r="C470" s="1" t="n">
        <v>45694</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44653-2023</t>
        </is>
      </c>
      <c r="B471" s="1" t="n">
        <v>45189</v>
      </c>
      <c r="C471" s="1" t="n">
        <v>45694</v>
      </c>
      <c r="D471" t="inlineStr">
        <is>
          <t>VÄSTRA GÖTALANDS LÄN</t>
        </is>
      </c>
      <c r="E471" t="inlineStr">
        <is>
          <t>DALS-ED</t>
        </is>
      </c>
      <c r="G471" t="n">
        <v>0.6</v>
      </c>
      <c r="H471" t="n">
        <v>0</v>
      </c>
      <c r="I471" t="n">
        <v>0</v>
      </c>
      <c r="J471" t="n">
        <v>0</v>
      </c>
      <c r="K471" t="n">
        <v>0</v>
      </c>
      <c r="L471" t="n">
        <v>0</v>
      </c>
      <c r="M471" t="n">
        <v>0</v>
      </c>
      <c r="N471" t="n">
        <v>0</v>
      </c>
      <c r="O471" t="n">
        <v>0</v>
      </c>
      <c r="P471" t="n">
        <v>0</v>
      </c>
      <c r="Q471" t="n">
        <v>0</v>
      </c>
      <c r="R471" s="2" t="inlineStr"/>
    </row>
    <row r="472" ht="15" customHeight="1">
      <c r="A472" t="inlineStr">
        <is>
          <t>A 44652-2023</t>
        </is>
      </c>
      <c r="B472" s="1" t="n">
        <v>45189</v>
      </c>
      <c r="C472" s="1" t="n">
        <v>45694</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45187-2023</t>
        </is>
      </c>
      <c r="B473" s="1" t="n">
        <v>45191</v>
      </c>
      <c r="C473" s="1" t="n">
        <v>45694</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46050-2023</t>
        </is>
      </c>
      <c r="B474" s="1" t="n">
        <v>45196</v>
      </c>
      <c r="C474" s="1" t="n">
        <v>45694</v>
      </c>
      <c r="D474" t="inlineStr">
        <is>
          <t>VÄSTRA GÖTALANDS LÄN</t>
        </is>
      </c>
      <c r="E474" t="inlineStr">
        <is>
          <t>DALS-ED</t>
        </is>
      </c>
      <c r="F474" t="inlineStr">
        <is>
          <t>Kommuner</t>
        </is>
      </c>
      <c r="G474" t="n">
        <v>6.5</v>
      </c>
      <c r="H474" t="n">
        <v>0</v>
      </c>
      <c r="I474" t="n">
        <v>0</v>
      </c>
      <c r="J474" t="n">
        <v>0</v>
      </c>
      <c r="K474" t="n">
        <v>0</v>
      </c>
      <c r="L474" t="n">
        <v>0</v>
      </c>
      <c r="M474" t="n">
        <v>0</v>
      </c>
      <c r="N474" t="n">
        <v>0</v>
      </c>
      <c r="O474" t="n">
        <v>0</v>
      </c>
      <c r="P474" t="n">
        <v>0</v>
      </c>
      <c r="Q474" t="n">
        <v>0</v>
      </c>
      <c r="R474" s="2" t="inlineStr"/>
    </row>
    <row r="475" ht="15" customHeight="1">
      <c r="A475" t="inlineStr">
        <is>
          <t>A 46435-2023</t>
        </is>
      </c>
      <c r="B475" s="1" t="n">
        <v>45197</v>
      </c>
      <c r="C475" s="1" t="n">
        <v>45694</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47617-2023</t>
        </is>
      </c>
      <c r="B476" s="1" t="n">
        <v>45198</v>
      </c>
      <c r="C476" s="1" t="n">
        <v>45694</v>
      </c>
      <c r="D476" t="inlineStr">
        <is>
          <t>VÄSTRA GÖTALANDS LÄN</t>
        </is>
      </c>
      <c r="E476" t="inlineStr">
        <is>
          <t>DALS-ED</t>
        </is>
      </c>
      <c r="G476" t="n">
        <v>6</v>
      </c>
      <c r="H476" t="n">
        <v>0</v>
      </c>
      <c r="I476" t="n">
        <v>0</v>
      </c>
      <c r="J476" t="n">
        <v>0</v>
      </c>
      <c r="K476" t="n">
        <v>0</v>
      </c>
      <c r="L476" t="n">
        <v>0</v>
      </c>
      <c r="M476" t="n">
        <v>0</v>
      </c>
      <c r="N476" t="n">
        <v>0</v>
      </c>
      <c r="O476" t="n">
        <v>0</v>
      </c>
      <c r="P476" t="n">
        <v>0</v>
      </c>
      <c r="Q476" t="n">
        <v>0</v>
      </c>
      <c r="R476" s="2" t="inlineStr"/>
    </row>
    <row r="477" ht="15" customHeight="1">
      <c r="A477" t="inlineStr">
        <is>
          <t>A 47092-2023</t>
        </is>
      </c>
      <c r="B477" s="1" t="n">
        <v>45201</v>
      </c>
      <c r="C477" s="1" t="n">
        <v>45694</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47311-2023</t>
        </is>
      </c>
      <c r="B478" s="1" t="n">
        <v>45202</v>
      </c>
      <c r="C478" s="1" t="n">
        <v>45694</v>
      </c>
      <c r="D478" t="inlineStr">
        <is>
          <t>VÄSTRA GÖTALANDS LÄN</t>
        </is>
      </c>
      <c r="E478" t="inlineStr">
        <is>
          <t>DALS-ED</t>
        </is>
      </c>
      <c r="G478" t="n">
        <v>2.8</v>
      </c>
      <c r="H478" t="n">
        <v>0</v>
      </c>
      <c r="I478" t="n">
        <v>0</v>
      </c>
      <c r="J478" t="n">
        <v>0</v>
      </c>
      <c r="K478" t="n">
        <v>0</v>
      </c>
      <c r="L478" t="n">
        <v>0</v>
      </c>
      <c r="M478" t="n">
        <v>0</v>
      </c>
      <c r="N478" t="n">
        <v>0</v>
      </c>
      <c r="O478" t="n">
        <v>0</v>
      </c>
      <c r="P478" t="n">
        <v>0</v>
      </c>
      <c r="Q478" t="n">
        <v>0</v>
      </c>
      <c r="R478" s="2" t="inlineStr"/>
    </row>
    <row r="479" ht="15" customHeight="1">
      <c r="A479" t="inlineStr">
        <is>
          <t>A 47740-2023</t>
        </is>
      </c>
      <c r="B479" s="1" t="n">
        <v>45203</v>
      </c>
      <c r="C479" s="1" t="n">
        <v>45694</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48344-2023</t>
        </is>
      </c>
      <c r="B480" s="1" t="n">
        <v>45205</v>
      </c>
      <c r="C480" s="1" t="n">
        <v>45694</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48903-2023</t>
        </is>
      </c>
      <c r="B481" s="1" t="n">
        <v>45209</v>
      </c>
      <c r="C481" s="1" t="n">
        <v>45694</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50809-2023</t>
        </is>
      </c>
      <c r="B482" s="1" t="n">
        <v>45217</v>
      </c>
      <c r="C482" s="1" t="n">
        <v>45694</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52277-2023</t>
        </is>
      </c>
      <c r="B483" s="1" t="n">
        <v>45217</v>
      </c>
      <c r="C483" s="1" t="n">
        <v>45694</v>
      </c>
      <c r="D483" t="inlineStr">
        <is>
          <t>VÄSTRA GÖTALANDS LÄN</t>
        </is>
      </c>
      <c r="E483" t="inlineStr">
        <is>
          <t>DALS-ED</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52254-2023</t>
        </is>
      </c>
      <c r="B484" s="1" t="n">
        <v>45217</v>
      </c>
      <c r="C484" s="1" t="n">
        <v>45694</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52462-2023</t>
        </is>
      </c>
      <c r="B485" s="1" t="n">
        <v>45225</v>
      </c>
      <c r="C485" s="1" t="n">
        <v>45694</v>
      </c>
      <c r="D485" t="inlineStr">
        <is>
          <t>VÄSTRA GÖTALANDS LÄN</t>
        </is>
      </c>
      <c r="E485" t="inlineStr">
        <is>
          <t>DALS-ED</t>
        </is>
      </c>
      <c r="F485" t="inlineStr">
        <is>
          <t>Kommuner</t>
        </is>
      </c>
      <c r="G485" t="n">
        <v>7.3</v>
      </c>
      <c r="H485" t="n">
        <v>0</v>
      </c>
      <c r="I485" t="n">
        <v>0</v>
      </c>
      <c r="J485" t="n">
        <v>0</v>
      </c>
      <c r="K485" t="n">
        <v>0</v>
      </c>
      <c r="L485" t="n">
        <v>0</v>
      </c>
      <c r="M485" t="n">
        <v>0</v>
      </c>
      <c r="N485" t="n">
        <v>0</v>
      </c>
      <c r="O485" t="n">
        <v>0</v>
      </c>
      <c r="P485" t="n">
        <v>0</v>
      </c>
      <c r="Q485" t="n">
        <v>0</v>
      </c>
      <c r="R485" s="2" t="inlineStr"/>
    </row>
    <row r="486" ht="15" customHeight="1">
      <c r="A486" t="inlineStr">
        <is>
          <t>A 53473-2023</t>
        </is>
      </c>
      <c r="B486" s="1" t="n">
        <v>45230</v>
      </c>
      <c r="C486" s="1" t="n">
        <v>45694</v>
      </c>
      <c r="D486" t="inlineStr">
        <is>
          <t>VÄSTRA GÖTALANDS LÄN</t>
        </is>
      </c>
      <c r="E486" t="inlineStr">
        <is>
          <t>DALS-ED</t>
        </is>
      </c>
      <c r="G486" t="n">
        <v>1.3</v>
      </c>
      <c r="H486" t="n">
        <v>0</v>
      </c>
      <c r="I486" t="n">
        <v>0</v>
      </c>
      <c r="J486" t="n">
        <v>0</v>
      </c>
      <c r="K486" t="n">
        <v>0</v>
      </c>
      <c r="L486" t="n">
        <v>0</v>
      </c>
      <c r="M486" t="n">
        <v>0</v>
      </c>
      <c r="N486" t="n">
        <v>0</v>
      </c>
      <c r="O486" t="n">
        <v>0</v>
      </c>
      <c r="P486" t="n">
        <v>0</v>
      </c>
      <c r="Q486" t="n">
        <v>0</v>
      </c>
      <c r="R486" s="2" t="inlineStr"/>
    </row>
    <row r="487" ht="15" customHeight="1">
      <c r="A487" t="inlineStr">
        <is>
          <t>A 53625-2023</t>
        </is>
      </c>
      <c r="B487" s="1" t="n">
        <v>45230</v>
      </c>
      <c r="C487" s="1" t="n">
        <v>45694</v>
      </c>
      <c r="D487" t="inlineStr">
        <is>
          <t>VÄSTRA GÖTALANDS LÄN</t>
        </is>
      </c>
      <c r="E487" t="inlineStr">
        <is>
          <t>DALS-ED</t>
        </is>
      </c>
      <c r="G487" t="n">
        <v>16.5</v>
      </c>
      <c r="H487" t="n">
        <v>0</v>
      </c>
      <c r="I487" t="n">
        <v>0</v>
      </c>
      <c r="J487" t="n">
        <v>0</v>
      </c>
      <c r="K487" t="n">
        <v>0</v>
      </c>
      <c r="L487" t="n">
        <v>0</v>
      </c>
      <c r="M487" t="n">
        <v>0</v>
      </c>
      <c r="N487" t="n">
        <v>0</v>
      </c>
      <c r="O487" t="n">
        <v>0</v>
      </c>
      <c r="P487" t="n">
        <v>0</v>
      </c>
      <c r="Q487" t="n">
        <v>0</v>
      </c>
      <c r="R487" s="2" t="inlineStr"/>
    </row>
    <row r="488" ht="15" customHeight="1">
      <c r="A488" t="inlineStr">
        <is>
          <t>A 53470-2023</t>
        </is>
      </c>
      <c r="B488" s="1" t="n">
        <v>45230</v>
      </c>
      <c r="C488" s="1" t="n">
        <v>45694</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45694</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56015-2023</t>
        </is>
      </c>
      <c r="B490" s="1" t="n">
        <v>45240</v>
      </c>
      <c r="C490" s="1" t="n">
        <v>45694</v>
      </c>
      <c r="D490" t="inlineStr">
        <is>
          <t>VÄSTRA GÖTALANDS LÄN</t>
        </is>
      </c>
      <c r="E490" t="inlineStr">
        <is>
          <t>DALS-ED</t>
        </is>
      </c>
      <c r="G490" t="n">
        <v>1.2</v>
      </c>
      <c r="H490" t="n">
        <v>0</v>
      </c>
      <c r="I490" t="n">
        <v>0</v>
      </c>
      <c r="J490" t="n">
        <v>0</v>
      </c>
      <c r="K490" t="n">
        <v>0</v>
      </c>
      <c r="L490" t="n">
        <v>0</v>
      </c>
      <c r="M490" t="n">
        <v>0</v>
      </c>
      <c r="N490" t="n">
        <v>0</v>
      </c>
      <c r="O490" t="n">
        <v>0</v>
      </c>
      <c r="P490" t="n">
        <v>0</v>
      </c>
      <c r="Q490" t="n">
        <v>0</v>
      </c>
      <c r="R490" s="2" t="inlineStr"/>
    </row>
    <row r="491" ht="15" customHeight="1">
      <c r="A491" t="inlineStr">
        <is>
          <t>A 57701-2023</t>
        </is>
      </c>
      <c r="B491" s="1" t="n">
        <v>45246</v>
      </c>
      <c r="C491" s="1" t="n">
        <v>45694</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58719-2023</t>
        </is>
      </c>
      <c r="B492" s="1" t="n">
        <v>45251</v>
      </c>
      <c r="C492" s="1" t="n">
        <v>45694</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v>
      </c>
      <c r="C493" s="1" t="n">
        <v>45694</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59815-2023</t>
        </is>
      </c>
      <c r="B494" s="1" t="n">
        <v>45257</v>
      </c>
      <c r="C494" s="1" t="n">
        <v>45694</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60279-2023</t>
        </is>
      </c>
      <c r="B495" s="1" t="n">
        <v>45257</v>
      </c>
      <c r="C495" s="1" t="n">
        <v>45694</v>
      </c>
      <c r="D495" t="inlineStr">
        <is>
          <t>VÄSTRA GÖTALANDS LÄN</t>
        </is>
      </c>
      <c r="E495" t="inlineStr">
        <is>
          <t>DALS-ED</t>
        </is>
      </c>
      <c r="F495" t="inlineStr">
        <is>
          <t>Bergvik skog väst AB</t>
        </is>
      </c>
      <c r="G495" t="n">
        <v>4</v>
      </c>
      <c r="H495" t="n">
        <v>0</v>
      </c>
      <c r="I495" t="n">
        <v>0</v>
      </c>
      <c r="J495" t="n">
        <v>0</v>
      </c>
      <c r="K495" t="n">
        <v>0</v>
      </c>
      <c r="L495" t="n">
        <v>0</v>
      </c>
      <c r="M495" t="n">
        <v>0</v>
      </c>
      <c r="N495" t="n">
        <v>0</v>
      </c>
      <c r="O495" t="n">
        <v>0</v>
      </c>
      <c r="P495" t="n">
        <v>0</v>
      </c>
      <c r="Q495" t="n">
        <v>0</v>
      </c>
      <c r="R495" s="2" t="inlineStr"/>
    </row>
    <row r="496" ht="15" customHeight="1">
      <c r="A496" t="inlineStr">
        <is>
          <t>A 60052-2023</t>
        </is>
      </c>
      <c r="B496" s="1" t="n">
        <v>45258</v>
      </c>
      <c r="C496" s="1" t="n">
        <v>45694</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60461-2023</t>
        </is>
      </c>
      <c r="B497" s="1" t="n">
        <v>45258</v>
      </c>
      <c r="C497" s="1" t="n">
        <v>45694</v>
      </c>
      <c r="D497" t="inlineStr">
        <is>
          <t>VÄSTRA GÖTALANDS LÄN</t>
        </is>
      </c>
      <c r="E497" t="inlineStr">
        <is>
          <t>DALS-ED</t>
        </is>
      </c>
      <c r="F497" t="inlineStr">
        <is>
          <t>Bergvik skog väst AB</t>
        </is>
      </c>
      <c r="G497" t="n">
        <v>8.1</v>
      </c>
      <c r="H497" t="n">
        <v>0</v>
      </c>
      <c r="I497" t="n">
        <v>0</v>
      </c>
      <c r="J497" t="n">
        <v>0</v>
      </c>
      <c r="K497" t="n">
        <v>0</v>
      </c>
      <c r="L497" t="n">
        <v>0</v>
      </c>
      <c r="M497" t="n">
        <v>0</v>
      </c>
      <c r="N497" t="n">
        <v>0</v>
      </c>
      <c r="O497" t="n">
        <v>0</v>
      </c>
      <c r="P497" t="n">
        <v>0</v>
      </c>
      <c r="Q497" t="n">
        <v>0</v>
      </c>
      <c r="R497" s="2" t="inlineStr"/>
    </row>
    <row r="498" ht="15" customHeight="1">
      <c r="A498" t="inlineStr">
        <is>
          <t>A 60468-2023</t>
        </is>
      </c>
      <c r="B498" s="1" t="n">
        <v>45258</v>
      </c>
      <c r="C498" s="1" t="n">
        <v>45694</v>
      </c>
      <c r="D498" t="inlineStr">
        <is>
          <t>VÄSTRA GÖTALANDS LÄN</t>
        </is>
      </c>
      <c r="E498" t="inlineStr">
        <is>
          <t>DALS-ED</t>
        </is>
      </c>
      <c r="F498" t="inlineStr">
        <is>
          <t>Bergvik skog väst AB</t>
        </is>
      </c>
      <c r="G498" t="n">
        <v>7.3</v>
      </c>
      <c r="H498" t="n">
        <v>0</v>
      </c>
      <c r="I498" t="n">
        <v>0</v>
      </c>
      <c r="J498" t="n">
        <v>0</v>
      </c>
      <c r="K498" t="n">
        <v>0</v>
      </c>
      <c r="L498" t="n">
        <v>0</v>
      </c>
      <c r="M498" t="n">
        <v>0</v>
      </c>
      <c r="N498" t="n">
        <v>0</v>
      </c>
      <c r="O498" t="n">
        <v>0</v>
      </c>
      <c r="P498" t="n">
        <v>0</v>
      </c>
      <c r="Q498" t="n">
        <v>0</v>
      </c>
      <c r="R498" s="2" t="inlineStr"/>
    </row>
    <row r="499" ht="15" customHeight="1">
      <c r="A499" t="inlineStr">
        <is>
          <t>A 61220-2023</t>
        </is>
      </c>
      <c r="B499" s="1" t="n">
        <v>45264</v>
      </c>
      <c r="C499" s="1" t="n">
        <v>45694</v>
      </c>
      <c r="D499" t="inlineStr">
        <is>
          <t>VÄSTRA GÖTALANDS LÄN</t>
        </is>
      </c>
      <c r="E499" t="inlineStr">
        <is>
          <t>DALS-ED</t>
        </is>
      </c>
      <c r="G499" t="n">
        <v>2.8</v>
      </c>
      <c r="H499" t="n">
        <v>0</v>
      </c>
      <c r="I499" t="n">
        <v>0</v>
      </c>
      <c r="J499" t="n">
        <v>0</v>
      </c>
      <c r="K499" t="n">
        <v>0</v>
      </c>
      <c r="L499" t="n">
        <v>0</v>
      </c>
      <c r="M499" t="n">
        <v>0</v>
      </c>
      <c r="N499" t="n">
        <v>0</v>
      </c>
      <c r="O499" t="n">
        <v>0</v>
      </c>
      <c r="P499" t="n">
        <v>0</v>
      </c>
      <c r="Q499" t="n">
        <v>0</v>
      </c>
      <c r="R499" s="2" t="inlineStr"/>
    </row>
    <row r="500" ht="15" customHeight="1">
      <c r="A500" t="inlineStr">
        <is>
          <t>A 61742-2023</t>
        </is>
      </c>
      <c r="B500" s="1" t="n">
        <v>45265</v>
      </c>
      <c r="C500" s="1" t="n">
        <v>45694</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61725-2023</t>
        </is>
      </c>
      <c r="B501" s="1" t="n">
        <v>45265</v>
      </c>
      <c r="C501" s="1" t="n">
        <v>45694</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45694</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62534-2023</t>
        </is>
      </c>
      <c r="B503" s="1" t="n">
        <v>45267</v>
      </c>
      <c r="C503" s="1" t="n">
        <v>45694</v>
      </c>
      <c r="D503" t="inlineStr">
        <is>
          <t>VÄSTRA GÖTALANDS LÄN</t>
        </is>
      </c>
      <c r="E503" t="inlineStr">
        <is>
          <t>DALS-ED</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v>
      </c>
      <c r="C504" s="1" t="n">
        <v>45694</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62996-2023</t>
        </is>
      </c>
      <c r="B505" s="1" t="n">
        <v>45272</v>
      </c>
      <c r="C505" s="1" t="n">
        <v>45694</v>
      </c>
      <c r="D505" t="inlineStr">
        <is>
          <t>VÄSTRA GÖTALANDS LÄN</t>
        </is>
      </c>
      <c r="E505" t="inlineStr">
        <is>
          <t>DALS-ED</t>
        </is>
      </c>
      <c r="G505" t="n">
        <v>3.6</v>
      </c>
      <c r="H505" t="n">
        <v>0</v>
      </c>
      <c r="I505" t="n">
        <v>0</v>
      </c>
      <c r="J505" t="n">
        <v>0</v>
      </c>
      <c r="K505" t="n">
        <v>0</v>
      </c>
      <c r="L505" t="n">
        <v>0</v>
      </c>
      <c r="M505" t="n">
        <v>0</v>
      </c>
      <c r="N505" t="n">
        <v>0</v>
      </c>
      <c r="O505" t="n">
        <v>0</v>
      </c>
      <c r="P505" t="n">
        <v>0</v>
      </c>
      <c r="Q505" t="n">
        <v>0</v>
      </c>
      <c r="R505" s="2" t="inlineStr"/>
    </row>
    <row r="506" ht="15" customHeight="1">
      <c r="A506" t="inlineStr">
        <is>
          <t>A 63162-2023</t>
        </is>
      </c>
      <c r="B506" s="1" t="n">
        <v>45273</v>
      </c>
      <c r="C506" s="1" t="n">
        <v>45694</v>
      </c>
      <c r="D506" t="inlineStr">
        <is>
          <t>VÄSTRA GÖTALANDS LÄN</t>
        </is>
      </c>
      <c r="E506" t="inlineStr">
        <is>
          <t>DALS-ED</t>
        </is>
      </c>
      <c r="G506" t="n">
        <v>11.8</v>
      </c>
      <c r="H506" t="n">
        <v>0</v>
      </c>
      <c r="I506" t="n">
        <v>0</v>
      </c>
      <c r="J506" t="n">
        <v>0</v>
      </c>
      <c r="K506" t="n">
        <v>0</v>
      </c>
      <c r="L506" t="n">
        <v>0</v>
      </c>
      <c r="M506" t="n">
        <v>0</v>
      </c>
      <c r="N506" t="n">
        <v>0</v>
      </c>
      <c r="O506" t="n">
        <v>0</v>
      </c>
      <c r="P506" t="n">
        <v>0</v>
      </c>
      <c r="Q506" t="n">
        <v>0</v>
      </c>
      <c r="R506" s="2" t="inlineStr"/>
    </row>
    <row r="507" ht="15" customHeight="1">
      <c r="A507" t="inlineStr">
        <is>
          <t>A 64177-2023</t>
        </is>
      </c>
      <c r="B507" s="1" t="n">
        <v>45279</v>
      </c>
      <c r="C507" s="1" t="n">
        <v>45694</v>
      </c>
      <c r="D507" t="inlineStr">
        <is>
          <t>VÄSTRA GÖTALANDS LÄN</t>
        </is>
      </c>
      <c r="E507" t="inlineStr">
        <is>
          <t>DALS-ED</t>
        </is>
      </c>
      <c r="F507" t="inlineStr">
        <is>
          <t>Bergvik skog väst AB</t>
        </is>
      </c>
      <c r="G507" t="n">
        <v>18.6</v>
      </c>
      <c r="H507" t="n">
        <v>0</v>
      </c>
      <c r="I507" t="n">
        <v>0</v>
      </c>
      <c r="J507" t="n">
        <v>0</v>
      </c>
      <c r="K507" t="n">
        <v>0</v>
      </c>
      <c r="L507" t="n">
        <v>0</v>
      </c>
      <c r="M507" t="n">
        <v>0</v>
      </c>
      <c r="N507" t="n">
        <v>0</v>
      </c>
      <c r="O507" t="n">
        <v>0</v>
      </c>
      <c r="P507" t="n">
        <v>0</v>
      </c>
      <c r="Q507" t="n">
        <v>0</v>
      </c>
      <c r="R507" s="2" t="inlineStr"/>
    </row>
    <row r="508" ht="15" customHeight="1">
      <c r="A508" t="inlineStr">
        <is>
          <t>A 64967-2023</t>
        </is>
      </c>
      <c r="B508" s="1" t="n">
        <v>45283</v>
      </c>
      <c r="C508" s="1" t="n">
        <v>45694</v>
      </c>
      <c r="D508" t="inlineStr">
        <is>
          <t>VÄSTRA GÖTALANDS LÄN</t>
        </is>
      </c>
      <c r="E508" t="inlineStr">
        <is>
          <t>DALS-ED</t>
        </is>
      </c>
      <c r="G508" t="n">
        <v>1.8</v>
      </c>
      <c r="H508" t="n">
        <v>0</v>
      </c>
      <c r="I508" t="n">
        <v>0</v>
      </c>
      <c r="J508" t="n">
        <v>0</v>
      </c>
      <c r="K508" t="n">
        <v>0</v>
      </c>
      <c r="L508" t="n">
        <v>0</v>
      </c>
      <c r="M508" t="n">
        <v>0</v>
      </c>
      <c r="N508" t="n">
        <v>0</v>
      </c>
      <c r="O508" t="n">
        <v>0</v>
      </c>
      <c r="P508" t="n">
        <v>0</v>
      </c>
      <c r="Q508" t="n">
        <v>0</v>
      </c>
      <c r="R508" s="2" t="inlineStr"/>
    </row>
    <row r="509" ht="15" customHeight="1">
      <c r="A509" t="inlineStr">
        <is>
          <t>A 1027-2024</t>
        </is>
      </c>
      <c r="B509" s="1" t="n">
        <v>45301</v>
      </c>
      <c r="C509" s="1" t="n">
        <v>45694</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1031-2024</t>
        </is>
      </c>
      <c r="B510" s="1" t="n">
        <v>45301</v>
      </c>
      <c r="C510" s="1" t="n">
        <v>45694</v>
      </c>
      <c r="D510" t="inlineStr">
        <is>
          <t>VÄSTRA GÖTALANDS LÄN</t>
        </is>
      </c>
      <c r="E510" t="inlineStr">
        <is>
          <t>DALS-ED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2725-2024</t>
        </is>
      </c>
      <c r="B511" s="1" t="n">
        <v>45314</v>
      </c>
      <c r="C511" s="1" t="n">
        <v>45694</v>
      </c>
      <c r="D511" t="inlineStr">
        <is>
          <t>VÄSTRA GÖTALANDS LÄN</t>
        </is>
      </c>
      <c r="E511" t="inlineStr">
        <is>
          <t>DALS-ED</t>
        </is>
      </c>
      <c r="G511" t="n">
        <v>6.4</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v>
      </c>
      <c r="C512" s="1" t="n">
        <v>45694</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4368-2024</t>
        </is>
      </c>
      <c r="B513" s="1" t="n">
        <v>45326</v>
      </c>
      <c r="C513" s="1" t="n">
        <v>45694</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4499-2024</t>
        </is>
      </c>
      <c r="B514" s="1" t="n">
        <v>45327</v>
      </c>
      <c r="C514" s="1" t="n">
        <v>45694</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4537-2024</t>
        </is>
      </c>
      <c r="B515" s="1" t="n">
        <v>45327</v>
      </c>
      <c r="C515" s="1" t="n">
        <v>45694</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4534-2024</t>
        </is>
      </c>
      <c r="B516" s="1" t="n">
        <v>45327</v>
      </c>
      <c r="C516" s="1" t="n">
        <v>45694</v>
      </c>
      <c r="D516" t="inlineStr">
        <is>
          <t>VÄSTRA GÖTALANDS LÄN</t>
        </is>
      </c>
      <c r="E516" t="inlineStr">
        <is>
          <t>DALS-ED</t>
        </is>
      </c>
      <c r="G516" t="n">
        <v>2.4</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v>
      </c>
      <c r="C517" s="1" t="n">
        <v>45694</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5399-2024</t>
        </is>
      </c>
      <c r="B518" s="1" t="n">
        <v>45331</v>
      </c>
      <c r="C518" s="1" t="n">
        <v>45694</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6817-2024</t>
        </is>
      </c>
      <c r="B519" s="1" t="n">
        <v>45342</v>
      </c>
      <c r="C519" s="1" t="n">
        <v>45694</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7415-2024</t>
        </is>
      </c>
      <c r="B520" s="1" t="n">
        <v>45345</v>
      </c>
      <c r="C520" s="1" t="n">
        <v>45694</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7482-2024</t>
        </is>
      </c>
      <c r="B521" s="1" t="n">
        <v>45346</v>
      </c>
      <c r="C521" s="1" t="n">
        <v>45694</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7527-2024</t>
        </is>
      </c>
      <c r="B522" s="1" t="n">
        <v>45348</v>
      </c>
      <c r="C522" s="1" t="n">
        <v>45694</v>
      </c>
      <c r="D522" t="inlineStr">
        <is>
          <t>VÄSTRA GÖTALANDS LÄN</t>
        </is>
      </c>
      <c r="E522" t="inlineStr">
        <is>
          <t>DALS-ED</t>
        </is>
      </c>
      <c r="G522" t="n">
        <v>8.1</v>
      </c>
      <c r="H522" t="n">
        <v>0</v>
      </c>
      <c r="I522" t="n">
        <v>0</v>
      </c>
      <c r="J522" t="n">
        <v>0</v>
      </c>
      <c r="K522" t="n">
        <v>0</v>
      </c>
      <c r="L522" t="n">
        <v>0</v>
      </c>
      <c r="M522" t="n">
        <v>0</v>
      </c>
      <c r="N522" t="n">
        <v>0</v>
      </c>
      <c r="O522" t="n">
        <v>0</v>
      </c>
      <c r="P522" t="n">
        <v>0</v>
      </c>
      <c r="Q522" t="n">
        <v>0</v>
      </c>
      <c r="R522" s="2" t="inlineStr"/>
    </row>
    <row r="523" ht="15" customHeight="1">
      <c r="A523" t="inlineStr">
        <is>
          <t>A 7522-2024</t>
        </is>
      </c>
      <c r="B523" s="1" t="n">
        <v>45348</v>
      </c>
      <c r="C523" s="1" t="n">
        <v>45694</v>
      </c>
      <c r="D523" t="inlineStr">
        <is>
          <t>VÄSTRA GÖTALANDS LÄN</t>
        </is>
      </c>
      <c r="E523" t="inlineStr">
        <is>
          <t>DALS-ED</t>
        </is>
      </c>
      <c r="G523" t="n">
        <v>0.6</v>
      </c>
      <c r="H523" t="n">
        <v>0</v>
      </c>
      <c r="I523" t="n">
        <v>0</v>
      </c>
      <c r="J523" t="n">
        <v>0</v>
      </c>
      <c r="K523" t="n">
        <v>0</v>
      </c>
      <c r="L523" t="n">
        <v>0</v>
      </c>
      <c r="M523" t="n">
        <v>0</v>
      </c>
      <c r="N523" t="n">
        <v>0</v>
      </c>
      <c r="O523" t="n">
        <v>0</v>
      </c>
      <c r="P523" t="n">
        <v>0</v>
      </c>
      <c r="Q523" t="n">
        <v>0</v>
      </c>
      <c r="R523" s="2" t="inlineStr"/>
    </row>
    <row r="524" ht="15" customHeight="1">
      <c r="A524" t="inlineStr">
        <is>
          <t>A 8180-2024</t>
        </is>
      </c>
      <c r="B524" s="1" t="n">
        <v>45351</v>
      </c>
      <c r="C524" s="1" t="n">
        <v>45694</v>
      </c>
      <c r="D524" t="inlineStr">
        <is>
          <t>VÄSTRA GÖTALANDS LÄN</t>
        </is>
      </c>
      <c r="E524" t="inlineStr">
        <is>
          <t>DALS-ED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8176-2024</t>
        </is>
      </c>
      <c r="B525" s="1" t="n">
        <v>45351</v>
      </c>
      <c r="C525" s="1" t="n">
        <v>45694</v>
      </c>
      <c r="D525" t="inlineStr">
        <is>
          <t>VÄSTRA GÖTALANDS LÄN</t>
        </is>
      </c>
      <c r="E525" t="inlineStr">
        <is>
          <t>DALS-ED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8621-2024</t>
        </is>
      </c>
      <c r="B526" s="1" t="n">
        <v>45355</v>
      </c>
      <c r="C526" s="1" t="n">
        <v>45694</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9292-2024</t>
        </is>
      </c>
      <c r="B527" s="1" t="n">
        <v>45358</v>
      </c>
      <c r="C527" s="1" t="n">
        <v>45694</v>
      </c>
      <c r="D527" t="inlineStr">
        <is>
          <t>VÄSTRA GÖTALANDS LÄN</t>
        </is>
      </c>
      <c r="E527" t="inlineStr">
        <is>
          <t>DALS-ED</t>
        </is>
      </c>
      <c r="F527" t="inlineStr">
        <is>
          <t>Övriga Aktiebolag</t>
        </is>
      </c>
      <c r="G527" t="n">
        <v>26.4</v>
      </c>
      <c r="H527" t="n">
        <v>0</v>
      </c>
      <c r="I527" t="n">
        <v>0</v>
      </c>
      <c r="J527" t="n">
        <v>0</v>
      </c>
      <c r="K527" t="n">
        <v>0</v>
      </c>
      <c r="L527" t="n">
        <v>0</v>
      </c>
      <c r="M527" t="n">
        <v>0</v>
      </c>
      <c r="N527" t="n">
        <v>0</v>
      </c>
      <c r="O527" t="n">
        <v>0</v>
      </c>
      <c r="P527" t="n">
        <v>0</v>
      </c>
      <c r="Q527" t="n">
        <v>0</v>
      </c>
      <c r="R527" s="2" t="inlineStr"/>
    </row>
    <row r="528" ht="15" customHeight="1">
      <c r="A528" t="inlineStr">
        <is>
          <t>A 9382-2024</t>
        </is>
      </c>
      <c r="B528" s="1" t="n">
        <v>45359</v>
      </c>
      <c r="C528" s="1" t="n">
        <v>45694</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10452-2024</t>
        </is>
      </c>
      <c r="B529" s="1" t="n">
        <v>45366</v>
      </c>
      <c r="C529" s="1" t="n">
        <v>45694</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12275-2024</t>
        </is>
      </c>
      <c r="B530" s="1" t="n">
        <v>45378</v>
      </c>
      <c r="C530" s="1" t="n">
        <v>45694</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12844-2024</t>
        </is>
      </c>
      <c r="B531" s="1" t="n">
        <v>45384</v>
      </c>
      <c r="C531" s="1" t="n">
        <v>45694</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12693-2024</t>
        </is>
      </c>
      <c r="B532" s="1" t="n">
        <v>45384</v>
      </c>
      <c r="C532" s="1" t="n">
        <v>45694</v>
      </c>
      <c r="D532" t="inlineStr">
        <is>
          <t>VÄSTRA GÖTALANDS LÄN</t>
        </is>
      </c>
      <c r="E532" t="inlineStr">
        <is>
          <t>DALS-ED</t>
        </is>
      </c>
      <c r="G532" t="n">
        <v>2</v>
      </c>
      <c r="H532" t="n">
        <v>0</v>
      </c>
      <c r="I532" t="n">
        <v>0</v>
      </c>
      <c r="J532" t="n">
        <v>0</v>
      </c>
      <c r="K532" t="n">
        <v>0</v>
      </c>
      <c r="L532" t="n">
        <v>0</v>
      </c>
      <c r="M532" t="n">
        <v>0</v>
      </c>
      <c r="N532" t="n">
        <v>0</v>
      </c>
      <c r="O532" t="n">
        <v>0</v>
      </c>
      <c r="P532" t="n">
        <v>0</v>
      </c>
      <c r="Q532" t="n">
        <v>0</v>
      </c>
      <c r="R532" s="2" t="inlineStr"/>
    </row>
    <row r="533" ht="15" customHeight="1">
      <c r="A533" t="inlineStr">
        <is>
          <t>A 12972-2024</t>
        </is>
      </c>
      <c r="B533" s="1" t="n">
        <v>45385</v>
      </c>
      <c r="C533" s="1" t="n">
        <v>45694</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13112-2024</t>
        </is>
      </c>
      <c r="B534" s="1" t="n">
        <v>45385</v>
      </c>
      <c r="C534" s="1" t="n">
        <v>45694</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13489-2024</t>
        </is>
      </c>
      <c r="B535" s="1" t="n">
        <v>45387</v>
      </c>
      <c r="C535" s="1" t="n">
        <v>45694</v>
      </c>
      <c r="D535" t="inlineStr">
        <is>
          <t>VÄSTRA GÖTALANDS LÄN</t>
        </is>
      </c>
      <c r="E535" t="inlineStr">
        <is>
          <t>DALS-ED</t>
        </is>
      </c>
      <c r="G535" t="n">
        <v>5</v>
      </c>
      <c r="H535" t="n">
        <v>0</v>
      </c>
      <c r="I535" t="n">
        <v>0</v>
      </c>
      <c r="J535" t="n">
        <v>0</v>
      </c>
      <c r="K535" t="n">
        <v>0</v>
      </c>
      <c r="L535" t="n">
        <v>0</v>
      </c>
      <c r="M535" t="n">
        <v>0</v>
      </c>
      <c r="N535" t="n">
        <v>0</v>
      </c>
      <c r="O535" t="n">
        <v>0</v>
      </c>
      <c r="P535" t="n">
        <v>0</v>
      </c>
      <c r="Q535" t="n">
        <v>0</v>
      </c>
      <c r="R535" s="2" t="inlineStr"/>
    </row>
    <row r="536" ht="15" customHeight="1">
      <c r="A536" t="inlineStr">
        <is>
          <t>A 13491-2024</t>
        </is>
      </c>
      <c r="B536" s="1" t="n">
        <v>45387</v>
      </c>
      <c r="C536" s="1" t="n">
        <v>45694</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14186-2024</t>
        </is>
      </c>
      <c r="B537" s="1" t="n">
        <v>45393</v>
      </c>
      <c r="C537" s="1" t="n">
        <v>45694</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14285-2024</t>
        </is>
      </c>
      <c r="B538" s="1" t="n">
        <v>45393</v>
      </c>
      <c r="C538" s="1" t="n">
        <v>45694</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14289-2024</t>
        </is>
      </c>
      <c r="B539" s="1" t="n">
        <v>45393</v>
      </c>
      <c r="C539" s="1" t="n">
        <v>45694</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14628-2024</t>
        </is>
      </c>
      <c r="B540" s="1" t="n">
        <v>45397</v>
      </c>
      <c r="C540" s="1" t="n">
        <v>45694</v>
      </c>
      <c r="D540" t="inlineStr">
        <is>
          <t>VÄSTRA GÖTALANDS LÄN</t>
        </is>
      </c>
      <c r="E540" t="inlineStr">
        <is>
          <t>DALS-ED</t>
        </is>
      </c>
      <c r="G540" t="n">
        <v>3.9</v>
      </c>
      <c r="H540" t="n">
        <v>0</v>
      </c>
      <c r="I540" t="n">
        <v>0</v>
      </c>
      <c r="J540" t="n">
        <v>0</v>
      </c>
      <c r="K540" t="n">
        <v>0</v>
      </c>
      <c r="L540" t="n">
        <v>0</v>
      </c>
      <c r="M540" t="n">
        <v>0</v>
      </c>
      <c r="N540" t="n">
        <v>0</v>
      </c>
      <c r="O540" t="n">
        <v>0</v>
      </c>
      <c r="P540" t="n">
        <v>0</v>
      </c>
      <c r="Q540" t="n">
        <v>0</v>
      </c>
      <c r="R540" s="2" t="inlineStr"/>
    </row>
    <row r="541" ht="15" customHeight="1">
      <c r="A541" t="inlineStr">
        <is>
          <t>A 15125-2024</t>
        </is>
      </c>
      <c r="B541" s="1" t="n">
        <v>45399</v>
      </c>
      <c r="C541" s="1" t="n">
        <v>45694</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ht="15" customHeight="1">
      <c r="A542" t="inlineStr">
        <is>
          <t>A 14991-2024</t>
        </is>
      </c>
      <c r="B542" s="1" t="n">
        <v>45399</v>
      </c>
      <c r="C542" s="1" t="n">
        <v>45694</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15331-2024</t>
        </is>
      </c>
      <c r="B543" s="1" t="n">
        <v>45400</v>
      </c>
      <c r="C543" s="1" t="n">
        <v>45694</v>
      </c>
      <c r="D543" t="inlineStr">
        <is>
          <t>VÄSTRA GÖTALANDS LÄN</t>
        </is>
      </c>
      <c r="E543" t="inlineStr">
        <is>
          <t>DALS-ED</t>
        </is>
      </c>
      <c r="G543" t="n">
        <v>5.3</v>
      </c>
      <c r="H543" t="n">
        <v>0</v>
      </c>
      <c r="I543" t="n">
        <v>0</v>
      </c>
      <c r="J543" t="n">
        <v>0</v>
      </c>
      <c r="K543" t="n">
        <v>0</v>
      </c>
      <c r="L543" t="n">
        <v>0</v>
      </c>
      <c r="M543" t="n">
        <v>0</v>
      </c>
      <c r="N543" t="n">
        <v>0</v>
      </c>
      <c r="O543" t="n">
        <v>0</v>
      </c>
      <c r="P543" t="n">
        <v>0</v>
      </c>
      <c r="Q543" t="n">
        <v>0</v>
      </c>
      <c r="R543" s="2" t="inlineStr"/>
    </row>
    <row r="544" ht="15" customHeight="1">
      <c r="A544" t="inlineStr">
        <is>
          <t>A 15363-2024</t>
        </is>
      </c>
      <c r="B544" s="1" t="n">
        <v>45400</v>
      </c>
      <c r="C544" s="1" t="n">
        <v>45694</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15626-2024</t>
        </is>
      </c>
      <c r="B545" s="1" t="n">
        <v>45402</v>
      </c>
      <c r="C545" s="1" t="n">
        <v>45694</v>
      </c>
      <c r="D545" t="inlineStr">
        <is>
          <t>VÄSTRA GÖTALANDS LÄN</t>
        </is>
      </c>
      <c r="E545" t="inlineStr">
        <is>
          <t>DALS-ED</t>
        </is>
      </c>
      <c r="G545" t="n">
        <v>9.9</v>
      </c>
      <c r="H545" t="n">
        <v>0</v>
      </c>
      <c r="I545" t="n">
        <v>0</v>
      </c>
      <c r="J545" t="n">
        <v>0</v>
      </c>
      <c r="K545" t="n">
        <v>0</v>
      </c>
      <c r="L545" t="n">
        <v>0</v>
      </c>
      <c r="M545" t="n">
        <v>0</v>
      </c>
      <c r="N545" t="n">
        <v>0</v>
      </c>
      <c r="O545" t="n">
        <v>0</v>
      </c>
      <c r="P545" t="n">
        <v>0</v>
      </c>
      <c r="Q545" t="n">
        <v>0</v>
      </c>
      <c r="R545" s="2" t="inlineStr"/>
    </row>
    <row r="546" ht="15" customHeight="1">
      <c r="A546" t="inlineStr">
        <is>
          <t>A 15849-2024</t>
        </is>
      </c>
      <c r="B546" s="1" t="n">
        <v>45404</v>
      </c>
      <c r="C546" s="1" t="n">
        <v>45694</v>
      </c>
      <c r="D546" t="inlineStr">
        <is>
          <t>VÄSTRA GÖTALANDS LÄN</t>
        </is>
      </c>
      <c r="E546" t="inlineStr">
        <is>
          <t>DALS-ED</t>
        </is>
      </c>
      <c r="G546" t="n">
        <v>1.3</v>
      </c>
      <c r="H546" t="n">
        <v>0</v>
      </c>
      <c r="I546" t="n">
        <v>0</v>
      </c>
      <c r="J546" t="n">
        <v>0</v>
      </c>
      <c r="K546" t="n">
        <v>0</v>
      </c>
      <c r="L546" t="n">
        <v>0</v>
      </c>
      <c r="M546" t="n">
        <v>0</v>
      </c>
      <c r="N546" t="n">
        <v>0</v>
      </c>
      <c r="O546" t="n">
        <v>0</v>
      </c>
      <c r="P546" t="n">
        <v>0</v>
      </c>
      <c r="Q546" t="n">
        <v>0</v>
      </c>
      <c r="R546" s="2" t="inlineStr"/>
    </row>
    <row r="547" ht="15" customHeight="1">
      <c r="A547" t="inlineStr">
        <is>
          <t>A 15841-2024</t>
        </is>
      </c>
      <c r="B547" s="1" t="n">
        <v>45404</v>
      </c>
      <c r="C547" s="1" t="n">
        <v>45694</v>
      </c>
      <c r="D547" t="inlineStr">
        <is>
          <t>VÄSTRA GÖTALANDS LÄN</t>
        </is>
      </c>
      <c r="E547" t="inlineStr">
        <is>
          <t>DALS-ED</t>
        </is>
      </c>
      <c r="G547" t="n">
        <v>4.4</v>
      </c>
      <c r="H547" t="n">
        <v>0</v>
      </c>
      <c r="I547" t="n">
        <v>0</v>
      </c>
      <c r="J547" t="n">
        <v>0</v>
      </c>
      <c r="K547" t="n">
        <v>0</v>
      </c>
      <c r="L547" t="n">
        <v>0</v>
      </c>
      <c r="M547" t="n">
        <v>0</v>
      </c>
      <c r="N547" t="n">
        <v>0</v>
      </c>
      <c r="O547" t="n">
        <v>0</v>
      </c>
      <c r="P547" t="n">
        <v>0</v>
      </c>
      <c r="Q547" t="n">
        <v>0</v>
      </c>
      <c r="R547" s="2" t="inlineStr"/>
    </row>
    <row r="548" ht="15" customHeight="1">
      <c r="A548" t="inlineStr">
        <is>
          <t>A 15880-2024</t>
        </is>
      </c>
      <c r="B548" s="1" t="n">
        <v>45405</v>
      </c>
      <c r="C548" s="1" t="n">
        <v>45694</v>
      </c>
      <c r="D548" t="inlineStr">
        <is>
          <t>VÄSTRA GÖTALANDS LÄN</t>
        </is>
      </c>
      <c r="E548" t="inlineStr">
        <is>
          <t>DALS-ED</t>
        </is>
      </c>
      <c r="G548" t="n">
        <v>2.3</v>
      </c>
      <c r="H548" t="n">
        <v>0</v>
      </c>
      <c r="I548" t="n">
        <v>0</v>
      </c>
      <c r="J548" t="n">
        <v>0</v>
      </c>
      <c r="K548" t="n">
        <v>0</v>
      </c>
      <c r="L548" t="n">
        <v>0</v>
      </c>
      <c r="M548" t="n">
        <v>0</v>
      </c>
      <c r="N548" t="n">
        <v>0</v>
      </c>
      <c r="O548" t="n">
        <v>0</v>
      </c>
      <c r="P548" t="n">
        <v>0</v>
      </c>
      <c r="Q548" t="n">
        <v>0</v>
      </c>
      <c r="R548" s="2" t="inlineStr"/>
    </row>
    <row r="549" ht="15" customHeight="1">
      <c r="A549" t="inlineStr">
        <is>
          <t>A 16273-2024</t>
        </is>
      </c>
      <c r="B549" s="1" t="n">
        <v>45407</v>
      </c>
      <c r="C549" s="1" t="n">
        <v>45694</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16294-2024</t>
        </is>
      </c>
      <c r="B550" s="1" t="n">
        <v>45407</v>
      </c>
      <c r="C550" s="1" t="n">
        <v>45694</v>
      </c>
      <c r="D550" t="inlineStr">
        <is>
          <t>VÄSTRA GÖTALANDS LÄN</t>
        </is>
      </c>
      <c r="E550" t="inlineStr">
        <is>
          <t>DALS-ED</t>
        </is>
      </c>
      <c r="G550" t="n">
        <v>11</v>
      </c>
      <c r="H550" t="n">
        <v>0</v>
      </c>
      <c r="I550" t="n">
        <v>0</v>
      </c>
      <c r="J550" t="n">
        <v>0</v>
      </c>
      <c r="K550" t="n">
        <v>0</v>
      </c>
      <c r="L550" t="n">
        <v>0</v>
      </c>
      <c r="M550" t="n">
        <v>0</v>
      </c>
      <c r="N550" t="n">
        <v>0</v>
      </c>
      <c r="O550" t="n">
        <v>0</v>
      </c>
      <c r="P550" t="n">
        <v>0</v>
      </c>
      <c r="Q550" t="n">
        <v>0</v>
      </c>
      <c r="R550" s="2" t="inlineStr"/>
    </row>
    <row r="551" ht="15" customHeight="1">
      <c r="A551" t="inlineStr">
        <is>
          <t>A 16299-2024</t>
        </is>
      </c>
      <c r="B551" s="1" t="n">
        <v>45407</v>
      </c>
      <c r="C551" s="1" t="n">
        <v>45694</v>
      </c>
      <c r="D551" t="inlineStr">
        <is>
          <t>VÄSTRA GÖTALANDS LÄN</t>
        </is>
      </c>
      <c r="E551" t="inlineStr">
        <is>
          <t>DALS-ED</t>
        </is>
      </c>
      <c r="G551" t="n">
        <v>2</v>
      </c>
      <c r="H551" t="n">
        <v>0</v>
      </c>
      <c r="I551" t="n">
        <v>0</v>
      </c>
      <c r="J551" t="n">
        <v>0</v>
      </c>
      <c r="K551" t="n">
        <v>0</v>
      </c>
      <c r="L551" t="n">
        <v>0</v>
      </c>
      <c r="M551" t="n">
        <v>0</v>
      </c>
      <c r="N551" t="n">
        <v>0</v>
      </c>
      <c r="O551" t="n">
        <v>0</v>
      </c>
      <c r="P551" t="n">
        <v>0</v>
      </c>
      <c r="Q551" t="n">
        <v>0</v>
      </c>
      <c r="R551" s="2" t="inlineStr"/>
    </row>
    <row r="552" ht="15" customHeight="1">
      <c r="A552" t="inlineStr">
        <is>
          <t>A 16300-2024</t>
        </is>
      </c>
      <c r="B552" s="1" t="n">
        <v>45407</v>
      </c>
      <c r="C552" s="1" t="n">
        <v>45694</v>
      </c>
      <c r="D552" t="inlineStr">
        <is>
          <t>VÄSTRA GÖTALANDS LÄN</t>
        </is>
      </c>
      <c r="E552" t="inlineStr">
        <is>
          <t>DALS-ED</t>
        </is>
      </c>
      <c r="G552" t="n">
        <v>2.9</v>
      </c>
      <c r="H552" t="n">
        <v>0</v>
      </c>
      <c r="I552" t="n">
        <v>0</v>
      </c>
      <c r="J552" t="n">
        <v>0</v>
      </c>
      <c r="K552" t="n">
        <v>0</v>
      </c>
      <c r="L552" t="n">
        <v>0</v>
      </c>
      <c r="M552" t="n">
        <v>0</v>
      </c>
      <c r="N552" t="n">
        <v>0</v>
      </c>
      <c r="O552" t="n">
        <v>0</v>
      </c>
      <c r="P552" t="n">
        <v>0</v>
      </c>
      <c r="Q552" t="n">
        <v>0</v>
      </c>
      <c r="R552" s="2" t="inlineStr"/>
    </row>
    <row r="553" ht="15" customHeight="1">
      <c r="A553" t="inlineStr">
        <is>
          <t>A 16688-2024</t>
        </is>
      </c>
      <c r="B553" s="1" t="n">
        <v>45408</v>
      </c>
      <c r="C553" s="1" t="n">
        <v>45694</v>
      </c>
      <c r="D553" t="inlineStr">
        <is>
          <t>VÄSTRA GÖTALANDS LÄN</t>
        </is>
      </c>
      <c r="E553" t="inlineStr">
        <is>
          <t>DALS-ED</t>
        </is>
      </c>
      <c r="G553" t="n">
        <v>13.2</v>
      </c>
      <c r="H553" t="n">
        <v>0</v>
      </c>
      <c r="I553" t="n">
        <v>0</v>
      </c>
      <c r="J553" t="n">
        <v>0</v>
      </c>
      <c r="K553" t="n">
        <v>0</v>
      </c>
      <c r="L553" t="n">
        <v>0</v>
      </c>
      <c r="M553" t="n">
        <v>0</v>
      </c>
      <c r="N553" t="n">
        <v>0</v>
      </c>
      <c r="O553" t="n">
        <v>0</v>
      </c>
      <c r="P553" t="n">
        <v>0</v>
      </c>
      <c r="Q553" t="n">
        <v>0</v>
      </c>
      <c r="R553" s="2" t="inlineStr"/>
    </row>
    <row r="554" ht="15" customHeight="1">
      <c r="A554" t="inlineStr">
        <is>
          <t>A 17144-2024</t>
        </is>
      </c>
      <c r="B554" s="1" t="n">
        <v>45412</v>
      </c>
      <c r="C554" s="1" t="n">
        <v>45694</v>
      </c>
      <c r="D554" t="inlineStr">
        <is>
          <t>VÄSTRA GÖTALANDS LÄN</t>
        </is>
      </c>
      <c r="E554" t="inlineStr">
        <is>
          <t>DALS-ED</t>
        </is>
      </c>
      <c r="G554" t="n">
        <v>0.4</v>
      </c>
      <c r="H554" t="n">
        <v>0</v>
      </c>
      <c r="I554" t="n">
        <v>0</v>
      </c>
      <c r="J554" t="n">
        <v>0</v>
      </c>
      <c r="K554" t="n">
        <v>0</v>
      </c>
      <c r="L554" t="n">
        <v>0</v>
      </c>
      <c r="M554" t="n">
        <v>0</v>
      </c>
      <c r="N554" t="n">
        <v>0</v>
      </c>
      <c r="O554" t="n">
        <v>0</v>
      </c>
      <c r="P554" t="n">
        <v>0</v>
      </c>
      <c r="Q554" t="n">
        <v>0</v>
      </c>
      <c r="R554" s="2" t="inlineStr"/>
    </row>
    <row r="555" ht="15" customHeight="1">
      <c r="A555" t="inlineStr">
        <is>
          <t>A 17147-2024</t>
        </is>
      </c>
      <c r="B555" s="1" t="n">
        <v>45412</v>
      </c>
      <c r="C555" s="1" t="n">
        <v>45694</v>
      </c>
      <c r="D555" t="inlineStr">
        <is>
          <t>VÄSTRA GÖTALANDS LÄN</t>
        </is>
      </c>
      <c r="E555" t="inlineStr">
        <is>
          <t>DALS-ED</t>
        </is>
      </c>
      <c r="G555" t="n">
        <v>0.7</v>
      </c>
      <c r="H555" t="n">
        <v>0</v>
      </c>
      <c r="I555" t="n">
        <v>0</v>
      </c>
      <c r="J555" t="n">
        <v>0</v>
      </c>
      <c r="K555" t="n">
        <v>0</v>
      </c>
      <c r="L555" t="n">
        <v>0</v>
      </c>
      <c r="M555" t="n">
        <v>0</v>
      </c>
      <c r="N555" t="n">
        <v>0</v>
      </c>
      <c r="O555" t="n">
        <v>0</v>
      </c>
      <c r="P555" t="n">
        <v>0</v>
      </c>
      <c r="Q555" t="n">
        <v>0</v>
      </c>
      <c r="R555" s="2" t="inlineStr"/>
    </row>
    <row r="556" ht="15" customHeight="1">
      <c r="A556" t="inlineStr">
        <is>
          <t>A 17142-2024</t>
        </is>
      </c>
      <c r="B556" s="1" t="n">
        <v>45412</v>
      </c>
      <c r="C556" s="1" t="n">
        <v>45694</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17503-2024</t>
        </is>
      </c>
      <c r="B557" s="1" t="n">
        <v>45415</v>
      </c>
      <c r="C557" s="1" t="n">
        <v>45694</v>
      </c>
      <c r="D557" t="inlineStr">
        <is>
          <t>VÄSTRA GÖTALANDS LÄN</t>
        </is>
      </c>
      <c r="E557" t="inlineStr">
        <is>
          <t>DALS-ED</t>
        </is>
      </c>
      <c r="G557" t="n">
        <v>1.9</v>
      </c>
      <c r="H557" t="n">
        <v>0</v>
      </c>
      <c r="I557" t="n">
        <v>0</v>
      </c>
      <c r="J557" t="n">
        <v>0</v>
      </c>
      <c r="K557" t="n">
        <v>0</v>
      </c>
      <c r="L557" t="n">
        <v>0</v>
      </c>
      <c r="M557" t="n">
        <v>0</v>
      </c>
      <c r="N557" t="n">
        <v>0</v>
      </c>
      <c r="O557" t="n">
        <v>0</v>
      </c>
      <c r="P557" t="n">
        <v>0</v>
      </c>
      <c r="Q557" t="n">
        <v>0</v>
      </c>
      <c r="R557" s="2" t="inlineStr"/>
    </row>
    <row r="558" ht="15" customHeight="1">
      <c r="A558" t="inlineStr">
        <is>
          <t>A 17502-2024</t>
        </is>
      </c>
      <c r="B558" s="1" t="n">
        <v>45415</v>
      </c>
      <c r="C558" s="1" t="n">
        <v>45694</v>
      </c>
      <c r="D558" t="inlineStr">
        <is>
          <t>VÄSTRA GÖTALANDS LÄN</t>
        </is>
      </c>
      <c r="E558" t="inlineStr">
        <is>
          <t>DALS-ED</t>
        </is>
      </c>
      <c r="G558" t="n">
        <v>4.1</v>
      </c>
      <c r="H558" t="n">
        <v>0</v>
      </c>
      <c r="I558" t="n">
        <v>0</v>
      </c>
      <c r="J558" t="n">
        <v>0</v>
      </c>
      <c r="K558" t="n">
        <v>0</v>
      </c>
      <c r="L558" t="n">
        <v>0</v>
      </c>
      <c r="M558" t="n">
        <v>0</v>
      </c>
      <c r="N558" t="n">
        <v>0</v>
      </c>
      <c r="O558" t="n">
        <v>0</v>
      </c>
      <c r="P558" t="n">
        <v>0</v>
      </c>
      <c r="Q558" t="n">
        <v>0</v>
      </c>
      <c r="R558" s="2" t="inlineStr"/>
    </row>
    <row r="559" ht="15" customHeight="1">
      <c r="A559" t="inlineStr">
        <is>
          <t>A 17643-2024</t>
        </is>
      </c>
      <c r="B559" s="1" t="n">
        <v>45418</v>
      </c>
      <c r="C559" s="1" t="n">
        <v>45694</v>
      </c>
      <c r="D559" t="inlineStr">
        <is>
          <t>VÄSTRA GÖTALANDS LÄN</t>
        </is>
      </c>
      <c r="E559" t="inlineStr">
        <is>
          <t>DALS-ED</t>
        </is>
      </c>
      <c r="G559" t="n">
        <v>1.4</v>
      </c>
      <c r="H559" t="n">
        <v>0</v>
      </c>
      <c r="I559" t="n">
        <v>0</v>
      </c>
      <c r="J559" t="n">
        <v>0</v>
      </c>
      <c r="K559" t="n">
        <v>0</v>
      </c>
      <c r="L559" t="n">
        <v>0</v>
      </c>
      <c r="M559" t="n">
        <v>0</v>
      </c>
      <c r="N559" t="n">
        <v>0</v>
      </c>
      <c r="O559" t="n">
        <v>0</v>
      </c>
      <c r="P559" t="n">
        <v>0</v>
      </c>
      <c r="Q559" t="n">
        <v>0</v>
      </c>
      <c r="R559" s="2" t="inlineStr"/>
    </row>
    <row r="560" ht="15" customHeight="1">
      <c r="A560" t="inlineStr">
        <is>
          <t>A 17720-2024</t>
        </is>
      </c>
      <c r="B560" s="1" t="n">
        <v>45418</v>
      </c>
      <c r="C560" s="1" t="n">
        <v>45694</v>
      </c>
      <c r="D560" t="inlineStr">
        <is>
          <t>VÄSTRA GÖTALANDS LÄN</t>
        </is>
      </c>
      <c r="E560" t="inlineStr">
        <is>
          <t>DALS-ED</t>
        </is>
      </c>
      <c r="G560" t="n">
        <v>2.1</v>
      </c>
      <c r="H560" t="n">
        <v>0</v>
      </c>
      <c r="I560" t="n">
        <v>0</v>
      </c>
      <c r="J560" t="n">
        <v>0</v>
      </c>
      <c r="K560" t="n">
        <v>0</v>
      </c>
      <c r="L560" t="n">
        <v>0</v>
      </c>
      <c r="M560" t="n">
        <v>0</v>
      </c>
      <c r="N560" t="n">
        <v>0</v>
      </c>
      <c r="O560" t="n">
        <v>0</v>
      </c>
      <c r="P560" t="n">
        <v>0</v>
      </c>
      <c r="Q560" t="n">
        <v>0</v>
      </c>
      <c r="R560" s="2" t="inlineStr"/>
    </row>
    <row r="561" ht="15" customHeight="1">
      <c r="A561" t="inlineStr">
        <is>
          <t>A 17976-2024</t>
        </is>
      </c>
      <c r="B561" s="1" t="n">
        <v>45419</v>
      </c>
      <c r="C561" s="1" t="n">
        <v>45694</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18435-2024</t>
        </is>
      </c>
      <c r="B562" s="1" t="n">
        <v>45425</v>
      </c>
      <c r="C562" s="1" t="n">
        <v>45694</v>
      </c>
      <c r="D562" t="inlineStr">
        <is>
          <t>VÄSTRA GÖTALANDS LÄN</t>
        </is>
      </c>
      <c r="E562" t="inlineStr">
        <is>
          <t>DALS-ED</t>
        </is>
      </c>
      <c r="G562" t="n">
        <v>0.9</v>
      </c>
      <c r="H562" t="n">
        <v>0</v>
      </c>
      <c r="I562" t="n">
        <v>0</v>
      </c>
      <c r="J562" t="n">
        <v>0</v>
      </c>
      <c r="K562" t="n">
        <v>0</v>
      </c>
      <c r="L562" t="n">
        <v>0</v>
      </c>
      <c r="M562" t="n">
        <v>0</v>
      </c>
      <c r="N562" t="n">
        <v>0</v>
      </c>
      <c r="O562" t="n">
        <v>0</v>
      </c>
      <c r="P562" t="n">
        <v>0</v>
      </c>
      <c r="Q562" t="n">
        <v>0</v>
      </c>
      <c r="R562" s="2" t="inlineStr"/>
    </row>
    <row r="563" ht="15" customHeight="1">
      <c r="A563" t="inlineStr">
        <is>
          <t>A 18453-2024</t>
        </is>
      </c>
      <c r="B563" s="1" t="n">
        <v>45425</v>
      </c>
      <c r="C563" s="1" t="n">
        <v>45694</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19171-2024</t>
        </is>
      </c>
      <c r="B564" s="1" t="n">
        <v>45428</v>
      </c>
      <c r="C564" s="1" t="n">
        <v>45694</v>
      </c>
      <c r="D564" t="inlineStr">
        <is>
          <t>VÄSTRA GÖTALANDS LÄN</t>
        </is>
      </c>
      <c r="E564" t="inlineStr">
        <is>
          <t>DALS-ED</t>
        </is>
      </c>
      <c r="G564" t="n">
        <v>0.5</v>
      </c>
      <c r="H564" t="n">
        <v>0</v>
      </c>
      <c r="I564" t="n">
        <v>0</v>
      </c>
      <c r="J564" t="n">
        <v>0</v>
      </c>
      <c r="K564" t="n">
        <v>0</v>
      </c>
      <c r="L564" t="n">
        <v>0</v>
      </c>
      <c r="M564" t="n">
        <v>0</v>
      </c>
      <c r="N564" t="n">
        <v>0</v>
      </c>
      <c r="O564" t="n">
        <v>0</v>
      </c>
      <c r="P564" t="n">
        <v>0</v>
      </c>
      <c r="Q564" t="n">
        <v>0</v>
      </c>
      <c r="R564" s="2" t="inlineStr"/>
    </row>
    <row r="565" ht="15" customHeight="1">
      <c r="A565" t="inlineStr">
        <is>
          <t>A 19372-2024</t>
        </is>
      </c>
      <c r="B565" s="1" t="n">
        <v>45429</v>
      </c>
      <c r="C565" s="1" t="n">
        <v>45694</v>
      </c>
      <c r="D565" t="inlineStr">
        <is>
          <t>VÄSTRA GÖTALANDS LÄN</t>
        </is>
      </c>
      <c r="E565" t="inlineStr">
        <is>
          <t>DALS-ED</t>
        </is>
      </c>
      <c r="G565" t="n">
        <v>3.1</v>
      </c>
      <c r="H565" t="n">
        <v>0</v>
      </c>
      <c r="I565" t="n">
        <v>0</v>
      </c>
      <c r="J565" t="n">
        <v>0</v>
      </c>
      <c r="K565" t="n">
        <v>0</v>
      </c>
      <c r="L565" t="n">
        <v>0</v>
      </c>
      <c r="M565" t="n">
        <v>0</v>
      </c>
      <c r="N565" t="n">
        <v>0</v>
      </c>
      <c r="O565" t="n">
        <v>0</v>
      </c>
      <c r="P565" t="n">
        <v>0</v>
      </c>
      <c r="Q565" t="n">
        <v>0</v>
      </c>
      <c r="R565" s="2" t="inlineStr"/>
    </row>
    <row r="566" ht="15" customHeight="1">
      <c r="A566" t="inlineStr">
        <is>
          <t>A 19559-2024</t>
        </is>
      </c>
      <c r="B566" s="1" t="n">
        <v>45429</v>
      </c>
      <c r="C566" s="1" t="n">
        <v>45694</v>
      </c>
      <c r="D566" t="inlineStr">
        <is>
          <t>VÄSTRA GÖTALANDS LÄN</t>
        </is>
      </c>
      <c r="E566" t="inlineStr">
        <is>
          <t>DALS-ED</t>
        </is>
      </c>
      <c r="G566" t="n">
        <v>1.3</v>
      </c>
      <c r="H566" t="n">
        <v>0</v>
      </c>
      <c r="I566" t="n">
        <v>0</v>
      </c>
      <c r="J566" t="n">
        <v>0</v>
      </c>
      <c r="K566" t="n">
        <v>0</v>
      </c>
      <c r="L566" t="n">
        <v>0</v>
      </c>
      <c r="M566" t="n">
        <v>0</v>
      </c>
      <c r="N566" t="n">
        <v>0</v>
      </c>
      <c r="O566" t="n">
        <v>0</v>
      </c>
      <c r="P566" t="n">
        <v>0</v>
      </c>
      <c r="Q566" t="n">
        <v>0</v>
      </c>
      <c r="R566" s="2" t="inlineStr"/>
    </row>
    <row r="567" ht="15" customHeight="1">
      <c r="A567" t="inlineStr">
        <is>
          <t>A 21185-2024</t>
        </is>
      </c>
      <c r="B567" s="1" t="n">
        <v>45440</v>
      </c>
      <c r="C567" s="1" t="n">
        <v>45694</v>
      </c>
      <c r="D567" t="inlineStr">
        <is>
          <t>VÄSTRA GÖTALANDS LÄN</t>
        </is>
      </c>
      <c r="E567" t="inlineStr">
        <is>
          <t>DALS-ED</t>
        </is>
      </c>
      <c r="G567" t="n">
        <v>5.8</v>
      </c>
      <c r="H567" t="n">
        <v>0</v>
      </c>
      <c r="I567" t="n">
        <v>0</v>
      </c>
      <c r="J567" t="n">
        <v>0</v>
      </c>
      <c r="K567" t="n">
        <v>0</v>
      </c>
      <c r="L567" t="n">
        <v>0</v>
      </c>
      <c r="M567" t="n">
        <v>0</v>
      </c>
      <c r="N567" t="n">
        <v>0</v>
      </c>
      <c r="O567" t="n">
        <v>0</v>
      </c>
      <c r="P567" t="n">
        <v>0</v>
      </c>
      <c r="Q567" t="n">
        <v>0</v>
      </c>
      <c r="R567" s="2" t="inlineStr"/>
    </row>
    <row r="568" ht="15" customHeight="1">
      <c r="A568" t="inlineStr">
        <is>
          <t>A 21148-2024</t>
        </is>
      </c>
      <c r="B568" s="1" t="n">
        <v>45440</v>
      </c>
      <c r="C568" s="1" t="n">
        <v>45694</v>
      </c>
      <c r="D568" t="inlineStr">
        <is>
          <t>VÄSTRA GÖTALANDS LÄN</t>
        </is>
      </c>
      <c r="E568" t="inlineStr">
        <is>
          <t>DALS-ED</t>
        </is>
      </c>
      <c r="G568" t="n">
        <v>1</v>
      </c>
      <c r="H568" t="n">
        <v>0</v>
      </c>
      <c r="I568" t="n">
        <v>0</v>
      </c>
      <c r="J568" t="n">
        <v>0</v>
      </c>
      <c r="K568" t="n">
        <v>0</v>
      </c>
      <c r="L568" t="n">
        <v>0</v>
      </c>
      <c r="M568" t="n">
        <v>0</v>
      </c>
      <c r="N568" t="n">
        <v>0</v>
      </c>
      <c r="O568" t="n">
        <v>0</v>
      </c>
      <c r="P568" t="n">
        <v>0</v>
      </c>
      <c r="Q568" t="n">
        <v>0</v>
      </c>
      <c r="R568" s="2" t="inlineStr"/>
    </row>
    <row r="569" ht="15" customHeight="1">
      <c r="A569" t="inlineStr">
        <is>
          <t>A 21140-2024</t>
        </is>
      </c>
      <c r="B569" s="1" t="n">
        <v>45440</v>
      </c>
      <c r="C569" s="1" t="n">
        <v>45694</v>
      </c>
      <c r="D569" t="inlineStr">
        <is>
          <t>VÄSTRA GÖTALANDS LÄN</t>
        </is>
      </c>
      <c r="E569" t="inlineStr">
        <is>
          <t>DALS-ED</t>
        </is>
      </c>
      <c r="G569" t="n">
        <v>0.7</v>
      </c>
      <c r="H569" t="n">
        <v>0</v>
      </c>
      <c r="I569" t="n">
        <v>0</v>
      </c>
      <c r="J569" t="n">
        <v>0</v>
      </c>
      <c r="K569" t="n">
        <v>0</v>
      </c>
      <c r="L569" t="n">
        <v>0</v>
      </c>
      <c r="M569" t="n">
        <v>0</v>
      </c>
      <c r="N569" t="n">
        <v>0</v>
      </c>
      <c r="O569" t="n">
        <v>0</v>
      </c>
      <c r="P569" t="n">
        <v>0</v>
      </c>
      <c r="Q569" t="n">
        <v>0</v>
      </c>
      <c r="R569" s="2" t="inlineStr"/>
    </row>
    <row r="570" ht="15" customHeight="1">
      <c r="A570" t="inlineStr">
        <is>
          <t>A 22448-2024</t>
        </is>
      </c>
      <c r="B570" s="1" t="n">
        <v>45447</v>
      </c>
      <c r="C570" s="1" t="n">
        <v>45694</v>
      </c>
      <c r="D570" t="inlineStr">
        <is>
          <t>VÄSTRA GÖTALANDS LÄN</t>
        </is>
      </c>
      <c r="E570" t="inlineStr">
        <is>
          <t>DALS-ED</t>
        </is>
      </c>
      <c r="G570" t="n">
        <v>0.5</v>
      </c>
      <c r="H570" t="n">
        <v>0</v>
      </c>
      <c r="I570" t="n">
        <v>0</v>
      </c>
      <c r="J570" t="n">
        <v>0</v>
      </c>
      <c r="K570" t="n">
        <v>0</v>
      </c>
      <c r="L570" t="n">
        <v>0</v>
      </c>
      <c r="M570" t="n">
        <v>0</v>
      </c>
      <c r="N570" t="n">
        <v>0</v>
      </c>
      <c r="O570" t="n">
        <v>0</v>
      </c>
      <c r="P570" t="n">
        <v>0</v>
      </c>
      <c r="Q570" t="n">
        <v>0</v>
      </c>
      <c r="R570" s="2" t="inlineStr"/>
    </row>
    <row r="571" ht="15" customHeight="1">
      <c r="A571" t="inlineStr">
        <is>
          <t>A 23614-2024</t>
        </is>
      </c>
      <c r="B571" s="1" t="n">
        <v>45454</v>
      </c>
      <c r="C571" s="1" t="n">
        <v>45694</v>
      </c>
      <c r="D571" t="inlineStr">
        <is>
          <t>VÄSTRA GÖTALANDS LÄN</t>
        </is>
      </c>
      <c r="E571" t="inlineStr">
        <is>
          <t>DALS-ED</t>
        </is>
      </c>
      <c r="G571" t="n">
        <v>2.9</v>
      </c>
      <c r="H571" t="n">
        <v>0</v>
      </c>
      <c r="I571" t="n">
        <v>0</v>
      </c>
      <c r="J571" t="n">
        <v>0</v>
      </c>
      <c r="K571" t="n">
        <v>0</v>
      </c>
      <c r="L571" t="n">
        <v>0</v>
      </c>
      <c r="M571" t="n">
        <v>0</v>
      </c>
      <c r="N571" t="n">
        <v>0</v>
      </c>
      <c r="O571" t="n">
        <v>0</v>
      </c>
      <c r="P571" t="n">
        <v>0</v>
      </c>
      <c r="Q571" t="n">
        <v>0</v>
      </c>
      <c r="R571" s="2" t="inlineStr"/>
    </row>
    <row r="572" ht="15" customHeight="1">
      <c r="A572" t="inlineStr">
        <is>
          <t>A 23679-2024</t>
        </is>
      </c>
      <c r="B572" s="1" t="n">
        <v>45454</v>
      </c>
      <c r="C572" s="1" t="n">
        <v>45694</v>
      </c>
      <c r="D572" t="inlineStr">
        <is>
          <t>VÄSTRA GÖTALANDS LÄN</t>
        </is>
      </c>
      <c r="E572" t="inlineStr">
        <is>
          <t>DALS-ED</t>
        </is>
      </c>
      <c r="F572" t="inlineStr">
        <is>
          <t>Kyrkan</t>
        </is>
      </c>
      <c r="G572" t="n">
        <v>2.6</v>
      </c>
      <c r="H572" t="n">
        <v>0</v>
      </c>
      <c r="I572" t="n">
        <v>0</v>
      </c>
      <c r="J572" t="n">
        <v>0</v>
      </c>
      <c r="K572" t="n">
        <v>0</v>
      </c>
      <c r="L572" t="n">
        <v>0</v>
      </c>
      <c r="M572" t="n">
        <v>0</v>
      </c>
      <c r="N572" t="n">
        <v>0</v>
      </c>
      <c r="O572" t="n">
        <v>0</v>
      </c>
      <c r="P572" t="n">
        <v>0</v>
      </c>
      <c r="Q572" t="n">
        <v>0</v>
      </c>
      <c r="R572" s="2" t="inlineStr"/>
    </row>
    <row r="573" ht="15" customHeight="1">
      <c r="A573" t="inlineStr">
        <is>
          <t>A 23695-2024</t>
        </is>
      </c>
      <c r="B573" s="1" t="n">
        <v>45454</v>
      </c>
      <c r="C573" s="1" t="n">
        <v>45694</v>
      </c>
      <c r="D573" t="inlineStr">
        <is>
          <t>VÄSTRA GÖTALANDS LÄN</t>
        </is>
      </c>
      <c r="E573" t="inlineStr">
        <is>
          <t>DALS-ED</t>
        </is>
      </c>
      <c r="F573" t="inlineStr">
        <is>
          <t>Kyrkan</t>
        </is>
      </c>
      <c r="G573" t="n">
        <v>2.9</v>
      </c>
      <c r="H573" t="n">
        <v>0</v>
      </c>
      <c r="I573" t="n">
        <v>0</v>
      </c>
      <c r="J573" t="n">
        <v>0</v>
      </c>
      <c r="K573" t="n">
        <v>0</v>
      </c>
      <c r="L573" t="n">
        <v>0</v>
      </c>
      <c r="M573" t="n">
        <v>0</v>
      </c>
      <c r="N573" t="n">
        <v>0</v>
      </c>
      <c r="O573" t="n">
        <v>0</v>
      </c>
      <c r="P573" t="n">
        <v>0</v>
      </c>
      <c r="Q573" t="n">
        <v>0</v>
      </c>
      <c r="R573" s="2" t="inlineStr"/>
    </row>
    <row r="574" ht="15" customHeight="1">
      <c r="A574" t="inlineStr">
        <is>
          <t>A 23863-2024</t>
        </is>
      </c>
      <c r="B574" s="1" t="n">
        <v>45455</v>
      </c>
      <c r="C574" s="1" t="n">
        <v>45694</v>
      </c>
      <c r="D574" t="inlineStr">
        <is>
          <t>VÄSTRA GÖTALANDS LÄN</t>
        </is>
      </c>
      <c r="E574" t="inlineStr">
        <is>
          <t>DALS-ED</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24482-2024</t>
        </is>
      </c>
      <c r="B575" s="1" t="n">
        <v>45459</v>
      </c>
      <c r="C575" s="1" t="n">
        <v>45694</v>
      </c>
      <c r="D575" t="inlineStr">
        <is>
          <t>VÄSTRA GÖTALANDS LÄN</t>
        </is>
      </c>
      <c r="E575" t="inlineStr">
        <is>
          <t>DALS-ED</t>
        </is>
      </c>
      <c r="G575" t="n">
        <v>0.9</v>
      </c>
      <c r="H575" t="n">
        <v>0</v>
      </c>
      <c r="I575" t="n">
        <v>0</v>
      </c>
      <c r="J575" t="n">
        <v>0</v>
      </c>
      <c r="K575" t="n">
        <v>0</v>
      </c>
      <c r="L575" t="n">
        <v>0</v>
      </c>
      <c r="M575" t="n">
        <v>0</v>
      </c>
      <c r="N575" t="n">
        <v>0</v>
      </c>
      <c r="O575" t="n">
        <v>0</v>
      </c>
      <c r="P575" t="n">
        <v>0</v>
      </c>
      <c r="Q575" t="n">
        <v>0</v>
      </c>
      <c r="R575" s="2" t="inlineStr"/>
    </row>
    <row r="576" ht="15" customHeight="1">
      <c r="A576" t="inlineStr">
        <is>
          <t>A 24650-2024</t>
        </is>
      </c>
      <c r="B576" s="1" t="n">
        <v>45460</v>
      </c>
      <c r="C576" s="1" t="n">
        <v>45694</v>
      </c>
      <c r="D576" t="inlineStr">
        <is>
          <t>VÄSTRA GÖTALANDS LÄN</t>
        </is>
      </c>
      <c r="E576" t="inlineStr">
        <is>
          <t>DALS-ED</t>
        </is>
      </c>
      <c r="G576" t="n">
        <v>1.5</v>
      </c>
      <c r="H576" t="n">
        <v>0</v>
      </c>
      <c r="I576" t="n">
        <v>0</v>
      </c>
      <c r="J576" t="n">
        <v>0</v>
      </c>
      <c r="K576" t="n">
        <v>0</v>
      </c>
      <c r="L576" t="n">
        <v>0</v>
      </c>
      <c r="M576" t="n">
        <v>0</v>
      </c>
      <c r="N576" t="n">
        <v>0</v>
      </c>
      <c r="O576" t="n">
        <v>0</v>
      </c>
      <c r="P576" t="n">
        <v>0</v>
      </c>
      <c r="Q576" t="n">
        <v>0</v>
      </c>
      <c r="R576" s="2" t="inlineStr"/>
    </row>
    <row r="577" ht="15" customHeight="1">
      <c r="A577" t="inlineStr">
        <is>
          <t>A 25591-2024</t>
        </is>
      </c>
      <c r="B577" s="1" t="n">
        <v>45463</v>
      </c>
      <c r="C577" s="1" t="n">
        <v>45694</v>
      </c>
      <c r="D577" t="inlineStr">
        <is>
          <t>VÄSTRA GÖTALANDS LÄN</t>
        </is>
      </c>
      <c r="E577" t="inlineStr">
        <is>
          <t>DALS-ED</t>
        </is>
      </c>
      <c r="G577" t="n">
        <v>3.5</v>
      </c>
      <c r="H577" t="n">
        <v>0</v>
      </c>
      <c r="I577" t="n">
        <v>0</v>
      </c>
      <c r="J577" t="n">
        <v>0</v>
      </c>
      <c r="K577" t="n">
        <v>0</v>
      </c>
      <c r="L577" t="n">
        <v>0</v>
      </c>
      <c r="M577" t="n">
        <v>0</v>
      </c>
      <c r="N577" t="n">
        <v>0</v>
      </c>
      <c r="O577" t="n">
        <v>0</v>
      </c>
      <c r="P577" t="n">
        <v>0</v>
      </c>
      <c r="Q577" t="n">
        <v>0</v>
      </c>
      <c r="R577" s="2" t="inlineStr"/>
    </row>
    <row r="578" ht="15" customHeight="1">
      <c r="A578" t="inlineStr">
        <is>
          <t>A 25924-2024</t>
        </is>
      </c>
      <c r="B578" s="1" t="n">
        <v>45467</v>
      </c>
      <c r="C578" s="1" t="n">
        <v>45694</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26199-2024</t>
        </is>
      </c>
      <c r="B579" s="1" t="n">
        <v>45468</v>
      </c>
      <c r="C579" s="1" t="n">
        <v>45694</v>
      </c>
      <c r="D579" t="inlineStr">
        <is>
          <t>VÄSTRA GÖTALANDS LÄN</t>
        </is>
      </c>
      <c r="E579" t="inlineStr">
        <is>
          <t>DALS-ED</t>
        </is>
      </c>
      <c r="G579" t="n">
        <v>11.6</v>
      </c>
      <c r="H579" t="n">
        <v>0</v>
      </c>
      <c r="I579" t="n">
        <v>0</v>
      </c>
      <c r="J579" t="n">
        <v>0</v>
      </c>
      <c r="K579" t="n">
        <v>0</v>
      </c>
      <c r="L579" t="n">
        <v>0</v>
      </c>
      <c r="M579" t="n">
        <v>0</v>
      </c>
      <c r="N579" t="n">
        <v>0</v>
      </c>
      <c r="O579" t="n">
        <v>0</v>
      </c>
      <c r="P579" t="n">
        <v>0</v>
      </c>
      <c r="Q579" t="n">
        <v>0</v>
      </c>
      <c r="R579" s="2" t="inlineStr"/>
    </row>
    <row r="580" ht="15" customHeight="1">
      <c r="A580" t="inlineStr">
        <is>
          <t>A 26864-2024</t>
        </is>
      </c>
      <c r="B580" s="1" t="n">
        <v>45470</v>
      </c>
      <c r="C580" s="1" t="n">
        <v>45694</v>
      </c>
      <c r="D580" t="inlineStr">
        <is>
          <t>VÄSTRA GÖTALANDS LÄN</t>
        </is>
      </c>
      <c r="E580" t="inlineStr">
        <is>
          <t>DALS-ED</t>
        </is>
      </c>
      <c r="G580" t="n">
        <v>2.6</v>
      </c>
      <c r="H580" t="n">
        <v>0</v>
      </c>
      <c r="I580" t="n">
        <v>0</v>
      </c>
      <c r="J580" t="n">
        <v>0</v>
      </c>
      <c r="K580" t="n">
        <v>0</v>
      </c>
      <c r="L580" t="n">
        <v>0</v>
      </c>
      <c r="M580" t="n">
        <v>0</v>
      </c>
      <c r="N580" t="n">
        <v>0</v>
      </c>
      <c r="O580" t="n">
        <v>0</v>
      </c>
      <c r="P580" t="n">
        <v>0</v>
      </c>
      <c r="Q580" t="n">
        <v>0</v>
      </c>
      <c r="R580" s="2" t="inlineStr"/>
    </row>
    <row r="581" ht="15" customHeight="1">
      <c r="A581" t="inlineStr">
        <is>
          <t>A 27435-2024</t>
        </is>
      </c>
      <c r="B581" s="1" t="n">
        <v>45474</v>
      </c>
      <c r="C581" s="1" t="n">
        <v>45694</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27846-2024</t>
        </is>
      </c>
      <c r="B582" s="1" t="n">
        <v>45475</v>
      </c>
      <c r="C582" s="1" t="n">
        <v>45694</v>
      </c>
      <c r="D582" t="inlineStr">
        <is>
          <t>VÄSTRA GÖTALANDS LÄN</t>
        </is>
      </c>
      <c r="E582" t="inlineStr">
        <is>
          <t>DALS-ED</t>
        </is>
      </c>
      <c r="G582" t="n">
        <v>1.4</v>
      </c>
      <c r="H582" t="n">
        <v>0</v>
      </c>
      <c r="I582" t="n">
        <v>0</v>
      </c>
      <c r="J582" t="n">
        <v>0</v>
      </c>
      <c r="K582" t="n">
        <v>0</v>
      </c>
      <c r="L582" t="n">
        <v>0</v>
      </c>
      <c r="M582" t="n">
        <v>0</v>
      </c>
      <c r="N582" t="n">
        <v>0</v>
      </c>
      <c r="O582" t="n">
        <v>0</v>
      </c>
      <c r="P582" t="n">
        <v>0</v>
      </c>
      <c r="Q582" t="n">
        <v>0</v>
      </c>
      <c r="R582" s="2" t="inlineStr"/>
    </row>
    <row r="583" ht="15" customHeight="1">
      <c r="A583" t="inlineStr">
        <is>
          <t>A 27876-2024</t>
        </is>
      </c>
      <c r="B583" s="1" t="n">
        <v>45475</v>
      </c>
      <c r="C583" s="1" t="n">
        <v>45694</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27877-2024</t>
        </is>
      </c>
      <c r="B584" s="1" t="n">
        <v>45475</v>
      </c>
      <c r="C584" s="1" t="n">
        <v>45694</v>
      </c>
      <c r="D584" t="inlineStr">
        <is>
          <t>VÄSTRA GÖTALANDS LÄN</t>
        </is>
      </c>
      <c r="E584" t="inlineStr">
        <is>
          <t>DALS-ED</t>
        </is>
      </c>
      <c r="G584" t="n">
        <v>0.7</v>
      </c>
      <c r="H584" t="n">
        <v>0</v>
      </c>
      <c r="I584" t="n">
        <v>0</v>
      </c>
      <c r="J584" t="n">
        <v>0</v>
      </c>
      <c r="K584" t="n">
        <v>0</v>
      </c>
      <c r="L584" t="n">
        <v>0</v>
      </c>
      <c r="M584" t="n">
        <v>0</v>
      </c>
      <c r="N584" t="n">
        <v>0</v>
      </c>
      <c r="O584" t="n">
        <v>0</v>
      </c>
      <c r="P584" t="n">
        <v>0</v>
      </c>
      <c r="Q584" t="n">
        <v>0</v>
      </c>
      <c r="R584" s="2" t="inlineStr"/>
    </row>
    <row r="585" ht="15" customHeight="1">
      <c r="A585" t="inlineStr">
        <is>
          <t>A 28588-2024</t>
        </is>
      </c>
      <c r="B585" s="1" t="n">
        <v>45478</v>
      </c>
      <c r="C585" s="1" t="n">
        <v>45694</v>
      </c>
      <c r="D585" t="inlineStr">
        <is>
          <t>VÄSTRA GÖTALANDS LÄN</t>
        </is>
      </c>
      <c r="E585" t="inlineStr">
        <is>
          <t>DALS-ED</t>
        </is>
      </c>
      <c r="G585" t="n">
        <v>5.1</v>
      </c>
      <c r="H585" t="n">
        <v>0</v>
      </c>
      <c r="I585" t="n">
        <v>0</v>
      </c>
      <c r="J585" t="n">
        <v>0</v>
      </c>
      <c r="K585" t="n">
        <v>0</v>
      </c>
      <c r="L585" t="n">
        <v>0</v>
      </c>
      <c r="M585" t="n">
        <v>0</v>
      </c>
      <c r="N585" t="n">
        <v>0</v>
      </c>
      <c r="O585" t="n">
        <v>0</v>
      </c>
      <c r="P585" t="n">
        <v>0</v>
      </c>
      <c r="Q585" t="n">
        <v>0</v>
      </c>
      <c r="R585" s="2" t="inlineStr"/>
    </row>
    <row r="586" ht="15" customHeight="1">
      <c r="A586" t="inlineStr">
        <is>
          <t>A 28714-2024</t>
        </is>
      </c>
      <c r="B586" s="1" t="n">
        <v>45478</v>
      </c>
      <c r="C586" s="1" t="n">
        <v>45694</v>
      </c>
      <c r="D586" t="inlineStr">
        <is>
          <t>VÄSTRA GÖTALANDS LÄN</t>
        </is>
      </c>
      <c r="E586" t="inlineStr">
        <is>
          <t>DALS-ED</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28998-2024</t>
        </is>
      </c>
      <c r="B587" s="1" t="n">
        <v>45481</v>
      </c>
      <c r="C587" s="1" t="n">
        <v>45694</v>
      </c>
      <c r="D587" t="inlineStr">
        <is>
          <t>VÄSTRA GÖTALANDS LÄN</t>
        </is>
      </c>
      <c r="E587" t="inlineStr">
        <is>
          <t>DALS-ED</t>
        </is>
      </c>
      <c r="G587" t="n">
        <v>3</v>
      </c>
      <c r="H587" t="n">
        <v>0</v>
      </c>
      <c r="I587" t="n">
        <v>0</v>
      </c>
      <c r="J587" t="n">
        <v>0</v>
      </c>
      <c r="K587" t="n">
        <v>0</v>
      </c>
      <c r="L587" t="n">
        <v>0</v>
      </c>
      <c r="M587" t="n">
        <v>0</v>
      </c>
      <c r="N587" t="n">
        <v>0</v>
      </c>
      <c r="O587" t="n">
        <v>0</v>
      </c>
      <c r="P587" t="n">
        <v>0</v>
      </c>
      <c r="Q587" t="n">
        <v>0</v>
      </c>
      <c r="R587" s="2" t="inlineStr"/>
    </row>
    <row r="588" ht="15" customHeight="1">
      <c r="A588" t="inlineStr">
        <is>
          <t>A 30001-2024</t>
        </is>
      </c>
      <c r="B588" s="1" t="n">
        <v>45488</v>
      </c>
      <c r="C588" s="1" t="n">
        <v>45694</v>
      </c>
      <c r="D588" t="inlineStr">
        <is>
          <t>VÄSTRA GÖTALANDS LÄN</t>
        </is>
      </c>
      <c r="E588" t="inlineStr">
        <is>
          <t>DALS-ED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30909-2024</t>
        </is>
      </c>
      <c r="B589" s="1" t="n">
        <v>45498</v>
      </c>
      <c r="C589" s="1" t="n">
        <v>45694</v>
      </c>
      <c r="D589" t="inlineStr">
        <is>
          <t>VÄSTRA GÖTALANDS LÄN</t>
        </is>
      </c>
      <c r="E589" t="inlineStr">
        <is>
          <t>DALS-ED</t>
        </is>
      </c>
      <c r="G589" t="n">
        <v>1.3</v>
      </c>
      <c r="H589" t="n">
        <v>0</v>
      </c>
      <c r="I589" t="n">
        <v>0</v>
      </c>
      <c r="J589" t="n">
        <v>0</v>
      </c>
      <c r="K589" t="n">
        <v>0</v>
      </c>
      <c r="L589" t="n">
        <v>0</v>
      </c>
      <c r="M589" t="n">
        <v>0</v>
      </c>
      <c r="N589" t="n">
        <v>0</v>
      </c>
      <c r="O589" t="n">
        <v>0</v>
      </c>
      <c r="P589" t="n">
        <v>0</v>
      </c>
      <c r="Q589" t="n">
        <v>0</v>
      </c>
      <c r="R589" s="2" t="inlineStr"/>
    </row>
    <row r="590" ht="15" customHeight="1">
      <c r="A590" t="inlineStr">
        <is>
          <t>A 32700-2024</t>
        </is>
      </c>
      <c r="B590" s="1" t="n">
        <v>45516</v>
      </c>
      <c r="C590" s="1" t="n">
        <v>45694</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32766-2024</t>
        </is>
      </c>
      <c r="B591" s="1" t="n">
        <v>45516</v>
      </c>
      <c r="C591" s="1" t="n">
        <v>45694</v>
      </c>
      <c r="D591" t="inlineStr">
        <is>
          <t>VÄSTRA GÖTALANDS LÄN</t>
        </is>
      </c>
      <c r="E591" t="inlineStr">
        <is>
          <t>DALS-ED</t>
        </is>
      </c>
      <c r="G591" t="n">
        <v>1.5</v>
      </c>
      <c r="H591" t="n">
        <v>0</v>
      </c>
      <c r="I591" t="n">
        <v>0</v>
      </c>
      <c r="J591" t="n">
        <v>0</v>
      </c>
      <c r="K591" t="n">
        <v>0</v>
      </c>
      <c r="L591" t="n">
        <v>0</v>
      </c>
      <c r="M591" t="n">
        <v>0</v>
      </c>
      <c r="N591" t="n">
        <v>0</v>
      </c>
      <c r="O591" t="n">
        <v>0</v>
      </c>
      <c r="P591" t="n">
        <v>0</v>
      </c>
      <c r="Q591" t="n">
        <v>0</v>
      </c>
      <c r="R591" s="2" t="inlineStr"/>
    </row>
    <row r="592" ht="15" customHeight="1">
      <c r="A592" t="inlineStr">
        <is>
          <t>A 33290-2024</t>
        </is>
      </c>
      <c r="B592" s="1" t="n">
        <v>45518</v>
      </c>
      <c r="C592" s="1" t="n">
        <v>45694</v>
      </c>
      <c r="D592" t="inlineStr">
        <is>
          <t>VÄSTRA GÖTALANDS LÄN</t>
        </is>
      </c>
      <c r="E592" t="inlineStr">
        <is>
          <t>DALS-ED</t>
        </is>
      </c>
      <c r="G592" t="n">
        <v>1.1</v>
      </c>
      <c r="H592" t="n">
        <v>0</v>
      </c>
      <c r="I592" t="n">
        <v>0</v>
      </c>
      <c r="J592" t="n">
        <v>0</v>
      </c>
      <c r="K592" t="n">
        <v>0</v>
      </c>
      <c r="L592" t="n">
        <v>0</v>
      </c>
      <c r="M592" t="n">
        <v>0</v>
      </c>
      <c r="N592" t="n">
        <v>0</v>
      </c>
      <c r="O592" t="n">
        <v>0</v>
      </c>
      <c r="P592" t="n">
        <v>0</v>
      </c>
      <c r="Q592" t="n">
        <v>0</v>
      </c>
      <c r="R592" s="2" t="inlineStr"/>
    </row>
    <row r="593" ht="15" customHeight="1">
      <c r="A593" t="inlineStr">
        <is>
          <t>A 33596-2024</t>
        </is>
      </c>
      <c r="B593" s="1" t="n">
        <v>45520</v>
      </c>
      <c r="C593" s="1" t="n">
        <v>45694</v>
      </c>
      <c r="D593" t="inlineStr">
        <is>
          <t>VÄSTRA GÖTALANDS LÄN</t>
        </is>
      </c>
      <c r="E593" t="inlineStr">
        <is>
          <t>DALS-ED</t>
        </is>
      </c>
      <c r="G593" t="n">
        <v>5.8</v>
      </c>
      <c r="H593" t="n">
        <v>0</v>
      </c>
      <c r="I593" t="n">
        <v>0</v>
      </c>
      <c r="J593" t="n">
        <v>0</v>
      </c>
      <c r="K593" t="n">
        <v>0</v>
      </c>
      <c r="L593" t="n">
        <v>0</v>
      </c>
      <c r="M593" t="n">
        <v>0</v>
      </c>
      <c r="N593" t="n">
        <v>0</v>
      </c>
      <c r="O593" t="n">
        <v>0</v>
      </c>
      <c r="P593" t="n">
        <v>0</v>
      </c>
      <c r="Q593" t="n">
        <v>0</v>
      </c>
      <c r="R593" s="2" t="inlineStr"/>
    </row>
    <row r="594" ht="15" customHeight="1">
      <c r="A594" t="inlineStr">
        <is>
          <t>A 35295-2024</t>
        </is>
      </c>
      <c r="B594" s="1" t="n">
        <v>45530</v>
      </c>
      <c r="C594" s="1" t="n">
        <v>45694</v>
      </c>
      <c r="D594" t="inlineStr">
        <is>
          <t>VÄSTRA GÖTALANDS LÄN</t>
        </is>
      </c>
      <c r="E594" t="inlineStr">
        <is>
          <t>DALS-ED</t>
        </is>
      </c>
      <c r="G594" t="n">
        <v>0.3</v>
      </c>
      <c r="H594" t="n">
        <v>0</v>
      </c>
      <c r="I594" t="n">
        <v>0</v>
      </c>
      <c r="J594" t="n">
        <v>0</v>
      </c>
      <c r="K594" t="n">
        <v>0</v>
      </c>
      <c r="L594" t="n">
        <v>0</v>
      </c>
      <c r="M594" t="n">
        <v>0</v>
      </c>
      <c r="N594" t="n">
        <v>0</v>
      </c>
      <c r="O594" t="n">
        <v>0</v>
      </c>
      <c r="P594" t="n">
        <v>0</v>
      </c>
      <c r="Q594" t="n">
        <v>0</v>
      </c>
      <c r="R594" s="2" t="inlineStr"/>
    </row>
    <row r="595" ht="15" customHeight="1">
      <c r="A595" t="inlineStr">
        <is>
          <t>A 35466-2024</t>
        </is>
      </c>
      <c r="B595" s="1" t="n">
        <v>45531</v>
      </c>
      <c r="C595" s="1" t="n">
        <v>45694</v>
      </c>
      <c r="D595" t="inlineStr">
        <is>
          <t>VÄSTRA GÖTALANDS LÄN</t>
        </is>
      </c>
      <c r="E595" t="inlineStr">
        <is>
          <t>DALS-ED</t>
        </is>
      </c>
      <c r="G595" t="n">
        <v>4.7</v>
      </c>
      <c r="H595" t="n">
        <v>0</v>
      </c>
      <c r="I595" t="n">
        <v>0</v>
      </c>
      <c r="J595" t="n">
        <v>0</v>
      </c>
      <c r="K595" t="n">
        <v>0</v>
      </c>
      <c r="L595" t="n">
        <v>0</v>
      </c>
      <c r="M595" t="n">
        <v>0</v>
      </c>
      <c r="N595" t="n">
        <v>0</v>
      </c>
      <c r="O595" t="n">
        <v>0</v>
      </c>
      <c r="P595" t="n">
        <v>0</v>
      </c>
      <c r="Q595" t="n">
        <v>0</v>
      </c>
      <c r="R595" s="2" t="inlineStr"/>
    </row>
    <row r="596" ht="15" customHeight="1">
      <c r="A596" t="inlineStr">
        <is>
          <t>A 35484-2024</t>
        </is>
      </c>
      <c r="B596" s="1" t="n">
        <v>45531</v>
      </c>
      <c r="C596" s="1" t="n">
        <v>45694</v>
      </c>
      <c r="D596" t="inlineStr">
        <is>
          <t>VÄSTRA GÖTALANDS LÄN</t>
        </is>
      </c>
      <c r="E596" t="inlineStr">
        <is>
          <t>DALS-ED</t>
        </is>
      </c>
      <c r="G596" t="n">
        <v>1.4</v>
      </c>
      <c r="H596" t="n">
        <v>0</v>
      </c>
      <c r="I596" t="n">
        <v>0</v>
      </c>
      <c r="J596" t="n">
        <v>0</v>
      </c>
      <c r="K596" t="n">
        <v>0</v>
      </c>
      <c r="L596" t="n">
        <v>0</v>
      </c>
      <c r="M596" t="n">
        <v>0</v>
      </c>
      <c r="N596" t="n">
        <v>0</v>
      </c>
      <c r="O596" t="n">
        <v>0</v>
      </c>
      <c r="P596" t="n">
        <v>0</v>
      </c>
      <c r="Q596" t="n">
        <v>0</v>
      </c>
      <c r="R596" s="2" t="inlineStr"/>
    </row>
    <row r="597" ht="15" customHeight="1">
      <c r="A597" t="inlineStr">
        <is>
          <t>A 35868-2024</t>
        </is>
      </c>
      <c r="B597" s="1" t="n">
        <v>45533</v>
      </c>
      <c r="C597" s="1" t="n">
        <v>45694</v>
      </c>
      <c r="D597" t="inlineStr">
        <is>
          <t>VÄSTRA GÖTALANDS LÄN</t>
        </is>
      </c>
      <c r="E597" t="inlineStr">
        <is>
          <t>DALS-ED</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35887-2024</t>
        </is>
      </c>
      <c r="B598" s="1" t="n">
        <v>45533</v>
      </c>
      <c r="C598" s="1" t="n">
        <v>45694</v>
      </c>
      <c r="D598" t="inlineStr">
        <is>
          <t>VÄSTRA GÖTALANDS LÄN</t>
        </is>
      </c>
      <c r="E598" t="inlineStr">
        <is>
          <t>DALS-ED</t>
        </is>
      </c>
      <c r="G598" t="n">
        <v>3.2</v>
      </c>
      <c r="H598" t="n">
        <v>0</v>
      </c>
      <c r="I598" t="n">
        <v>0</v>
      </c>
      <c r="J598" t="n">
        <v>0</v>
      </c>
      <c r="K598" t="n">
        <v>0</v>
      </c>
      <c r="L598" t="n">
        <v>0</v>
      </c>
      <c r="M598" t="n">
        <v>0</v>
      </c>
      <c r="N598" t="n">
        <v>0</v>
      </c>
      <c r="O598" t="n">
        <v>0</v>
      </c>
      <c r="P598" t="n">
        <v>0</v>
      </c>
      <c r="Q598" t="n">
        <v>0</v>
      </c>
      <c r="R598" s="2" t="inlineStr"/>
    </row>
    <row r="599" ht="15" customHeight="1">
      <c r="A599" t="inlineStr">
        <is>
          <t>A 35891-2024</t>
        </is>
      </c>
      <c r="B599" s="1" t="n">
        <v>45533</v>
      </c>
      <c r="C599" s="1" t="n">
        <v>45694</v>
      </c>
      <c r="D599" t="inlineStr">
        <is>
          <t>VÄSTRA GÖTALANDS LÄN</t>
        </is>
      </c>
      <c r="E599" t="inlineStr">
        <is>
          <t>DALS-ED</t>
        </is>
      </c>
      <c r="G599" t="n">
        <v>10.8</v>
      </c>
      <c r="H599" t="n">
        <v>0</v>
      </c>
      <c r="I599" t="n">
        <v>0</v>
      </c>
      <c r="J599" t="n">
        <v>0</v>
      </c>
      <c r="K599" t="n">
        <v>0</v>
      </c>
      <c r="L599" t="n">
        <v>0</v>
      </c>
      <c r="M599" t="n">
        <v>0</v>
      </c>
      <c r="N599" t="n">
        <v>0</v>
      </c>
      <c r="O599" t="n">
        <v>0</v>
      </c>
      <c r="P599" t="n">
        <v>0</v>
      </c>
      <c r="Q599" t="n">
        <v>0</v>
      </c>
      <c r="R599" s="2" t="inlineStr"/>
    </row>
    <row r="600" ht="15" customHeight="1">
      <c r="A600" t="inlineStr">
        <is>
          <t>A 36095-2024</t>
        </is>
      </c>
      <c r="B600" s="1" t="n">
        <v>45533</v>
      </c>
      <c r="C600" s="1" t="n">
        <v>45694</v>
      </c>
      <c r="D600" t="inlineStr">
        <is>
          <t>VÄSTRA GÖTALANDS LÄN</t>
        </is>
      </c>
      <c r="E600" t="inlineStr">
        <is>
          <t>DALS-ED</t>
        </is>
      </c>
      <c r="G600" t="n">
        <v>1.2</v>
      </c>
      <c r="H600" t="n">
        <v>0</v>
      </c>
      <c r="I600" t="n">
        <v>0</v>
      </c>
      <c r="J600" t="n">
        <v>0</v>
      </c>
      <c r="K600" t="n">
        <v>0</v>
      </c>
      <c r="L600" t="n">
        <v>0</v>
      </c>
      <c r="M600" t="n">
        <v>0</v>
      </c>
      <c r="N600" t="n">
        <v>0</v>
      </c>
      <c r="O600" t="n">
        <v>0</v>
      </c>
      <c r="P600" t="n">
        <v>0</v>
      </c>
      <c r="Q600" t="n">
        <v>0</v>
      </c>
      <c r="R600" s="2" t="inlineStr"/>
    </row>
    <row r="601" ht="15" customHeight="1">
      <c r="A601" t="inlineStr">
        <is>
          <t>A 36803-2024</t>
        </is>
      </c>
      <c r="B601" s="1" t="n">
        <v>45538</v>
      </c>
      <c r="C601" s="1" t="n">
        <v>45694</v>
      </c>
      <c r="D601" t="inlineStr">
        <is>
          <t>VÄSTRA GÖTALANDS LÄN</t>
        </is>
      </c>
      <c r="E601" t="inlineStr">
        <is>
          <t>DALS-ED</t>
        </is>
      </c>
      <c r="G601" t="n">
        <v>2.3</v>
      </c>
      <c r="H601" t="n">
        <v>0</v>
      </c>
      <c r="I601" t="n">
        <v>0</v>
      </c>
      <c r="J601" t="n">
        <v>0</v>
      </c>
      <c r="K601" t="n">
        <v>0</v>
      </c>
      <c r="L601" t="n">
        <v>0</v>
      </c>
      <c r="M601" t="n">
        <v>0</v>
      </c>
      <c r="N601" t="n">
        <v>0</v>
      </c>
      <c r="O601" t="n">
        <v>0</v>
      </c>
      <c r="P601" t="n">
        <v>0</v>
      </c>
      <c r="Q601" t="n">
        <v>0</v>
      </c>
      <c r="R601" s="2" t="inlineStr"/>
    </row>
    <row r="602" ht="15" customHeight="1">
      <c r="A602" t="inlineStr">
        <is>
          <t>A 37181-2024</t>
        </is>
      </c>
      <c r="B602" s="1" t="n">
        <v>45539</v>
      </c>
      <c r="C602" s="1" t="n">
        <v>45694</v>
      </c>
      <c r="D602" t="inlineStr">
        <is>
          <t>VÄSTRA GÖTALANDS LÄN</t>
        </is>
      </c>
      <c r="E602" t="inlineStr">
        <is>
          <t>DALS-ED</t>
        </is>
      </c>
      <c r="G602" t="n">
        <v>4.8</v>
      </c>
      <c r="H602" t="n">
        <v>0</v>
      </c>
      <c r="I602" t="n">
        <v>0</v>
      </c>
      <c r="J602" t="n">
        <v>0</v>
      </c>
      <c r="K602" t="n">
        <v>0</v>
      </c>
      <c r="L602" t="n">
        <v>0</v>
      </c>
      <c r="M602" t="n">
        <v>0</v>
      </c>
      <c r="N602" t="n">
        <v>0</v>
      </c>
      <c r="O602" t="n">
        <v>0</v>
      </c>
      <c r="P602" t="n">
        <v>0</v>
      </c>
      <c r="Q602" t="n">
        <v>0</v>
      </c>
      <c r="R602" s="2" t="inlineStr"/>
    </row>
    <row r="603" ht="15" customHeight="1">
      <c r="A603" t="inlineStr">
        <is>
          <t>A 37526-2024</t>
        </is>
      </c>
      <c r="B603" s="1" t="n">
        <v>45541</v>
      </c>
      <c r="C603" s="1" t="n">
        <v>45694</v>
      </c>
      <c r="D603" t="inlineStr">
        <is>
          <t>VÄSTRA GÖTALANDS LÄN</t>
        </is>
      </c>
      <c r="E603" t="inlineStr">
        <is>
          <t>DALS-ED</t>
        </is>
      </c>
      <c r="G603" t="n">
        <v>0.8</v>
      </c>
      <c r="H603" t="n">
        <v>0</v>
      </c>
      <c r="I603" t="n">
        <v>0</v>
      </c>
      <c r="J603" t="n">
        <v>0</v>
      </c>
      <c r="K603" t="n">
        <v>0</v>
      </c>
      <c r="L603" t="n">
        <v>0</v>
      </c>
      <c r="M603" t="n">
        <v>0</v>
      </c>
      <c r="N603" t="n">
        <v>0</v>
      </c>
      <c r="O603" t="n">
        <v>0</v>
      </c>
      <c r="P603" t="n">
        <v>0</v>
      </c>
      <c r="Q603" t="n">
        <v>0</v>
      </c>
      <c r="R603" s="2" t="inlineStr"/>
    </row>
    <row r="604" ht="15" customHeight="1">
      <c r="A604" t="inlineStr">
        <is>
          <t>A 37874-2024</t>
        </is>
      </c>
      <c r="B604" s="1" t="n">
        <v>45544</v>
      </c>
      <c r="C604" s="1" t="n">
        <v>45694</v>
      </c>
      <c r="D604" t="inlineStr">
        <is>
          <t>VÄSTRA GÖTALANDS LÄN</t>
        </is>
      </c>
      <c r="E604" t="inlineStr">
        <is>
          <t>DALS-ED</t>
        </is>
      </c>
      <c r="G604" t="n">
        <v>1.6</v>
      </c>
      <c r="H604" t="n">
        <v>0</v>
      </c>
      <c r="I604" t="n">
        <v>0</v>
      </c>
      <c r="J604" t="n">
        <v>0</v>
      </c>
      <c r="K604" t="n">
        <v>0</v>
      </c>
      <c r="L604" t="n">
        <v>0</v>
      </c>
      <c r="M604" t="n">
        <v>0</v>
      </c>
      <c r="N604" t="n">
        <v>0</v>
      </c>
      <c r="O604" t="n">
        <v>0</v>
      </c>
      <c r="P604" t="n">
        <v>0</v>
      </c>
      <c r="Q604" t="n">
        <v>0</v>
      </c>
      <c r="R604" s="2" t="inlineStr"/>
    </row>
    <row r="605" ht="15" customHeight="1">
      <c r="A605" t="inlineStr">
        <is>
          <t>A 38412-2024</t>
        </is>
      </c>
      <c r="B605" s="1" t="n">
        <v>45546</v>
      </c>
      <c r="C605" s="1" t="n">
        <v>45694</v>
      </c>
      <c r="D605" t="inlineStr">
        <is>
          <t>VÄSTRA GÖTALANDS LÄN</t>
        </is>
      </c>
      <c r="E605" t="inlineStr">
        <is>
          <t>DALS-ED</t>
        </is>
      </c>
      <c r="G605" t="n">
        <v>3</v>
      </c>
      <c r="H605" t="n">
        <v>0</v>
      </c>
      <c r="I605" t="n">
        <v>0</v>
      </c>
      <c r="J605" t="n">
        <v>0</v>
      </c>
      <c r="K605" t="n">
        <v>0</v>
      </c>
      <c r="L605" t="n">
        <v>0</v>
      </c>
      <c r="M605" t="n">
        <v>0</v>
      </c>
      <c r="N605" t="n">
        <v>0</v>
      </c>
      <c r="O605" t="n">
        <v>0</v>
      </c>
      <c r="P605" t="n">
        <v>0</v>
      </c>
      <c r="Q605" t="n">
        <v>0</v>
      </c>
      <c r="R605" s="2" t="inlineStr"/>
    </row>
    <row r="606" ht="15" customHeight="1">
      <c r="A606" t="inlineStr">
        <is>
          <t>A 38579-2024</t>
        </is>
      </c>
      <c r="B606" s="1" t="n">
        <v>45546</v>
      </c>
      <c r="C606" s="1" t="n">
        <v>45694</v>
      </c>
      <c r="D606" t="inlineStr">
        <is>
          <t>VÄSTRA GÖTALANDS LÄN</t>
        </is>
      </c>
      <c r="E606" t="inlineStr">
        <is>
          <t>DALS-ED</t>
        </is>
      </c>
      <c r="G606" t="n">
        <v>1.2</v>
      </c>
      <c r="H606" t="n">
        <v>0</v>
      </c>
      <c r="I606" t="n">
        <v>0</v>
      </c>
      <c r="J606" t="n">
        <v>0</v>
      </c>
      <c r="K606" t="n">
        <v>0</v>
      </c>
      <c r="L606" t="n">
        <v>0</v>
      </c>
      <c r="M606" t="n">
        <v>0</v>
      </c>
      <c r="N606" t="n">
        <v>0</v>
      </c>
      <c r="O606" t="n">
        <v>0</v>
      </c>
      <c r="P606" t="n">
        <v>0</v>
      </c>
      <c r="Q606" t="n">
        <v>0</v>
      </c>
      <c r="R606" s="2" t="inlineStr"/>
    </row>
    <row r="607" ht="15" customHeight="1">
      <c r="A607" t="inlineStr">
        <is>
          <t>A 38671-2024</t>
        </is>
      </c>
      <c r="B607" s="1" t="n">
        <v>45547</v>
      </c>
      <c r="C607" s="1" t="n">
        <v>45694</v>
      </c>
      <c r="D607" t="inlineStr">
        <is>
          <t>VÄSTRA GÖTALANDS LÄN</t>
        </is>
      </c>
      <c r="E607" t="inlineStr">
        <is>
          <t>DALS-ED</t>
        </is>
      </c>
      <c r="G607" t="n">
        <v>4.9</v>
      </c>
      <c r="H607" t="n">
        <v>0</v>
      </c>
      <c r="I607" t="n">
        <v>0</v>
      </c>
      <c r="J607" t="n">
        <v>0</v>
      </c>
      <c r="K607" t="n">
        <v>0</v>
      </c>
      <c r="L607" t="n">
        <v>0</v>
      </c>
      <c r="M607" t="n">
        <v>0</v>
      </c>
      <c r="N607" t="n">
        <v>0</v>
      </c>
      <c r="O607" t="n">
        <v>0</v>
      </c>
      <c r="P607" t="n">
        <v>0</v>
      </c>
      <c r="Q607" t="n">
        <v>0</v>
      </c>
      <c r="R607" s="2" t="inlineStr"/>
    </row>
    <row r="608" ht="15" customHeight="1">
      <c r="A608" t="inlineStr">
        <is>
          <t>A 39931-2024</t>
        </is>
      </c>
      <c r="B608" s="1" t="n">
        <v>45553</v>
      </c>
      <c r="C608" s="1" t="n">
        <v>45694</v>
      </c>
      <c r="D608" t="inlineStr">
        <is>
          <t>VÄSTRA GÖTALANDS LÄN</t>
        </is>
      </c>
      <c r="E608" t="inlineStr">
        <is>
          <t>DALS-ED</t>
        </is>
      </c>
      <c r="G608" t="n">
        <v>7.1</v>
      </c>
      <c r="H608" t="n">
        <v>0</v>
      </c>
      <c r="I608" t="n">
        <v>0</v>
      </c>
      <c r="J608" t="n">
        <v>0</v>
      </c>
      <c r="K608" t="n">
        <v>0</v>
      </c>
      <c r="L608" t="n">
        <v>0</v>
      </c>
      <c r="M608" t="n">
        <v>0</v>
      </c>
      <c r="N608" t="n">
        <v>0</v>
      </c>
      <c r="O608" t="n">
        <v>0</v>
      </c>
      <c r="P608" t="n">
        <v>0</v>
      </c>
      <c r="Q608" t="n">
        <v>0</v>
      </c>
      <c r="R608" s="2" t="inlineStr"/>
    </row>
    <row r="609" ht="15" customHeight="1">
      <c r="A609" t="inlineStr">
        <is>
          <t>A 40113-2024</t>
        </is>
      </c>
      <c r="B609" s="1" t="n">
        <v>45554</v>
      </c>
      <c r="C609" s="1" t="n">
        <v>45694</v>
      </c>
      <c r="D609" t="inlineStr">
        <is>
          <t>VÄSTRA GÖTALANDS LÄN</t>
        </is>
      </c>
      <c r="E609" t="inlineStr">
        <is>
          <t>DALS-ED</t>
        </is>
      </c>
      <c r="G609" t="n">
        <v>1</v>
      </c>
      <c r="H609" t="n">
        <v>0</v>
      </c>
      <c r="I609" t="n">
        <v>0</v>
      </c>
      <c r="J609" t="n">
        <v>0</v>
      </c>
      <c r="K609" t="n">
        <v>0</v>
      </c>
      <c r="L609" t="n">
        <v>0</v>
      </c>
      <c r="M609" t="n">
        <v>0</v>
      </c>
      <c r="N609" t="n">
        <v>0</v>
      </c>
      <c r="O609" t="n">
        <v>0</v>
      </c>
      <c r="P609" t="n">
        <v>0</v>
      </c>
      <c r="Q609" t="n">
        <v>0</v>
      </c>
      <c r="R609" s="2" t="inlineStr"/>
    </row>
    <row r="610" ht="15" customHeight="1">
      <c r="A610" t="inlineStr">
        <is>
          <t>A 41799-2024</t>
        </is>
      </c>
      <c r="B610" s="1" t="n">
        <v>45561</v>
      </c>
      <c r="C610" s="1" t="n">
        <v>45694</v>
      </c>
      <c r="D610" t="inlineStr">
        <is>
          <t>VÄSTRA GÖTALANDS LÄN</t>
        </is>
      </c>
      <c r="E610" t="inlineStr">
        <is>
          <t>DALS-ED</t>
        </is>
      </c>
      <c r="G610" t="n">
        <v>2.9</v>
      </c>
      <c r="H610" t="n">
        <v>0</v>
      </c>
      <c r="I610" t="n">
        <v>0</v>
      </c>
      <c r="J610" t="n">
        <v>0</v>
      </c>
      <c r="K610" t="n">
        <v>0</v>
      </c>
      <c r="L610" t="n">
        <v>0</v>
      </c>
      <c r="M610" t="n">
        <v>0</v>
      </c>
      <c r="N610" t="n">
        <v>0</v>
      </c>
      <c r="O610" t="n">
        <v>0</v>
      </c>
      <c r="P610" t="n">
        <v>0</v>
      </c>
      <c r="Q610" t="n">
        <v>0</v>
      </c>
      <c r="R610" s="2" t="inlineStr"/>
    </row>
    <row r="611" ht="15" customHeight="1">
      <c r="A611" t="inlineStr">
        <is>
          <t>A 41804-2024</t>
        </is>
      </c>
      <c r="B611" s="1" t="n">
        <v>45561</v>
      </c>
      <c r="C611" s="1" t="n">
        <v>45694</v>
      </c>
      <c r="D611" t="inlineStr">
        <is>
          <t>VÄSTRA GÖTALANDS LÄN</t>
        </is>
      </c>
      <c r="E611" t="inlineStr">
        <is>
          <t>DALS-ED</t>
        </is>
      </c>
      <c r="G611" t="n">
        <v>1.4</v>
      </c>
      <c r="H611" t="n">
        <v>0</v>
      </c>
      <c r="I611" t="n">
        <v>0</v>
      </c>
      <c r="J611" t="n">
        <v>0</v>
      </c>
      <c r="K611" t="n">
        <v>0</v>
      </c>
      <c r="L611" t="n">
        <v>0</v>
      </c>
      <c r="M611" t="n">
        <v>0</v>
      </c>
      <c r="N611" t="n">
        <v>0</v>
      </c>
      <c r="O611" t="n">
        <v>0</v>
      </c>
      <c r="P611" t="n">
        <v>0</v>
      </c>
      <c r="Q611" t="n">
        <v>0</v>
      </c>
      <c r="R611" s="2" t="inlineStr"/>
    </row>
    <row r="612" ht="15" customHeight="1">
      <c r="A612" t="inlineStr">
        <is>
          <t>A 42434-2024</t>
        </is>
      </c>
      <c r="B612" s="1" t="n">
        <v>45565</v>
      </c>
      <c r="C612" s="1" t="n">
        <v>45694</v>
      </c>
      <c r="D612" t="inlineStr">
        <is>
          <t>VÄSTRA GÖTALANDS LÄN</t>
        </is>
      </c>
      <c r="E612" t="inlineStr">
        <is>
          <t>DALS-ED</t>
        </is>
      </c>
      <c r="G612" t="n">
        <v>0.9</v>
      </c>
      <c r="H612" t="n">
        <v>0</v>
      </c>
      <c r="I612" t="n">
        <v>0</v>
      </c>
      <c r="J612" t="n">
        <v>0</v>
      </c>
      <c r="K612" t="n">
        <v>0</v>
      </c>
      <c r="L612" t="n">
        <v>0</v>
      </c>
      <c r="M612" t="n">
        <v>0</v>
      </c>
      <c r="N612" t="n">
        <v>0</v>
      </c>
      <c r="O612" t="n">
        <v>0</v>
      </c>
      <c r="P612" t="n">
        <v>0</v>
      </c>
      <c r="Q612" t="n">
        <v>0</v>
      </c>
      <c r="R612" s="2" t="inlineStr"/>
    </row>
    <row r="613" ht="15" customHeight="1">
      <c r="A613" t="inlineStr">
        <is>
          <t>A 42440-2024</t>
        </is>
      </c>
      <c r="B613" s="1" t="n">
        <v>45565</v>
      </c>
      <c r="C613" s="1" t="n">
        <v>45694</v>
      </c>
      <c r="D613" t="inlineStr">
        <is>
          <t>VÄSTRA GÖTALANDS LÄN</t>
        </is>
      </c>
      <c r="E613" t="inlineStr">
        <is>
          <t>DALS-ED</t>
        </is>
      </c>
      <c r="G613" t="n">
        <v>9</v>
      </c>
      <c r="H613" t="n">
        <v>0</v>
      </c>
      <c r="I613" t="n">
        <v>0</v>
      </c>
      <c r="J613" t="n">
        <v>0</v>
      </c>
      <c r="K613" t="n">
        <v>0</v>
      </c>
      <c r="L613" t="n">
        <v>0</v>
      </c>
      <c r="M613" t="n">
        <v>0</v>
      </c>
      <c r="N613" t="n">
        <v>0</v>
      </c>
      <c r="O613" t="n">
        <v>0</v>
      </c>
      <c r="P613" t="n">
        <v>0</v>
      </c>
      <c r="Q613" t="n">
        <v>0</v>
      </c>
      <c r="R613" s="2" t="inlineStr"/>
    </row>
    <row r="614" ht="15" customHeight="1">
      <c r="A614" t="inlineStr">
        <is>
          <t>A 42777-2024</t>
        </is>
      </c>
      <c r="B614" s="1" t="n">
        <v>45566</v>
      </c>
      <c r="C614" s="1" t="n">
        <v>45694</v>
      </c>
      <c r="D614" t="inlineStr">
        <is>
          <t>VÄSTRA GÖTALANDS LÄN</t>
        </is>
      </c>
      <c r="E614" t="inlineStr">
        <is>
          <t>DALS-ED</t>
        </is>
      </c>
      <c r="G614" t="n">
        <v>9.4</v>
      </c>
      <c r="H614" t="n">
        <v>0</v>
      </c>
      <c r="I614" t="n">
        <v>0</v>
      </c>
      <c r="J614" t="n">
        <v>0</v>
      </c>
      <c r="K614" t="n">
        <v>0</v>
      </c>
      <c r="L614" t="n">
        <v>0</v>
      </c>
      <c r="M614" t="n">
        <v>0</v>
      </c>
      <c r="N614" t="n">
        <v>0</v>
      </c>
      <c r="O614" t="n">
        <v>0</v>
      </c>
      <c r="P614" t="n">
        <v>0</v>
      </c>
      <c r="Q614" t="n">
        <v>0</v>
      </c>
      <c r="R614" s="2" t="inlineStr"/>
    </row>
    <row r="615" ht="15" customHeight="1">
      <c r="A615" t="inlineStr">
        <is>
          <t>A 42676-2024</t>
        </is>
      </c>
      <c r="B615" s="1" t="n">
        <v>45566</v>
      </c>
      <c r="C615" s="1" t="n">
        <v>45694</v>
      </c>
      <c r="D615" t="inlineStr">
        <is>
          <t>VÄSTRA GÖTALANDS LÄN</t>
        </is>
      </c>
      <c r="E615" t="inlineStr">
        <is>
          <t>DALS-ED</t>
        </is>
      </c>
      <c r="G615" t="n">
        <v>3.5</v>
      </c>
      <c r="H615" t="n">
        <v>0</v>
      </c>
      <c r="I615" t="n">
        <v>0</v>
      </c>
      <c r="J615" t="n">
        <v>0</v>
      </c>
      <c r="K615" t="n">
        <v>0</v>
      </c>
      <c r="L615" t="n">
        <v>0</v>
      </c>
      <c r="M615" t="n">
        <v>0</v>
      </c>
      <c r="N615" t="n">
        <v>0</v>
      </c>
      <c r="O615" t="n">
        <v>0</v>
      </c>
      <c r="P615" t="n">
        <v>0</v>
      </c>
      <c r="Q615" t="n">
        <v>0</v>
      </c>
      <c r="R615" s="2" t="inlineStr"/>
    </row>
    <row r="616" ht="15" customHeight="1">
      <c r="A616" t="inlineStr">
        <is>
          <t>A 43841-2024</t>
        </is>
      </c>
      <c r="B616" s="1" t="n">
        <v>45572</v>
      </c>
      <c r="C616" s="1" t="n">
        <v>45694</v>
      </c>
      <c r="D616" t="inlineStr">
        <is>
          <t>VÄSTRA GÖTALANDS LÄN</t>
        </is>
      </c>
      <c r="E616" t="inlineStr">
        <is>
          <t>DALS-ED</t>
        </is>
      </c>
      <c r="G616" t="n">
        <v>2.4</v>
      </c>
      <c r="H616" t="n">
        <v>0</v>
      </c>
      <c r="I616" t="n">
        <v>0</v>
      </c>
      <c r="J616" t="n">
        <v>0</v>
      </c>
      <c r="K616" t="n">
        <v>0</v>
      </c>
      <c r="L616" t="n">
        <v>0</v>
      </c>
      <c r="M616" t="n">
        <v>0</v>
      </c>
      <c r="N616" t="n">
        <v>0</v>
      </c>
      <c r="O616" t="n">
        <v>0</v>
      </c>
      <c r="P616" t="n">
        <v>0</v>
      </c>
      <c r="Q616" t="n">
        <v>0</v>
      </c>
      <c r="R616" s="2" t="inlineStr"/>
    </row>
    <row r="617" ht="15" customHeight="1">
      <c r="A617" t="inlineStr">
        <is>
          <t>A 43901-2024</t>
        </is>
      </c>
      <c r="B617" s="1" t="n">
        <v>45572</v>
      </c>
      <c r="C617" s="1" t="n">
        <v>45694</v>
      </c>
      <c r="D617" t="inlineStr">
        <is>
          <t>VÄSTRA GÖTALANDS LÄN</t>
        </is>
      </c>
      <c r="E617" t="inlineStr">
        <is>
          <t>DALS-ED</t>
        </is>
      </c>
      <c r="G617" t="n">
        <v>2.3</v>
      </c>
      <c r="H617" t="n">
        <v>0</v>
      </c>
      <c r="I617" t="n">
        <v>0</v>
      </c>
      <c r="J617" t="n">
        <v>0</v>
      </c>
      <c r="K617" t="n">
        <v>0</v>
      </c>
      <c r="L617" t="n">
        <v>0</v>
      </c>
      <c r="M617" t="n">
        <v>0</v>
      </c>
      <c r="N617" t="n">
        <v>0</v>
      </c>
      <c r="O617" t="n">
        <v>0</v>
      </c>
      <c r="P617" t="n">
        <v>0</v>
      </c>
      <c r="Q617" t="n">
        <v>0</v>
      </c>
      <c r="R617" s="2" t="inlineStr"/>
    </row>
    <row r="618" ht="15" customHeight="1">
      <c r="A618" t="inlineStr">
        <is>
          <t>A 44517-2024</t>
        </is>
      </c>
      <c r="B618" s="1" t="n">
        <v>45574</v>
      </c>
      <c r="C618" s="1" t="n">
        <v>45694</v>
      </c>
      <c r="D618" t="inlineStr">
        <is>
          <t>VÄSTRA GÖTALANDS LÄN</t>
        </is>
      </c>
      <c r="E618" t="inlineStr">
        <is>
          <t>DALS-ED</t>
        </is>
      </c>
      <c r="G618" t="n">
        <v>0.6</v>
      </c>
      <c r="H618" t="n">
        <v>0</v>
      </c>
      <c r="I618" t="n">
        <v>0</v>
      </c>
      <c r="J618" t="n">
        <v>0</v>
      </c>
      <c r="K618" t="n">
        <v>0</v>
      </c>
      <c r="L618" t="n">
        <v>0</v>
      </c>
      <c r="M618" t="n">
        <v>0</v>
      </c>
      <c r="N618" t="n">
        <v>0</v>
      </c>
      <c r="O618" t="n">
        <v>0</v>
      </c>
      <c r="P618" t="n">
        <v>0</v>
      </c>
      <c r="Q618" t="n">
        <v>0</v>
      </c>
      <c r="R618" s="2" t="inlineStr"/>
    </row>
    <row r="619" ht="15" customHeight="1">
      <c r="A619" t="inlineStr">
        <is>
          <t>A 44454-2024</t>
        </is>
      </c>
      <c r="B619" s="1" t="n">
        <v>45574</v>
      </c>
      <c r="C619" s="1" t="n">
        <v>45694</v>
      </c>
      <c r="D619" t="inlineStr">
        <is>
          <t>VÄSTRA GÖTALANDS LÄN</t>
        </is>
      </c>
      <c r="E619" t="inlineStr">
        <is>
          <t>DALS-ED</t>
        </is>
      </c>
      <c r="F619" t="inlineStr">
        <is>
          <t>Kommuner</t>
        </is>
      </c>
      <c r="G619" t="n">
        <v>10.8</v>
      </c>
      <c r="H619" t="n">
        <v>0</v>
      </c>
      <c r="I619" t="n">
        <v>0</v>
      </c>
      <c r="J619" t="n">
        <v>0</v>
      </c>
      <c r="K619" t="n">
        <v>0</v>
      </c>
      <c r="L619" t="n">
        <v>0</v>
      </c>
      <c r="M619" t="n">
        <v>0</v>
      </c>
      <c r="N619" t="n">
        <v>0</v>
      </c>
      <c r="O619" t="n">
        <v>0</v>
      </c>
      <c r="P619" t="n">
        <v>0</v>
      </c>
      <c r="Q619" t="n">
        <v>0</v>
      </c>
      <c r="R619" s="2" t="inlineStr"/>
    </row>
    <row r="620" ht="15" customHeight="1">
      <c r="A620" t="inlineStr">
        <is>
          <t>A 44458-2024</t>
        </is>
      </c>
      <c r="B620" s="1" t="n">
        <v>45574</v>
      </c>
      <c r="C620" s="1" t="n">
        <v>45694</v>
      </c>
      <c r="D620" t="inlineStr">
        <is>
          <t>VÄSTRA GÖTALANDS LÄN</t>
        </is>
      </c>
      <c r="E620" t="inlineStr">
        <is>
          <t>DALS-ED</t>
        </is>
      </c>
      <c r="G620" t="n">
        <v>2.2</v>
      </c>
      <c r="H620" t="n">
        <v>0</v>
      </c>
      <c r="I620" t="n">
        <v>0</v>
      </c>
      <c r="J620" t="n">
        <v>0</v>
      </c>
      <c r="K620" t="n">
        <v>0</v>
      </c>
      <c r="L620" t="n">
        <v>0</v>
      </c>
      <c r="M620" t="n">
        <v>0</v>
      </c>
      <c r="N620" t="n">
        <v>0</v>
      </c>
      <c r="O620" t="n">
        <v>0</v>
      </c>
      <c r="P620" t="n">
        <v>0</v>
      </c>
      <c r="Q620" t="n">
        <v>0</v>
      </c>
      <c r="R620" s="2" t="inlineStr"/>
    </row>
    <row r="621" ht="15" customHeight="1">
      <c r="A621" t="inlineStr">
        <is>
          <t>A 44887-2024</t>
        </is>
      </c>
      <c r="B621" s="1" t="n">
        <v>45575</v>
      </c>
      <c r="C621" s="1" t="n">
        <v>45694</v>
      </c>
      <c r="D621" t="inlineStr">
        <is>
          <t>VÄSTRA GÖTALANDS LÄN</t>
        </is>
      </c>
      <c r="E621" t="inlineStr">
        <is>
          <t>DALS-ED</t>
        </is>
      </c>
      <c r="G621" t="n">
        <v>1.5</v>
      </c>
      <c r="H621" t="n">
        <v>0</v>
      </c>
      <c r="I621" t="n">
        <v>0</v>
      </c>
      <c r="J621" t="n">
        <v>0</v>
      </c>
      <c r="K621" t="n">
        <v>0</v>
      </c>
      <c r="L621" t="n">
        <v>0</v>
      </c>
      <c r="M621" t="n">
        <v>0</v>
      </c>
      <c r="N621" t="n">
        <v>0</v>
      </c>
      <c r="O621" t="n">
        <v>0</v>
      </c>
      <c r="P621" t="n">
        <v>0</v>
      </c>
      <c r="Q621" t="n">
        <v>0</v>
      </c>
      <c r="R621" s="2" t="inlineStr"/>
    </row>
    <row r="622" ht="15" customHeight="1">
      <c r="A622" t="inlineStr">
        <is>
          <t>A 45506-2024</t>
        </is>
      </c>
      <c r="B622" s="1" t="n">
        <v>45578</v>
      </c>
      <c r="C622" s="1" t="n">
        <v>45694</v>
      </c>
      <c r="D622" t="inlineStr">
        <is>
          <t>VÄSTRA GÖTALANDS LÄN</t>
        </is>
      </c>
      <c r="E622" t="inlineStr">
        <is>
          <t>DALS-ED</t>
        </is>
      </c>
      <c r="G622" t="n">
        <v>0.7</v>
      </c>
      <c r="H622" t="n">
        <v>0</v>
      </c>
      <c r="I622" t="n">
        <v>0</v>
      </c>
      <c r="J622" t="n">
        <v>0</v>
      </c>
      <c r="K622" t="n">
        <v>0</v>
      </c>
      <c r="L622" t="n">
        <v>0</v>
      </c>
      <c r="M622" t="n">
        <v>0</v>
      </c>
      <c r="N622" t="n">
        <v>0</v>
      </c>
      <c r="O622" t="n">
        <v>0</v>
      </c>
      <c r="P622" t="n">
        <v>0</v>
      </c>
      <c r="Q622" t="n">
        <v>0</v>
      </c>
      <c r="R622" s="2" t="inlineStr"/>
    </row>
    <row r="623" ht="15" customHeight="1">
      <c r="A623" t="inlineStr">
        <is>
          <t>A 45588-2024</t>
        </is>
      </c>
      <c r="B623" s="1" t="n">
        <v>45579</v>
      </c>
      <c r="C623" s="1" t="n">
        <v>45694</v>
      </c>
      <c r="D623" t="inlineStr">
        <is>
          <t>VÄSTRA GÖTALANDS LÄN</t>
        </is>
      </c>
      <c r="E623" t="inlineStr">
        <is>
          <t>DALS-ED</t>
        </is>
      </c>
      <c r="G623" t="n">
        <v>1.2</v>
      </c>
      <c r="H623" t="n">
        <v>0</v>
      </c>
      <c r="I623" t="n">
        <v>0</v>
      </c>
      <c r="J623" t="n">
        <v>0</v>
      </c>
      <c r="K623" t="n">
        <v>0</v>
      </c>
      <c r="L623" t="n">
        <v>0</v>
      </c>
      <c r="M623" t="n">
        <v>0</v>
      </c>
      <c r="N623" t="n">
        <v>0</v>
      </c>
      <c r="O623" t="n">
        <v>0</v>
      </c>
      <c r="P623" t="n">
        <v>0</v>
      </c>
      <c r="Q623" t="n">
        <v>0</v>
      </c>
      <c r="R623" s="2" t="inlineStr"/>
    </row>
    <row r="624" ht="15" customHeight="1">
      <c r="A624" t="inlineStr">
        <is>
          <t>A 46490-2024</t>
        </is>
      </c>
      <c r="B624" s="1" t="n">
        <v>45582</v>
      </c>
      <c r="C624" s="1" t="n">
        <v>45694</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46493-2024</t>
        </is>
      </c>
      <c r="B625" s="1" t="n">
        <v>45582</v>
      </c>
      <c r="C625" s="1" t="n">
        <v>45694</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46617-2024</t>
        </is>
      </c>
      <c r="B626" s="1" t="n">
        <v>45583</v>
      </c>
      <c r="C626" s="1" t="n">
        <v>45694</v>
      </c>
      <c r="D626" t="inlineStr">
        <is>
          <t>VÄSTRA GÖTALANDS LÄN</t>
        </is>
      </c>
      <c r="E626" t="inlineStr">
        <is>
          <t>DALS-ED</t>
        </is>
      </c>
      <c r="F626" t="inlineStr">
        <is>
          <t>Övriga Aktiebolag</t>
        </is>
      </c>
      <c r="G626" t="n">
        <v>4</v>
      </c>
      <c r="H626" t="n">
        <v>0</v>
      </c>
      <c r="I626" t="n">
        <v>0</v>
      </c>
      <c r="J626" t="n">
        <v>0</v>
      </c>
      <c r="K626" t="n">
        <v>0</v>
      </c>
      <c r="L626" t="n">
        <v>0</v>
      </c>
      <c r="M626" t="n">
        <v>0</v>
      </c>
      <c r="N626" t="n">
        <v>0</v>
      </c>
      <c r="O626" t="n">
        <v>0</v>
      </c>
      <c r="P626" t="n">
        <v>0</v>
      </c>
      <c r="Q626" t="n">
        <v>0</v>
      </c>
      <c r="R626" s="2" t="inlineStr"/>
    </row>
    <row r="627" ht="15" customHeight="1">
      <c r="A627" t="inlineStr">
        <is>
          <t>A 47434-2024</t>
        </is>
      </c>
      <c r="B627" s="1" t="n">
        <v>45587</v>
      </c>
      <c r="C627" s="1" t="n">
        <v>45694</v>
      </c>
      <c r="D627" t="inlineStr">
        <is>
          <t>VÄSTRA GÖTALANDS LÄN</t>
        </is>
      </c>
      <c r="E627" t="inlineStr">
        <is>
          <t>DALS-ED</t>
        </is>
      </c>
      <c r="G627" t="n">
        <v>2.6</v>
      </c>
      <c r="H627" t="n">
        <v>0</v>
      </c>
      <c r="I627" t="n">
        <v>0</v>
      </c>
      <c r="J627" t="n">
        <v>0</v>
      </c>
      <c r="K627" t="n">
        <v>0</v>
      </c>
      <c r="L627" t="n">
        <v>0</v>
      </c>
      <c r="M627" t="n">
        <v>0</v>
      </c>
      <c r="N627" t="n">
        <v>0</v>
      </c>
      <c r="O627" t="n">
        <v>0</v>
      </c>
      <c r="P627" t="n">
        <v>0</v>
      </c>
      <c r="Q627" t="n">
        <v>0</v>
      </c>
      <c r="R627" s="2" t="inlineStr"/>
    </row>
    <row r="628" ht="15" customHeight="1">
      <c r="A628" t="inlineStr">
        <is>
          <t>A 47444-2024</t>
        </is>
      </c>
      <c r="B628" s="1" t="n">
        <v>45587</v>
      </c>
      <c r="C628" s="1" t="n">
        <v>45694</v>
      </c>
      <c r="D628" t="inlineStr">
        <is>
          <t>VÄSTRA GÖTALANDS LÄN</t>
        </is>
      </c>
      <c r="E628" t="inlineStr">
        <is>
          <t>DALS-ED</t>
        </is>
      </c>
      <c r="G628" t="n">
        <v>1.1</v>
      </c>
      <c r="H628" t="n">
        <v>0</v>
      </c>
      <c r="I628" t="n">
        <v>0</v>
      </c>
      <c r="J628" t="n">
        <v>0</v>
      </c>
      <c r="K628" t="n">
        <v>0</v>
      </c>
      <c r="L628" t="n">
        <v>0</v>
      </c>
      <c r="M628" t="n">
        <v>0</v>
      </c>
      <c r="N628" t="n">
        <v>0</v>
      </c>
      <c r="O628" t="n">
        <v>0</v>
      </c>
      <c r="P628" t="n">
        <v>0</v>
      </c>
      <c r="Q628" t="n">
        <v>0</v>
      </c>
      <c r="R628" s="2" t="inlineStr"/>
    </row>
    <row r="629" ht="15" customHeight="1">
      <c r="A629" t="inlineStr">
        <is>
          <t>A 47650-2024</t>
        </is>
      </c>
      <c r="B629" s="1" t="n">
        <v>45588</v>
      </c>
      <c r="C629" s="1" t="n">
        <v>45694</v>
      </c>
      <c r="D629" t="inlineStr">
        <is>
          <t>VÄSTRA GÖTALANDS LÄN</t>
        </is>
      </c>
      <c r="E629" t="inlineStr">
        <is>
          <t>DALS-ED</t>
        </is>
      </c>
      <c r="G629" t="n">
        <v>3.6</v>
      </c>
      <c r="H629" t="n">
        <v>0</v>
      </c>
      <c r="I629" t="n">
        <v>0</v>
      </c>
      <c r="J629" t="n">
        <v>0</v>
      </c>
      <c r="K629" t="n">
        <v>0</v>
      </c>
      <c r="L629" t="n">
        <v>0</v>
      </c>
      <c r="M629" t="n">
        <v>0</v>
      </c>
      <c r="N629" t="n">
        <v>0</v>
      </c>
      <c r="O629" t="n">
        <v>0</v>
      </c>
      <c r="P629" t="n">
        <v>0</v>
      </c>
      <c r="Q629" t="n">
        <v>0</v>
      </c>
      <c r="R629" s="2" t="inlineStr"/>
    </row>
    <row r="630" ht="15" customHeight="1">
      <c r="A630" t="inlineStr">
        <is>
          <t>A 48023-2024</t>
        </is>
      </c>
      <c r="B630" s="1" t="n">
        <v>45589</v>
      </c>
      <c r="C630" s="1" t="n">
        <v>45694</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47994-2024</t>
        </is>
      </c>
      <c r="B631" s="1" t="n">
        <v>45589</v>
      </c>
      <c r="C631" s="1" t="n">
        <v>45694</v>
      </c>
      <c r="D631" t="inlineStr">
        <is>
          <t>VÄSTRA GÖTALANDS LÄN</t>
        </is>
      </c>
      <c r="E631" t="inlineStr">
        <is>
          <t>DALS-ED</t>
        </is>
      </c>
      <c r="G631" t="n">
        <v>3.3</v>
      </c>
      <c r="H631" t="n">
        <v>0</v>
      </c>
      <c r="I631" t="n">
        <v>0</v>
      </c>
      <c r="J631" t="n">
        <v>0</v>
      </c>
      <c r="K631" t="n">
        <v>0</v>
      </c>
      <c r="L631" t="n">
        <v>0</v>
      </c>
      <c r="M631" t="n">
        <v>0</v>
      </c>
      <c r="N631" t="n">
        <v>0</v>
      </c>
      <c r="O631" t="n">
        <v>0</v>
      </c>
      <c r="P631" t="n">
        <v>0</v>
      </c>
      <c r="Q631" t="n">
        <v>0</v>
      </c>
      <c r="R631" s="2" t="inlineStr"/>
    </row>
    <row r="632" ht="15" customHeight="1">
      <c r="A632" t="inlineStr">
        <is>
          <t>A 48199-2024</t>
        </is>
      </c>
      <c r="B632" s="1" t="n">
        <v>45590</v>
      </c>
      <c r="C632" s="1" t="n">
        <v>45694</v>
      </c>
      <c r="D632" t="inlineStr">
        <is>
          <t>VÄSTRA GÖTALANDS LÄN</t>
        </is>
      </c>
      <c r="E632" t="inlineStr">
        <is>
          <t>DALS-ED</t>
        </is>
      </c>
      <c r="G632" t="n">
        <v>6.3</v>
      </c>
      <c r="H632" t="n">
        <v>0</v>
      </c>
      <c r="I632" t="n">
        <v>0</v>
      </c>
      <c r="J632" t="n">
        <v>0</v>
      </c>
      <c r="K632" t="n">
        <v>0</v>
      </c>
      <c r="L632" t="n">
        <v>0</v>
      </c>
      <c r="M632" t="n">
        <v>0</v>
      </c>
      <c r="N632" t="n">
        <v>0</v>
      </c>
      <c r="O632" t="n">
        <v>0</v>
      </c>
      <c r="P632" t="n">
        <v>0</v>
      </c>
      <c r="Q632" t="n">
        <v>0</v>
      </c>
      <c r="R632" s="2" t="inlineStr"/>
    </row>
    <row r="633" ht="15" customHeight="1">
      <c r="A633" t="inlineStr">
        <is>
          <t>A 48341-2024</t>
        </is>
      </c>
      <c r="B633" s="1" t="n">
        <v>45590</v>
      </c>
      <c r="C633" s="1" t="n">
        <v>45694</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48200-2024</t>
        </is>
      </c>
      <c r="B634" s="1" t="n">
        <v>45590</v>
      </c>
      <c r="C634" s="1" t="n">
        <v>45694</v>
      </c>
      <c r="D634" t="inlineStr">
        <is>
          <t>VÄSTRA GÖTALANDS LÄN</t>
        </is>
      </c>
      <c r="E634" t="inlineStr">
        <is>
          <t>DALS-ED</t>
        </is>
      </c>
      <c r="G634" t="n">
        <v>1.1</v>
      </c>
      <c r="H634" t="n">
        <v>0</v>
      </c>
      <c r="I634" t="n">
        <v>0</v>
      </c>
      <c r="J634" t="n">
        <v>0</v>
      </c>
      <c r="K634" t="n">
        <v>0</v>
      </c>
      <c r="L634" t="n">
        <v>0</v>
      </c>
      <c r="M634" t="n">
        <v>0</v>
      </c>
      <c r="N634" t="n">
        <v>0</v>
      </c>
      <c r="O634" t="n">
        <v>0</v>
      </c>
      <c r="P634" t="n">
        <v>0</v>
      </c>
      <c r="Q634" t="n">
        <v>0</v>
      </c>
      <c r="R634" s="2" t="inlineStr"/>
    </row>
    <row r="635" ht="15" customHeight="1">
      <c r="A635" t="inlineStr">
        <is>
          <t>A 48344-2024</t>
        </is>
      </c>
      <c r="B635" s="1" t="n">
        <v>45590</v>
      </c>
      <c r="C635" s="1" t="n">
        <v>45694</v>
      </c>
      <c r="D635" t="inlineStr">
        <is>
          <t>VÄSTRA GÖTALANDS LÄN</t>
        </is>
      </c>
      <c r="E635" t="inlineStr">
        <is>
          <t>DALS-ED</t>
        </is>
      </c>
      <c r="G635" t="n">
        <v>2.3</v>
      </c>
      <c r="H635" t="n">
        <v>0</v>
      </c>
      <c r="I635" t="n">
        <v>0</v>
      </c>
      <c r="J635" t="n">
        <v>0</v>
      </c>
      <c r="K635" t="n">
        <v>0</v>
      </c>
      <c r="L635" t="n">
        <v>0</v>
      </c>
      <c r="M635" t="n">
        <v>0</v>
      </c>
      <c r="N635" t="n">
        <v>0</v>
      </c>
      <c r="O635" t="n">
        <v>0</v>
      </c>
      <c r="P635" t="n">
        <v>0</v>
      </c>
      <c r="Q635" t="n">
        <v>0</v>
      </c>
      <c r="R635" s="2" t="inlineStr"/>
    </row>
    <row r="636" ht="15" customHeight="1">
      <c r="A636" t="inlineStr">
        <is>
          <t>A 48574-2024</t>
        </is>
      </c>
      <c r="B636" s="1" t="n">
        <v>45593</v>
      </c>
      <c r="C636" s="1" t="n">
        <v>45694</v>
      </c>
      <c r="D636" t="inlineStr">
        <is>
          <t>VÄSTRA GÖTALANDS LÄN</t>
        </is>
      </c>
      <c r="E636" t="inlineStr">
        <is>
          <t>DALS-ED</t>
        </is>
      </c>
      <c r="G636" t="n">
        <v>3.1</v>
      </c>
      <c r="H636" t="n">
        <v>0</v>
      </c>
      <c r="I636" t="n">
        <v>0</v>
      </c>
      <c r="J636" t="n">
        <v>0</v>
      </c>
      <c r="K636" t="n">
        <v>0</v>
      </c>
      <c r="L636" t="n">
        <v>0</v>
      </c>
      <c r="M636" t="n">
        <v>0</v>
      </c>
      <c r="N636" t="n">
        <v>0</v>
      </c>
      <c r="O636" t="n">
        <v>0</v>
      </c>
      <c r="P636" t="n">
        <v>0</v>
      </c>
      <c r="Q636" t="n">
        <v>0</v>
      </c>
      <c r="R636" s="2" t="inlineStr"/>
    </row>
    <row r="637" ht="15" customHeight="1">
      <c r="A637" t="inlineStr">
        <is>
          <t>A 48732-2024</t>
        </is>
      </c>
      <c r="B637" s="1" t="n">
        <v>45593</v>
      </c>
      <c r="C637" s="1" t="n">
        <v>45694</v>
      </c>
      <c r="D637" t="inlineStr">
        <is>
          <t>VÄSTRA GÖTALANDS LÄN</t>
        </is>
      </c>
      <c r="E637" t="inlineStr">
        <is>
          <t>DALS-ED</t>
        </is>
      </c>
      <c r="G637" t="n">
        <v>4.8</v>
      </c>
      <c r="H637" t="n">
        <v>0</v>
      </c>
      <c r="I637" t="n">
        <v>0</v>
      </c>
      <c r="J637" t="n">
        <v>0</v>
      </c>
      <c r="K637" t="n">
        <v>0</v>
      </c>
      <c r="L637" t="n">
        <v>0</v>
      </c>
      <c r="M637" t="n">
        <v>0</v>
      </c>
      <c r="N637" t="n">
        <v>0</v>
      </c>
      <c r="O637" t="n">
        <v>0</v>
      </c>
      <c r="P637" t="n">
        <v>0</v>
      </c>
      <c r="Q637" t="n">
        <v>0</v>
      </c>
      <c r="R637" s="2" t="inlineStr"/>
    </row>
    <row r="638" ht="15" customHeight="1">
      <c r="A638" t="inlineStr">
        <is>
          <t>A 48741-2024</t>
        </is>
      </c>
      <c r="B638" s="1" t="n">
        <v>45593</v>
      </c>
      <c r="C638" s="1" t="n">
        <v>45694</v>
      </c>
      <c r="D638" t="inlineStr">
        <is>
          <t>VÄSTRA GÖTALANDS LÄN</t>
        </is>
      </c>
      <c r="E638" t="inlineStr">
        <is>
          <t>DALS-ED</t>
        </is>
      </c>
      <c r="G638" t="n">
        <v>0.8</v>
      </c>
      <c r="H638" t="n">
        <v>0</v>
      </c>
      <c r="I638" t="n">
        <v>0</v>
      </c>
      <c r="J638" t="n">
        <v>0</v>
      </c>
      <c r="K638" t="n">
        <v>0</v>
      </c>
      <c r="L638" t="n">
        <v>0</v>
      </c>
      <c r="M638" t="n">
        <v>0</v>
      </c>
      <c r="N638" t="n">
        <v>0</v>
      </c>
      <c r="O638" t="n">
        <v>0</v>
      </c>
      <c r="P638" t="n">
        <v>0</v>
      </c>
      <c r="Q638" t="n">
        <v>0</v>
      </c>
      <c r="R638" s="2" t="inlineStr"/>
    </row>
    <row r="639" ht="15" customHeight="1">
      <c r="A639" t="inlineStr">
        <is>
          <t>A 48553-2024</t>
        </is>
      </c>
      <c r="B639" s="1" t="n">
        <v>45593</v>
      </c>
      <c r="C639" s="1" t="n">
        <v>45694</v>
      </c>
      <c r="D639" t="inlineStr">
        <is>
          <t>VÄSTRA GÖTALANDS LÄN</t>
        </is>
      </c>
      <c r="E639" t="inlineStr">
        <is>
          <t>DALS-ED</t>
        </is>
      </c>
      <c r="G639" t="n">
        <v>2.8</v>
      </c>
      <c r="H639" t="n">
        <v>0</v>
      </c>
      <c r="I639" t="n">
        <v>0</v>
      </c>
      <c r="J639" t="n">
        <v>0</v>
      </c>
      <c r="K639" t="n">
        <v>0</v>
      </c>
      <c r="L639" t="n">
        <v>0</v>
      </c>
      <c r="M639" t="n">
        <v>0</v>
      </c>
      <c r="N639" t="n">
        <v>0</v>
      </c>
      <c r="O639" t="n">
        <v>0</v>
      </c>
      <c r="P639" t="n">
        <v>0</v>
      </c>
      <c r="Q639" t="n">
        <v>0</v>
      </c>
      <c r="R639" s="2" t="inlineStr"/>
    </row>
    <row r="640" ht="15" customHeight="1">
      <c r="A640" t="inlineStr">
        <is>
          <t>A 48618-2024</t>
        </is>
      </c>
      <c r="B640" s="1" t="n">
        <v>45593</v>
      </c>
      <c r="C640" s="1" t="n">
        <v>45694</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49290-2024</t>
        </is>
      </c>
      <c r="B641" s="1" t="n">
        <v>45595</v>
      </c>
      <c r="C641" s="1" t="n">
        <v>45694</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49361-2024</t>
        </is>
      </c>
      <c r="B642" s="1" t="n">
        <v>45595</v>
      </c>
      <c r="C642" s="1" t="n">
        <v>45694</v>
      </c>
      <c r="D642" t="inlineStr">
        <is>
          <t>VÄSTRA GÖTALANDS LÄN</t>
        </is>
      </c>
      <c r="E642" t="inlineStr">
        <is>
          <t>DALS-ED</t>
        </is>
      </c>
      <c r="G642" t="n">
        <v>2.7</v>
      </c>
      <c r="H642" t="n">
        <v>0</v>
      </c>
      <c r="I642" t="n">
        <v>0</v>
      </c>
      <c r="J642" t="n">
        <v>0</v>
      </c>
      <c r="K642" t="n">
        <v>0</v>
      </c>
      <c r="L642" t="n">
        <v>0</v>
      </c>
      <c r="M642" t="n">
        <v>0</v>
      </c>
      <c r="N642" t="n">
        <v>0</v>
      </c>
      <c r="O642" t="n">
        <v>0</v>
      </c>
      <c r="P642" t="n">
        <v>0</v>
      </c>
      <c r="Q642" t="n">
        <v>0</v>
      </c>
      <c r="R642" s="2" t="inlineStr"/>
    </row>
    <row r="643" ht="15" customHeight="1">
      <c r="A643" t="inlineStr">
        <is>
          <t>A 49863-2024</t>
        </is>
      </c>
      <c r="B643" s="1" t="n">
        <v>45597</v>
      </c>
      <c r="C643" s="1" t="n">
        <v>45694</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50303-2024</t>
        </is>
      </c>
      <c r="B644" s="1" t="n">
        <v>45600</v>
      </c>
      <c r="C644" s="1" t="n">
        <v>45694</v>
      </c>
      <c r="D644" t="inlineStr">
        <is>
          <t>VÄSTRA GÖTALANDS LÄN</t>
        </is>
      </c>
      <c r="E644" t="inlineStr">
        <is>
          <t>DALS-ED</t>
        </is>
      </c>
      <c r="G644" t="n">
        <v>1.1</v>
      </c>
      <c r="H644" t="n">
        <v>0</v>
      </c>
      <c r="I644" t="n">
        <v>0</v>
      </c>
      <c r="J644" t="n">
        <v>0</v>
      </c>
      <c r="K644" t="n">
        <v>0</v>
      </c>
      <c r="L644" t="n">
        <v>0</v>
      </c>
      <c r="M644" t="n">
        <v>0</v>
      </c>
      <c r="N644" t="n">
        <v>0</v>
      </c>
      <c r="O644" t="n">
        <v>0</v>
      </c>
      <c r="P644" t="n">
        <v>0</v>
      </c>
      <c r="Q644" t="n">
        <v>0</v>
      </c>
      <c r="R644" s="2" t="inlineStr"/>
    </row>
    <row r="645" ht="15" customHeight="1">
      <c r="A645" t="inlineStr">
        <is>
          <t>A 50298-2024</t>
        </is>
      </c>
      <c r="B645" s="1" t="n">
        <v>45600</v>
      </c>
      <c r="C645" s="1" t="n">
        <v>45694</v>
      </c>
      <c r="D645" t="inlineStr">
        <is>
          <t>VÄSTRA GÖTALANDS LÄN</t>
        </is>
      </c>
      <c r="E645" t="inlineStr">
        <is>
          <t>DALS-ED</t>
        </is>
      </c>
      <c r="G645" t="n">
        <v>2.5</v>
      </c>
      <c r="H645" t="n">
        <v>0</v>
      </c>
      <c r="I645" t="n">
        <v>0</v>
      </c>
      <c r="J645" t="n">
        <v>0</v>
      </c>
      <c r="K645" t="n">
        <v>0</v>
      </c>
      <c r="L645" t="n">
        <v>0</v>
      </c>
      <c r="M645" t="n">
        <v>0</v>
      </c>
      <c r="N645" t="n">
        <v>0</v>
      </c>
      <c r="O645" t="n">
        <v>0</v>
      </c>
      <c r="P645" t="n">
        <v>0</v>
      </c>
      <c r="Q645" t="n">
        <v>0</v>
      </c>
      <c r="R645" s="2" t="inlineStr"/>
    </row>
    <row r="646" ht="15" customHeight="1">
      <c r="A646" t="inlineStr">
        <is>
          <t>A 50637-2024</t>
        </is>
      </c>
      <c r="B646" s="1" t="n">
        <v>45601</v>
      </c>
      <c r="C646" s="1" t="n">
        <v>45694</v>
      </c>
      <c r="D646" t="inlineStr">
        <is>
          <t>VÄSTRA GÖTALANDS LÄN</t>
        </is>
      </c>
      <c r="E646" t="inlineStr">
        <is>
          <t>DALS-ED</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50736-2024</t>
        </is>
      </c>
      <c r="B647" s="1" t="n">
        <v>45601</v>
      </c>
      <c r="C647" s="1" t="n">
        <v>45694</v>
      </c>
      <c r="D647" t="inlineStr">
        <is>
          <t>VÄSTRA GÖTALANDS LÄN</t>
        </is>
      </c>
      <c r="E647" t="inlineStr">
        <is>
          <t>DALS-ED</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50732-2024</t>
        </is>
      </c>
      <c r="B648" s="1" t="n">
        <v>45602</v>
      </c>
      <c r="C648" s="1" t="n">
        <v>45694</v>
      </c>
      <c r="D648" t="inlineStr">
        <is>
          <t>VÄSTRA GÖTALANDS LÄN</t>
        </is>
      </c>
      <c r="E648" t="inlineStr">
        <is>
          <t>DALS-ED</t>
        </is>
      </c>
      <c r="G648" t="n">
        <v>3.8</v>
      </c>
      <c r="H648" t="n">
        <v>0</v>
      </c>
      <c r="I648" t="n">
        <v>0</v>
      </c>
      <c r="J648" t="n">
        <v>0</v>
      </c>
      <c r="K648" t="n">
        <v>0</v>
      </c>
      <c r="L648" t="n">
        <v>0</v>
      </c>
      <c r="M648" t="n">
        <v>0</v>
      </c>
      <c r="N648" t="n">
        <v>0</v>
      </c>
      <c r="O648" t="n">
        <v>0</v>
      </c>
      <c r="P648" t="n">
        <v>0</v>
      </c>
      <c r="Q648" t="n">
        <v>0</v>
      </c>
      <c r="R648" s="2" t="inlineStr"/>
    </row>
    <row r="649" ht="15" customHeight="1">
      <c r="A649" t="inlineStr">
        <is>
          <t>A 51020-2024</t>
        </is>
      </c>
      <c r="B649" s="1" t="n">
        <v>45603</v>
      </c>
      <c r="C649" s="1" t="n">
        <v>45694</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51283-2024</t>
        </is>
      </c>
      <c r="B650" s="1" t="n">
        <v>45603</v>
      </c>
      <c r="C650" s="1" t="n">
        <v>45694</v>
      </c>
      <c r="D650" t="inlineStr">
        <is>
          <t>VÄSTRA GÖTALANDS LÄN</t>
        </is>
      </c>
      <c r="E650" t="inlineStr">
        <is>
          <t>DALS-ED</t>
        </is>
      </c>
      <c r="G650" t="n">
        <v>2.1</v>
      </c>
      <c r="H650" t="n">
        <v>0</v>
      </c>
      <c r="I650" t="n">
        <v>0</v>
      </c>
      <c r="J650" t="n">
        <v>0</v>
      </c>
      <c r="K650" t="n">
        <v>0</v>
      </c>
      <c r="L650" t="n">
        <v>0</v>
      </c>
      <c r="M650" t="n">
        <v>0</v>
      </c>
      <c r="N650" t="n">
        <v>0</v>
      </c>
      <c r="O650" t="n">
        <v>0</v>
      </c>
      <c r="P650" t="n">
        <v>0</v>
      </c>
      <c r="Q650" t="n">
        <v>0</v>
      </c>
      <c r="R650" s="2" t="inlineStr"/>
    </row>
    <row r="651" ht="15" customHeight="1">
      <c r="A651" t="inlineStr">
        <is>
          <t>A 51654-2024</t>
        </is>
      </c>
      <c r="B651" s="1" t="n">
        <v>45606</v>
      </c>
      <c r="C651" s="1" t="n">
        <v>45694</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51779-2024</t>
        </is>
      </c>
      <c r="B652" s="1" t="n">
        <v>45607</v>
      </c>
      <c r="C652" s="1" t="n">
        <v>45694</v>
      </c>
      <c r="D652" t="inlineStr">
        <is>
          <t>VÄSTRA GÖTALANDS LÄN</t>
        </is>
      </c>
      <c r="E652" t="inlineStr">
        <is>
          <t>DALS-ED</t>
        </is>
      </c>
      <c r="G652" t="n">
        <v>1.4</v>
      </c>
      <c r="H652" t="n">
        <v>0</v>
      </c>
      <c r="I652" t="n">
        <v>0</v>
      </c>
      <c r="J652" t="n">
        <v>0</v>
      </c>
      <c r="K652" t="n">
        <v>0</v>
      </c>
      <c r="L652" t="n">
        <v>0</v>
      </c>
      <c r="M652" t="n">
        <v>0</v>
      </c>
      <c r="N652" t="n">
        <v>0</v>
      </c>
      <c r="O652" t="n">
        <v>0</v>
      </c>
      <c r="P652" t="n">
        <v>0</v>
      </c>
      <c r="Q652" t="n">
        <v>0</v>
      </c>
      <c r="R652" s="2" t="inlineStr"/>
    </row>
    <row r="653" ht="15" customHeight="1">
      <c r="A653" t="inlineStr">
        <is>
          <t>A 51900-2024</t>
        </is>
      </c>
      <c r="B653" s="1" t="n">
        <v>45607</v>
      </c>
      <c r="C653" s="1" t="n">
        <v>45694</v>
      </c>
      <c r="D653" t="inlineStr">
        <is>
          <t>VÄSTRA GÖTALANDS LÄN</t>
        </is>
      </c>
      <c r="E653" t="inlineStr">
        <is>
          <t>DALS-ED</t>
        </is>
      </c>
      <c r="G653" t="n">
        <v>0.9</v>
      </c>
      <c r="H653" t="n">
        <v>0</v>
      </c>
      <c r="I653" t="n">
        <v>0</v>
      </c>
      <c r="J653" t="n">
        <v>0</v>
      </c>
      <c r="K653" t="n">
        <v>0</v>
      </c>
      <c r="L653" t="n">
        <v>0</v>
      </c>
      <c r="M653" t="n">
        <v>0</v>
      </c>
      <c r="N653" t="n">
        <v>0</v>
      </c>
      <c r="O653" t="n">
        <v>0</v>
      </c>
      <c r="P653" t="n">
        <v>0</v>
      </c>
      <c r="Q653" t="n">
        <v>0</v>
      </c>
      <c r="R653" s="2" t="inlineStr"/>
    </row>
    <row r="654" ht="15" customHeight="1">
      <c r="A654" t="inlineStr">
        <is>
          <t>A 52307-2024</t>
        </is>
      </c>
      <c r="B654" s="1" t="n">
        <v>45608</v>
      </c>
      <c r="C654" s="1" t="n">
        <v>45694</v>
      </c>
      <c r="D654" t="inlineStr">
        <is>
          <t>VÄSTRA GÖTALANDS LÄN</t>
        </is>
      </c>
      <c r="E654" t="inlineStr">
        <is>
          <t>DALS-ED</t>
        </is>
      </c>
      <c r="G654" t="n">
        <v>0.6</v>
      </c>
      <c r="H654" t="n">
        <v>0</v>
      </c>
      <c r="I654" t="n">
        <v>0</v>
      </c>
      <c r="J654" t="n">
        <v>0</v>
      </c>
      <c r="K654" t="n">
        <v>0</v>
      </c>
      <c r="L654" t="n">
        <v>0</v>
      </c>
      <c r="M654" t="n">
        <v>0</v>
      </c>
      <c r="N654" t="n">
        <v>0</v>
      </c>
      <c r="O654" t="n">
        <v>0</v>
      </c>
      <c r="P654" t="n">
        <v>0</v>
      </c>
      <c r="Q654" t="n">
        <v>0</v>
      </c>
      <c r="R654" s="2" t="inlineStr"/>
    </row>
    <row r="655" ht="15" customHeight="1">
      <c r="A655" t="inlineStr">
        <is>
          <t>A 52350-2024</t>
        </is>
      </c>
      <c r="B655" s="1" t="n">
        <v>45609</v>
      </c>
      <c r="C655" s="1" t="n">
        <v>45694</v>
      </c>
      <c r="D655" t="inlineStr">
        <is>
          <t>VÄSTRA GÖTALANDS LÄN</t>
        </is>
      </c>
      <c r="E655" t="inlineStr">
        <is>
          <t>DALS-ED</t>
        </is>
      </c>
      <c r="G655" t="n">
        <v>1</v>
      </c>
      <c r="H655" t="n">
        <v>0</v>
      </c>
      <c r="I655" t="n">
        <v>0</v>
      </c>
      <c r="J655" t="n">
        <v>0</v>
      </c>
      <c r="K655" t="n">
        <v>0</v>
      </c>
      <c r="L655" t="n">
        <v>0</v>
      </c>
      <c r="M655" t="n">
        <v>0</v>
      </c>
      <c r="N655" t="n">
        <v>0</v>
      </c>
      <c r="O655" t="n">
        <v>0</v>
      </c>
      <c r="P655" t="n">
        <v>0</v>
      </c>
      <c r="Q655" t="n">
        <v>0</v>
      </c>
      <c r="R655" s="2" t="inlineStr"/>
    </row>
    <row r="656" ht="15" customHeight="1">
      <c r="A656" t="inlineStr">
        <is>
          <t>A 52373-2024</t>
        </is>
      </c>
      <c r="B656" s="1" t="n">
        <v>45609</v>
      </c>
      <c r="C656" s="1" t="n">
        <v>45694</v>
      </c>
      <c r="D656" t="inlineStr">
        <is>
          <t>VÄSTRA GÖTALANDS LÄN</t>
        </is>
      </c>
      <c r="E656" t="inlineStr">
        <is>
          <t>DALS-ED</t>
        </is>
      </c>
      <c r="G656" t="n">
        <v>4.5</v>
      </c>
      <c r="H656" t="n">
        <v>0</v>
      </c>
      <c r="I656" t="n">
        <v>0</v>
      </c>
      <c r="J656" t="n">
        <v>0</v>
      </c>
      <c r="K656" t="n">
        <v>0</v>
      </c>
      <c r="L656" t="n">
        <v>0</v>
      </c>
      <c r="M656" t="n">
        <v>0</v>
      </c>
      <c r="N656" t="n">
        <v>0</v>
      </c>
      <c r="O656" t="n">
        <v>0</v>
      </c>
      <c r="P656" t="n">
        <v>0</v>
      </c>
      <c r="Q656" t="n">
        <v>0</v>
      </c>
      <c r="R656" s="2" t="inlineStr"/>
    </row>
    <row r="657" ht="15" customHeight="1">
      <c r="A657" t="inlineStr">
        <is>
          <t>A 52349-2024</t>
        </is>
      </c>
      <c r="B657" s="1" t="n">
        <v>45609</v>
      </c>
      <c r="C657" s="1" t="n">
        <v>45694</v>
      </c>
      <c r="D657" t="inlineStr">
        <is>
          <t>VÄSTRA GÖTALANDS LÄN</t>
        </is>
      </c>
      <c r="E657" t="inlineStr">
        <is>
          <t>DALS-ED</t>
        </is>
      </c>
      <c r="G657" t="n">
        <v>6.1</v>
      </c>
      <c r="H657" t="n">
        <v>0</v>
      </c>
      <c r="I657" t="n">
        <v>0</v>
      </c>
      <c r="J657" t="n">
        <v>0</v>
      </c>
      <c r="K657" t="n">
        <v>0</v>
      </c>
      <c r="L657" t="n">
        <v>0</v>
      </c>
      <c r="M657" t="n">
        <v>0</v>
      </c>
      <c r="N657" t="n">
        <v>0</v>
      </c>
      <c r="O657" t="n">
        <v>0</v>
      </c>
      <c r="P657" t="n">
        <v>0</v>
      </c>
      <c r="Q657" t="n">
        <v>0</v>
      </c>
      <c r="R657" s="2" t="inlineStr"/>
    </row>
    <row r="658" ht="15" customHeight="1">
      <c r="A658" t="inlineStr">
        <is>
          <t>A 53534-2024</t>
        </is>
      </c>
      <c r="B658" s="1" t="n">
        <v>45614</v>
      </c>
      <c r="C658" s="1" t="n">
        <v>45694</v>
      </c>
      <c r="D658" t="inlineStr">
        <is>
          <t>VÄSTRA GÖTALANDS LÄN</t>
        </is>
      </c>
      <c r="E658" t="inlineStr">
        <is>
          <t>DALS-ED</t>
        </is>
      </c>
      <c r="G658" t="n">
        <v>3</v>
      </c>
      <c r="H658" t="n">
        <v>0</v>
      </c>
      <c r="I658" t="n">
        <v>0</v>
      </c>
      <c r="J658" t="n">
        <v>0</v>
      </c>
      <c r="K658" t="n">
        <v>0</v>
      </c>
      <c r="L658" t="n">
        <v>0</v>
      </c>
      <c r="M658" t="n">
        <v>0</v>
      </c>
      <c r="N658" t="n">
        <v>0</v>
      </c>
      <c r="O658" t="n">
        <v>0</v>
      </c>
      <c r="P658" t="n">
        <v>0</v>
      </c>
      <c r="Q658" t="n">
        <v>0</v>
      </c>
      <c r="R658" s="2" t="inlineStr"/>
    </row>
    <row r="659" ht="15" customHeight="1">
      <c r="A659" t="inlineStr">
        <is>
          <t>A 53802-2024</t>
        </is>
      </c>
      <c r="B659" s="1" t="n">
        <v>45615</v>
      </c>
      <c r="C659" s="1" t="n">
        <v>45694</v>
      </c>
      <c r="D659" t="inlineStr">
        <is>
          <t>VÄSTRA GÖTALANDS LÄN</t>
        </is>
      </c>
      <c r="E659" t="inlineStr">
        <is>
          <t>DALS-ED</t>
        </is>
      </c>
      <c r="G659" t="n">
        <v>5.6</v>
      </c>
      <c r="H659" t="n">
        <v>0</v>
      </c>
      <c r="I659" t="n">
        <v>0</v>
      </c>
      <c r="J659" t="n">
        <v>0</v>
      </c>
      <c r="K659" t="n">
        <v>0</v>
      </c>
      <c r="L659" t="n">
        <v>0</v>
      </c>
      <c r="M659" t="n">
        <v>0</v>
      </c>
      <c r="N659" t="n">
        <v>0</v>
      </c>
      <c r="O659" t="n">
        <v>0</v>
      </c>
      <c r="P659" t="n">
        <v>0</v>
      </c>
      <c r="Q659" t="n">
        <v>0</v>
      </c>
      <c r="R659" s="2" t="inlineStr"/>
    </row>
    <row r="660" ht="15" customHeight="1">
      <c r="A660" t="inlineStr">
        <is>
          <t>A 53819-2024</t>
        </is>
      </c>
      <c r="B660" s="1" t="n">
        <v>45615</v>
      </c>
      <c r="C660" s="1" t="n">
        <v>45694</v>
      </c>
      <c r="D660" t="inlineStr">
        <is>
          <t>VÄSTRA GÖTALANDS LÄN</t>
        </is>
      </c>
      <c r="E660" t="inlineStr">
        <is>
          <t>DALS-ED</t>
        </is>
      </c>
      <c r="G660" t="n">
        <v>1.1</v>
      </c>
      <c r="H660" t="n">
        <v>0</v>
      </c>
      <c r="I660" t="n">
        <v>0</v>
      </c>
      <c r="J660" t="n">
        <v>0</v>
      </c>
      <c r="K660" t="n">
        <v>0</v>
      </c>
      <c r="L660" t="n">
        <v>0</v>
      </c>
      <c r="M660" t="n">
        <v>0</v>
      </c>
      <c r="N660" t="n">
        <v>0</v>
      </c>
      <c r="O660" t="n">
        <v>0</v>
      </c>
      <c r="P660" t="n">
        <v>0</v>
      </c>
      <c r="Q660" t="n">
        <v>0</v>
      </c>
      <c r="R660" s="2" t="inlineStr"/>
    </row>
    <row r="661" ht="15" customHeight="1">
      <c r="A661" t="inlineStr">
        <is>
          <t>A 53910-2024</t>
        </is>
      </c>
      <c r="B661" s="1" t="n">
        <v>45615</v>
      </c>
      <c r="C661" s="1" t="n">
        <v>45694</v>
      </c>
      <c r="D661" t="inlineStr">
        <is>
          <t>VÄSTRA GÖTALANDS LÄN</t>
        </is>
      </c>
      <c r="E661" t="inlineStr">
        <is>
          <t>DALS-ED</t>
        </is>
      </c>
      <c r="G661" t="n">
        <v>1.5</v>
      </c>
      <c r="H661" t="n">
        <v>0</v>
      </c>
      <c r="I661" t="n">
        <v>0</v>
      </c>
      <c r="J661" t="n">
        <v>0</v>
      </c>
      <c r="K661" t="n">
        <v>0</v>
      </c>
      <c r="L661" t="n">
        <v>0</v>
      </c>
      <c r="M661" t="n">
        <v>0</v>
      </c>
      <c r="N661" t="n">
        <v>0</v>
      </c>
      <c r="O661" t="n">
        <v>0</v>
      </c>
      <c r="P661" t="n">
        <v>0</v>
      </c>
      <c r="Q661" t="n">
        <v>0</v>
      </c>
      <c r="R661" s="2" t="inlineStr"/>
    </row>
    <row r="662" ht="15" customHeight="1">
      <c r="A662" t="inlineStr">
        <is>
          <t>A 54206-2024</t>
        </is>
      </c>
      <c r="B662" s="1" t="n">
        <v>45616</v>
      </c>
      <c r="C662" s="1" t="n">
        <v>45694</v>
      </c>
      <c r="D662" t="inlineStr">
        <is>
          <t>VÄSTRA GÖTALANDS LÄN</t>
        </is>
      </c>
      <c r="E662" t="inlineStr">
        <is>
          <t>DALS-ED</t>
        </is>
      </c>
      <c r="G662" t="n">
        <v>5</v>
      </c>
      <c r="H662" t="n">
        <v>0</v>
      </c>
      <c r="I662" t="n">
        <v>0</v>
      </c>
      <c r="J662" t="n">
        <v>0</v>
      </c>
      <c r="K662" t="n">
        <v>0</v>
      </c>
      <c r="L662" t="n">
        <v>0</v>
      </c>
      <c r="M662" t="n">
        <v>0</v>
      </c>
      <c r="N662" t="n">
        <v>0</v>
      </c>
      <c r="O662" t="n">
        <v>0</v>
      </c>
      <c r="P662" t="n">
        <v>0</v>
      </c>
      <c r="Q662" t="n">
        <v>0</v>
      </c>
      <c r="R662" s="2" t="inlineStr"/>
    </row>
    <row r="663" ht="15" customHeight="1">
      <c r="A663" t="inlineStr">
        <is>
          <t>A 54183-2024</t>
        </is>
      </c>
      <c r="B663" s="1" t="n">
        <v>45616</v>
      </c>
      <c r="C663" s="1" t="n">
        <v>45694</v>
      </c>
      <c r="D663" t="inlineStr">
        <is>
          <t>VÄSTRA GÖTALANDS LÄN</t>
        </is>
      </c>
      <c r="E663" t="inlineStr">
        <is>
          <t>DALS-ED</t>
        </is>
      </c>
      <c r="G663" t="n">
        <v>1.6</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45694</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45694</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55084-2024</t>
        </is>
      </c>
      <c r="B666" s="1" t="n">
        <v>45621</v>
      </c>
      <c r="C666" s="1" t="n">
        <v>45694</v>
      </c>
      <c r="D666" t="inlineStr">
        <is>
          <t>VÄSTRA GÖTALANDS LÄN</t>
        </is>
      </c>
      <c r="E666" t="inlineStr">
        <is>
          <t>DALS-ED</t>
        </is>
      </c>
      <c r="G666" t="n">
        <v>0.8</v>
      </c>
      <c r="H666" t="n">
        <v>0</v>
      </c>
      <c r="I666" t="n">
        <v>0</v>
      </c>
      <c r="J666" t="n">
        <v>0</v>
      </c>
      <c r="K666" t="n">
        <v>0</v>
      </c>
      <c r="L666" t="n">
        <v>0</v>
      </c>
      <c r="M666" t="n">
        <v>0</v>
      </c>
      <c r="N666" t="n">
        <v>0</v>
      </c>
      <c r="O666" t="n">
        <v>0</v>
      </c>
      <c r="P666" t="n">
        <v>0</v>
      </c>
      <c r="Q666" t="n">
        <v>0</v>
      </c>
      <c r="R666" s="2" t="inlineStr"/>
    </row>
    <row r="667" ht="15" customHeight="1">
      <c r="A667" t="inlineStr">
        <is>
          <t>A 55138-2024</t>
        </is>
      </c>
      <c r="B667" s="1" t="n">
        <v>45621</v>
      </c>
      <c r="C667" s="1" t="n">
        <v>45694</v>
      </c>
      <c r="D667" t="inlineStr">
        <is>
          <t>VÄSTRA GÖTALANDS LÄN</t>
        </is>
      </c>
      <c r="E667" t="inlineStr">
        <is>
          <t>DALS-ED</t>
        </is>
      </c>
      <c r="G667" t="n">
        <v>2.7</v>
      </c>
      <c r="H667" t="n">
        <v>0</v>
      </c>
      <c r="I667" t="n">
        <v>0</v>
      </c>
      <c r="J667" t="n">
        <v>0</v>
      </c>
      <c r="K667" t="n">
        <v>0</v>
      </c>
      <c r="L667" t="n">
        <v>0</v>
      </c>
      <c r="M667" t="n">
        <v>0</v>
      </c>
      <c r="N667" t="n">
        <v>0</v>
      </c>
      <c r="O667" t="n">
        <v>0</v>
      </c>
      <c r="P667" t="n">
        <v>0</v>
      </c>
      <c r="Q667" t="n">
        <v>0</v>
      </c>
      <c r="R667" s="2" t="inlineStr"/>
    </row>
    <row r="668" ht="15" customHeight="1">
      <c r="A668" t="inlineStr">
        <is>
          <t>A 55134-2024</t>
        </is>
      </c>
      <c r="B668" s="1" t="n">
        <v>45621</v>
      </c>
      <c r="C668" s="1" t="n">
        <v>45694</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55912-2024</t>
        </is>
      </c>
      <c r="B669" s="1" t="n">
        <v>45623</v>
      </c>
      <c r="C669" s="1" t="n">
        <v>45694</v>
      </c>
      <c r="D669" t="inlineStr">
        <is>
          <t>VÄSTRA GÖTALANDS LÄN</t>
        </is>
      </c>
      <c r="E669" t="inlineStr">
        <is>
          <t>DALS-ED</t>
        </is>
      </c>
      <c r="G669" t="n">
        <v>7.7</v>
      </c>
      <c r="H669" t="n">
        <v>0</v>
      </c>
      <c r="I669" t="n">
        <v>0</v>
      </c>
      <c r="J669" t="n">
        <v>0</v>
      </c>
      <c r="K669" t="n">
        <v>0</v>
      </c>
      <c r="L669" t="n">
        <v>0</v>
      </c>
      <c r="M669" t="n">
        <v>0</v>
      </c>
      <c r="N669" t="n">
        <v>0</v>
      </c>
      <c r="O669" t="n">
        <v>0</v>
      </c>
      <c r="P669" t="n">
        <v>0</v>
      </c>
      <c r="Q669" t="n">
        <v>0</v>
      </c>
      <c r="R669" s="2" t="inlineStr"/>
    </row>
    <row r="670" ht="15" customHeight="1">
      <c r="A670" t="inlineStr">
        <is>
          <t>A 56344-2024</t>
        </is>
      </c>
      <c r="B670" s="1" t="n">
        <v>45624</v>
      </c>
      <c r="C670" s="1" t="n">
        <v>45694</v>
      </c>
      <c r="D670" t="inlineStr">
        <is>
          <t>VÄSTRA GÖTALANDS LÄN</t>
        </is>
      </c>
      <c r="E670" t="inlineStr">
        <is>
          <t>DALS-ED</t>
        </is>
      </c>
      <c r="G670" t="n">
        <v>1.7</v>
      </c>
      <c r="H670" t="n">
        <v>0</v>
      </c>
      <c r="I670" t="n">
        <v>0</v>
      </c>
      <c r="J670" t="n">
        <v>0</v>
      </c>
      <c r="K670" t="n">
        <v>0</v>
      </c>
      <c r="L670" t="n">
        <v>0</v>
      </c>
      <c r="M670" t="n">
        <v>0</v>
      </c>
      <c r="N670" t="n">
        <v>0</v>
      </c>
      <c r="O670" t="n">
        <v>0</v>
      </c>
      <c r="P670" t="n">
        <v>0</v>
      </c>
      <c r="Q670" t="n">
        <v>0</v>
      </c>
      <c r="R670" s="2" t="inlineStr"/>
    </row>
    <row r="671" ht="15" customHeight="1">
      <c r="A671" t="inlineStr">
        <is>
          <t>A 56341-2024</t>
        </is>
      </c>
      <c r="B671" s="1" t="n">
        <v>45624</v>
      </c>
      <c r="C671" s="1" t="n">
        <v>45694</v>
      </c>
      <c r="D671" t="inlineStr">
        <is>
          <t>VÄSTRA GÖTALANDS LÄN</t>
        </is>
      </c>
      <c r="E671" t="inlineStr">
        <is>
          <t>DALS-ED</t>
        </is>
      </c>
      <c r="G671" t="n">
        <v>3</v>
      </c>
      <c r="H671" t="n">
        <v>0</v>
      </c>
      <c r="I671" t="n">
        <v>0</v>
      </c>
      <c r="J671" t="n">
        <v>0</v>
      </c>
      <c r="K671" t="n">
        <v>0</v>
      </c>
      <c r="L671" t="n">
        <v>0</v>
      </c>
      <c r="M671" t="n">
        <v>0</v>
      </c>
      <c r="N671" t="n">
        <v>0</v>
      </c>
      <c r="O671" t="n">
        <v>0</v>
      </c>
      <c r="P671" t="n">
        <v>0</v>
      </c>
      <c r="Q671" t="n">
        <v>0</v>
      </c>
      <c r="R671" s="2" t="inlineStr"/>
    </row>
    <row r="672" ht="15" customHeight="1">
      <c r="A672" t="inlineStr">
        <is>
          <t>A 56781-2024</t>
        </is>
      </c>
      <c r="B672" s="1" t="n">
        <v>45628</v>
      </c>
      <c r="C672" s="1" t="n">
        <v>45694</v>
      </c>
      <c r="D672" t="inlineStr">
        <is>
          <t>VÄSTRA GÖTALANDS LÄN</t>
        </is>
      </c>
      <c r="E672" t="inlineStr">
        <is>
          <t>DALS-ED</t>
        </is>
      </c>
      <c r="G672" t="n">
        <v>1.8</v>
      </c>
      <c r="H672" t="n">
        <v>0</v>
      </c>
      <c r="I672" t="n">
        <v>0</v>
      </c>
      <c r="J672" t="n">
        <v>0</v>
      </c>
      <c r="K672" t="n">
        <v>0</v>
      </c>
      <c r="L672" t="n">
        <v>0</v>
      </c>
      <c r="M672" t="n">
        <v>0</v>
      </c>
      <c r="N672" t="n">
        <v>0</v>
      </c>
      <c r="O672" t="n">
        <v>0</v>
      </c>
      <c r="P672" t="n">
        <v>0</v>
      </c>
      <c r="Q672" t="n">
        <v>0</v>
      </c>
      <c r="R672" s="2" t="inlineStr"/>
    </row>
    <row r="673" ht="15" customHeight="1">
      <c r="A673" t="inlineStr">
        <is>
          <t>A 56765-2024</t>
        </is>
      </c>
      <c r="B673" s="1" t="n">
        <v>45628</v>
      </c>
      <c r="C673" s="1" t="n">
        <v>45694</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45694</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58354-2024</t>
        </is>
      </c>
      <c r="B675" s="1" t="n">
        <v>45632</v>
      </c>
      <c r="C675" s="1" t="n">
        <v>45694</v>
      </c>
      <c r="D675" t="inlineStr">
        <is>
          <t>VÄSTRA GÖTALANDS LÄN</t>
        </is>
      </c>
      <c r="E675" t="inlineStr">
        <is>
          <t>DALS-ED</t>
        </is>
      </c>
      <c r="G675" t="n">
        <v>3.3</v>
      </c>
      <c r="H675" t="n">
        <v>0</v>
      </c>
      <c r="I675" t="n">
        <v>0</v>
      </c>
      <c r="J675" t="n">
        <v>0</v>
      </c>
      <c r="K675" t="n">
        <v>0</v>
      </c>
      <c r="L675" t="n">
        <v>0</v>
      </c>
      <c r="M675" t="n">
        <v>0</v>
      </c>
      <c r="N675" t="n">
        <v>0</v>
      </c>
      <c r="O675" t="n">
        <v>0</v>
      </c>
      <c r="P675" t="n">
        <v>0</v>
      </c>
      <c r="Q675" t="n">
        <v>0</v>
      </c>
      <c r="R675" s="2" t="inlineStr"/>
    </row>
    <row r="676" ht="15" customHeight="1">
      <c r="A676" t="inlineStr">
        <is>
          <t>A 58346-2024</t>
        </is>
      </c>
      <c r="B676" s="1" t="n">
        <v>45632</v>
      </c>
      <c r="C676" s="1" t="n">
        <v>45694</v>
      </c>
      <c r="D676" t="inlineStr">
        <is>
          <t>VÄSTRA GÖTALANDS LÄN</t>
        </is>
      </c>
      <c r="E676" t="inlineStr">
        <is>
          <t>DALS-ED</t>
        </is>
      </c>
      <c r="G676" t="n">
        <v>2.4</v>
      </c>
      <c r="H676" t="n">
        <v>0</v>
      </c>
      <c r="I676" t="n">
        <v>0</v>
      </c>
      <c r="J676" t="n">
        <v>0</v>
      </c>
      <c r="K676" t="n">
        <v>0</v>
      </c>
      <c r="L676" t="n">
        <v>0</v>
      </c>
      <c r="M676" t="n">
        <v>0</v>
      </c>
      <c r="N676" t="n">
        <v>0</v>
      </c>
      <c r="O676" t="n">
        <v>0</v>
      </c>
      <c r="P676" t="n">
        <v>0</v>
      </c>
      <c r="Q676" t="n">
        <v>0</v>
      </c>
      <c r="R676" s="2" t="inlineStr"/>
    </row>
    <row r="677" ht="15" customHeight="1">
      <c r="A677" t="inlineStr">
        <is>
          <t>A 58584-2024</t>
        </is>
      </c>
      <c r="B677" s="1" t="n">
        <v>45632</v>
      </c>
      <c r="C677" s="1" t="n">
        <v>45694</v>
      </c>
      <c r="D677" t="inlineStr">
        <is>
          <t>VÄSTRA GÖTALANDS LÄN</t>
        </is>
      </c>
      <c r="E677" t="inlineStr">
        <is>
          <t>DALS-ED</t>
        </is>
      </c>
      <c r="G677" t="n">
        <v>1.5</v>
      </c>
      <c r="H677" t="n">
        <v>0</v>
      </c>
      <c r="I677" t="n">
        <v>0</v>
      </c>
      <c r="J677" t="n">
        <v>0</v>
      </c>
      <c r="K677" t="n">
        <v>0</v>
      </c>
      <c r="L677" t="n">
        <v>0</v>
      </c>
      <c r="M677" t="n">
        <v>0</v>
      </c>
      <c r="N677" t="n">
        <v>0</v>
      </c>
      <c r="O677" t="n">
        <v>0</v>
      </c>
      <c r="P677" t="n">
        <v>0</v>
      </c>
      <c r="Q677" t="n">
        <v>0</v>
      </c>
      <c r="R677" s="2" t="inlineStr"/>
    </row>
    <row r="678" ht="15" customHeight="1">
      <c r="A678" t="inlineStr">
        <is>
          <t>A 58405-2024</t>
        </is>
      </c>
      <c r="B678" s="1" t="n">
        <v>45634</v>
      </c>
      <c r="C678" s="1" t="n">
        <v>45694</v>
      </c>
      <c r="D678" t="inlineStr">
        <is>
          <t>VÄSTRA GÖTALANDS LÄN</t>
        </is>
      </c>
      <c r="E678" t="inlineStr">
        <is>
          <t>DALS-ED</t>
        </is>
      </c>
      <c r="G678" t="n">
        <v>4.4</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45694</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58855-2024</t>
        </is>
      </c>
      <c r="B680" s="1" t="n">
        <v>45636</v>
      </c>
      <c r="C680" s="1" t="n">
        <v>45694</v>
      </c>
      <c r="D680" t="inlineStr">
        <is>
          <t>VÄSTRA GÖTALANDS LÄN</t>
        </is>
      </c>
      <c r="E680" t="inlineStr">
        <is>
          <t>DALS-ED</t>
        </is>
      </c>
      <c r="G680" t="n">
        <v>0.3</v>
      </c>
      <c r="H680" t="n">
        <v>0</v>
      </c>
      <c r="I680" t="n">
        <v>0</v>
      </c>
      <c r="J680" t="n">
        <v>0</v>
      </c>
      <c r="K680" t="n">
        <v>0</v>
      </c>
      <c r="L680" t="n">
        <v>0</v>
      </c>
      <c r="M680" t="n">
        <v>0</v>
      </c>
      <c r="N680" t="n">
        <v>0</v>
      </c>
      <c r="O680" t="n">
        <v>0</v>
      </c>
      <c r="P680" t="n">
        <v>0</v>
      </c>
      <c r="Q680" t="n">
        <v>0</v>
      </c>
      <c r="R680" s="2" t="inlineStr"/>
    </row>
    <row r="681" ht="15" customHeight="1">
      <c r="A681" t="inlineStr">
        <is>
          <t>A 58851-2024</t>
        </is>
      </c>
      <c r="B681" s="1" t="n">
        <v>45636</v>
      </c>
      <c r="C681" s="1" t="n">
        <v>45694</v>
      </c>
      <c r="D681" t="inlineStr">
        <is>
          <t>VÄSTRA GÖTALANDS LÄN</t>
        </is>
      </c>
      <c r="E681" t="inlineStr">
        <is>
          <t>DALS-ED</t>
        </is>
      </c>
      <c r="G681" t="n">
        <v>1.9</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45694</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59855-2024</t>
        </is>
      </c>
      <c r="B683" s="1" t="n">
        <v>45639</v>
      </c>
      <c r="C683" s="1" t="n">
        <v>45694</v>
      </c>
      <c r="D683" t="inlineStr">
        <is>
          <t>VÄSTRA GÖTALANDS LÄN</t>
        </is>
      </c>
      <c r="E683" t="inlineStr">
        <is>
          <t>DALS-ED</t>
        </is>
      </c>
      <c r="G683" t="n">
        <v>0.6</v>
      </c>
      <c r="H683" t="n">
        <v>0</v>
      </c>
      <c r="I683" t="n">
        <v>0</v>
      </c>
      <c r="J683" t="n">
        <v>0</v>
      </c>
      <c r="K683" t="n">
        <v>0</v>
      </c>
      <c r="L683" t="n">
        <v>0</v>
      </c>
      <c r="M683" t="n">
        <v>0</v>
      </c>
      <c r="N683" t="n">
        <v>0</v>
      </c>
      <c r="O683" t="n">
        <v>0</v>
      </c>
      <c r="P683" t="n">
        <v>0</v>
      </c>
      <c r="Q683" t="n">
        <v>0</v>
      </c>
      <c r="R683" s="2" t="inlineStr"/>
    </row>
    <row r="684" ht="15" customHeight="1">
      <c r="A684" t="inlineStr">
        <is>
          <t>A 60410-2024</t>
        </is>
      </c>
      <c r="B684" s="1" t="n">
        <v>45643</v>
      </c>
      <c r="C684" s="1" t="n">
        <v>45694</v>
      </c>
      <c r="D684" t="inlineStr">
        <is>
          <t>VÄSTRA GÖTALANDS LÄN</t>
        </is>
      </c>
      <c r="E684" t="inlineStr">
        <is>
          <t>DALS-ED</t>
        </is>
      </c>
      <c r="G684" t="n">
        <v>28</v>
      </c>
      <c r="H684" t="n">
        <v>0</v>
      </c>
      <c r="I684" t="n">
        <v>0</v>
      </c>
      <c r="J684" t="n">
        <v>0</v>
      </c>
      <c r="K684" t="n">
        <v>0</v>
      </c>
      <c r="L684" t="n">
        <v>0</v>
      </c>
      <c r="M684" t="n">
        <v>0</v>
      </c>
      <c r="N684" t="n">
        <v>0</v>
      </c>
      <c r="O684" t="n">
        <v>0</v>
      </c>
      <c r="P684" t="n">
        <v>0</v>
      </c>
      <c r="Q684" t="n">
        <v>0</v>
      </c>
      <c r="R684" s="2" t="inlineStr"/>
    </row>
    <row r="685" ht="15" customHeight="1">
      <c r="A685" t="inlineStr">
        <is>
          <t>A 60590-2024</t>
        </is>
      </c>
      <c r="B685" s="1" t="n">
        <v>45644</v>
      </c>
      <c r="C685" s="1" t="n">
        <v>45694</v>
      </c>
      <c r="D685" t="inlineStr">
        <is>
          <t>VÄSTRA GÖTALANDS LÄN</t>
        </is>
      </c>
      <c r="E685" t="inlineStr">
        <is>
          <t>DALS-ED</t>
        </is>
      </c>
      <c r="G685" t="n">
        <v>2.2</v>
      </c>
      <c r="H685" t="n">
        <v>0</v>
      </c>
      <c r="I685" t="n">
        <v>0</v>
      </c>
      <c r="J685" t="n">
        <v>0</v>
      </c>
      <c r="K685" t="n">
        <v>0</v>
      </c>
      <c r="L685" t="n">
        <v>0</v>
      </c>
      <c r="M685" t="n">
        <v>0</v>
      </c>
      <c r="N685" t="n">
        <v>0</v>
      </c>
      <c r="O685" t="n">
        <v>0</v>
      </c>
      <c r="P685" t="n">
        <v>0</v>
      </c>
      <c r="Q685" t="n">
        <v>0</v>
      </c>
      <c r="R685" s="2" t="inlineStr"/>
    </row>
    <row r="686" ht="15" customHeight="1">
      <c r="A686" t="inlineStr">
        <is>
          <t>A 61497-2024</t>
        </is>
      </c>
      <c r="B686" s="1" t="n">
        <v>45646</v>
      </c>
      <c r="C686" s="1" t="n">
        <v>45694</v>
      </c>
      <c r="D686" t="inlineStr">
        <is>
          <t>VÄSTRA GÖTALANDS LÄN</t>
        </is>
      </c>
      <c r="E686" t="inlineStr">
        <is>
          <t>DALS-ED</t>
        </is>
      </c>
      <c r="G686" t="n">
        <v>1.6</v>
      </c>
      <c r="H686" t="n">
        <v>0</v>
      </c>
      <c r="I686" t="n">
        <v>0</v>
      </c>
      <c r="J686" t="n">
        <v>0</v>
      </c>
      <c r="K686" t="n">
        <v>0</v>
      </c>
      <c r="L686" t="n">
        <v>0</v>
      </c>
      <c r="M686" t="n">
        <v>0</v>
      </c>
      <c r="N686" t="n">
        <v>0</v>
      </c>
      <c r="O686" t="n">
        <v>0</v>
      </c>
      <c r="P686" t="n">
        <v>0</v>
      </c>
      <c r="Q686" t="n">
        <v>0</v>
      </c>
      <c r="R686" s="2" t="inlineStr"/>
    </row>
    <row r="687" ht="15" customHeight="1">
      <c r="A687" t="inlineStr">
        <is>
          <t>A 9-2025</t>
        </is>
      </c>
      <c r="B687" s="1" t="n">
        <v>45658</v>
      </c>
      <c r="C687" s="1" t="n">
        <v>45694</v>
      </c>
      <c r="D687" t="inlineStr">
        <is>
          <t>VÄSTRA GÖTALANDS LÄN</t>
        </is>
      </c>
      <c r="E687" t="inlineStr">
        <is>
          <t>DALS-ED</t>
        </is>
      </c>
      <c r="G687" t="n">
        <v>7.3</v>
      </c>
      <c r="H687" t="n">
        <v>0</v>
      </c>
      <c r="I687" t="n">
        <v>0</v>
      </c>
      <c r="J687" t="n">
        <v>0</v>
      </c>
      <c r="K687" t="n">
        <v>0</v>
      </c>
      <c r="L687" t="n">
        <v>0</v>
      </c>
      <c r="M687" t="n">
        <v>0</v>
      </c>
      <c r="N687" t="n">
        <v>0</v>
      </c>
      <c r="O687" t="n">
        <v>0</v>
      </c>
      <c r="P687" t="n">
        <v>0</v>
      </c>
      <c r="Q687" t="n">
        <v>0</v>
      </c>
      <c r="R687" s="2" t="inlineStr"/>
    </row>
    <row r="688" ht="15" customHeight="1">
      <c r="A688" t="inlineStr">
        <is>
          <t>A 308-2025</t>
        </is>
      </c>
      <c r="B688" s="1" t="n">
        <v>45660</v>
      </c>
      <c r="C688" s="1" t="n">
        <v>45694</v>
      </c>
      <c r="D688" t="inlineStr">
        <is>
          <t>VÄSTRA GÖTALANDS LÄN</t>
        </is>
      </c>
      <c r="E688" t="inlineStr">
        <is>
          <t>DALS-ED</t>
        </is>
      </c>
      <c r="G688" t="n">
        <v>1.2</v>
      </c>
      <c r="H688" t="n">
        <v>0</v>
      </c>
      <c r="I688" t="n">
        <v>0</v>
      </c>
      <c r="J688" t="n">
        <v>0</v>
      </c>
      <c r="K688" t="n">
        <v>0</v>
      </c>
      <c r="L688" t="n">
        <v>0</v>
      </c>
      <c r="M688" t="n">
        <v>0</v>
      </c>
      <c r="N688" t="n">
        <v>0</v>
      </c>
      <c r="O688" t="n">
        <v>0</v>
      </c>
      <c r="P688" t="n">
        <v>0</v>
      </c>
      <c r="Q688" t="n">
        <v>0</v>
      </c>
      <c r="R688" s="2" t="inlineStr"/>
    </row>
    <row r="689" ht="15" customHeight="1">
      <c r="A689" t="inlineStr">
        <is>
          <t>A 979-2025</t>
        </is>
      </c>
      <c r="B689" s="1" t="n">
        <v>45666</v>
      </c>
      <c r="C689" s="1" t="n">
        <v>45694</v>
      </c>
      <c r="D689" t="inlineStr">
        <is>
          <t>VÄSTRA GÖTALANDS LÄN</t>
        </is>
      </c>
      <c r="E689" t="inlineStr">
        <is>
          <t>DALS-ED</t>
        </is>
      </c>
      <c r="G689" t="n">
        <v>4.4</v>
      </c>
      <c r="H689" t="n">
        <v>0</v>
      </c>
      <c r="I689" t="n">
        <v>0</v>
      </c>
      <c r="J689" t="n">
        <v>0</v>
      </c>
      <c r="K689" t="n">
        <v>0</v>
      </c>
      <c r="L689" t="n">
        <v>0</v>
      </c>
      <c r="M689" t="n">
        <v>0</v>
      </c>
      <c r="N689" t="n">
        <v>0</v>
      </c>
      <c r="O689" t="n">
        <v>0</v>
      </c>
      <c r="P689" t="n">
        <v>0</v>
      </c>
      <c r="Q689" t="n">
        <v>0</v>
      </c>
      <c r="R689" s="2" t="inlineStr"/>
    </row>
    <row r="690" ht="15" customHeight="1">
      <c r="A690" t="inlineStr">
        <is>
          <t>A 956-2025</t>
        </is>
      </c>
      <c r="B690" s="1" t="n">
        <v>45666</v>
      </c>
      <c r="C690" s="1" t="n">
        <v>45694</v>
      </c>
      <c r="D690" t="inlineStr">
        <is>
          <t>VÄSTRA GÖTALANDS LÄN</t>
        </is>
      </c>
      <c r="E690" t="inlineStr">
        <is>
          <t>DALS-ED</t>
        </is>
      </c>
      <c r="G690" t="n">
        <v>0.9</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45694</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1739-2025</t>
        </is>
      </c>
      <c r="B692" s="1" t="n">
        <v>45671</v>
      </c>
      <c r="C692" s="1" t="n">
        <v>45694</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45694</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2078-2025</t>
        </is>
      </c>
      <c r="B694" s="1" t="n">
        <v>45672</v>
      </c>
      <c r="C694" s="1" t="n">
        <v>45694</v>
      </c>
      <c r="D694" t="inlineStr">
        <is>
          <t>VÄSTRA GÖTALANDS LÄN</t>
        </is>
      </c>
      <c r="E694" t="inlineStr">
        <is>
          <t>DALS-ED</t>
        </is>
      </c>
      <c r="G694" t="n">
        <v>1.7</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45694</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2283-2025</t>
        </is>
      </c>
      <c r="B696" s="1" t="n">
        <v>45673</v>
      </c>
      <c r="C696" s="1" t="n">
        <v>45694</v>
      </c>
      <c r="D696" t="inlineStr">
        <is>
          <t>VÄSTRA GÖTALANDS LÄN</t>
        </is>
      </c>
      <c r="E696" t="inlineStr">
        <is>
          <t>DALS-ED</t>
        </is>
      </c>
      <c r="G696" t="n">
        <v>2.2</v>
      </c>
      <c r="H696" t="n">
        <v>0</v>
      </c>
      <c r="I696" t="n">
        <v>0</v>
      </c>
      <c r="J696" t="n">
        <v>0</v>
      </c>
      <c r="K696" t="n">
        <v>0</v>
      </c>
      <c r="L696" t="n">
        <v>0</v>
      </c>
      <c r="M696" t="n">
        <v>0</v>
      </c>
      <c r="N696" t="n">
        <v>0</v>
      </c>
      <c r="O696" t="n">
        <v>0</v>
      </c>
      <c r="P696" t="n">
        <v>0</v>
      </c>
      <c r="Q696" t="n">
        <v>0</v>
      </c>
      <c r="R696" s="2" t="inlineStr"/>
    </row>
    <row r="697" ht="15" customHeight="1">
      <c r="A697" t="inlineStr">
        <is>
          <t>A 2449-2025</t>
        </is>
      </c>
      <c r="B697" s="1" t="n">
        <v>45674</v>
      </c>
      <c r="C697" s="1" t="n">
        <v>45694</v>
      </c>
      <c r="D697" t="inlineStr">
        <is>
          <t>VÄSTRA GÖTALANDS LÄN</t>
        </is>
      </c>
      <c r="E697" t="inlineStr">
        <is>
          <t>DALS-ED</t>
        </is>
      </c>
      <c r="G697" t="n">
        <v>2</v>
      </c>
      <c r="H697" t="n">
        <v>0</v>
      </c>
      <c r="I697" t="n">
        <v>0</v>
      </c>
      <c r="J697" t="n">
        <v>0</v>
      </c>
      <c r="K697" t="n">
        <v>0</v>
      </c>
      <c r="L697" t="n">
        <v>0</v>
      </c>
      <c r="M697" t="n">
        <v>0</v>
      </c>
      <c r="N697" t="n">
        <v>0</v>
      </c>
      <c r="O697" t="n">
        <v>0</v>
      </c>
      <c r="P697" t="n">
        <v>0</v>
      </c>
      <c r="Q697" t="n">
        <v>0</v>
      </c>
      <c r="R697" s="2" t="inlineStr"/>
    </row>
    <row r="698" ht="15" customHeight="1">
      <c r="A698" t="inlineStr">
        <is>
          <t>A 2452-2025</t>
        </is>
      </c>
      <c r="B698" s="1" t="n">
        <v>45674</v>
      </c>
      <c r="C698" s="1" t="n">
        <v>45694</v>
      </c>
      <c r="D698" t="inlineStr">
        <is>
          <t>VÄSTRA GÖTALANDS LÄN</t>
        </is>
      </c>
      <c r="E698" t="inlineStr">
        <is>
          <t>DALS-ED</t>
        </is>
      </c>
      <c r="G698" t="n">
        <v>3.7</v>
      </c>
      <c r="H698" t="n">
        <v>0</v>
      </c>
      <c r="I698" t="n">
        <v>0</v>
      </c>
      <c r="J698" t="n">
        <v>0</v>
      </c>
      <c r="K698" t="n">
        <v>0</v>
      </c>
      <c r="L698" t="n">
        <v>0</v>
      </c>
      <c r="M698" t="n">
        <v>0</v>
      </c>
      <c r="N698" t="n">
        <v>0</v>
      </c>
      <c r="O698" t="n">
        <v>0</v>
      </c>
      <c r="P698" t="n">
        <v>0</v>
      </c>
      <c r="Q698" t="n">
        <v>0</v>
      </c>
      <c r="R698" s="2" t="inlineStr"/>
    </row>
    <row r="699" ht="15" customHeight="1">
      <c r="A699" t="inlineStr">
        <is>
          <t>A 2636-2025</t>
        </is>
      </c>
      <c r="B699" s="1" t="n">
        <v>45675</v>
      </c>
      <c r="C699" s="1" t="n">
        <v>45694</v>
      </c>
      <c r="D699" t="inlineStr">
        <is>
          <t>VÄSTRA GÖTALANDS LÄN</t>
        </is>
      </c>
      <c r="E699" t="inlineStr">
        <is>
          <t>DALS-ED</t>
        </is>
      </c>
      <c r="G699" t="n">
        <v>6.4</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45694</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2631-2025</t>
        </is>
      </c>
      <c r="B701" s="1" t="n">
        <v>45675</v>
      </c>
      <c r="C701" s="1" t="n">
        <v>45694</v>
      </c>
      <c r="D701" t="inlineStr">
        <is>
          <t>VÄSTRA GÖTALANDS LÄN</t>
        </is>
      </c>
      <c r="E701" t="inlineStr">
        <is>
          <t>DALS-ED</t>
        </is>
      </c>
      <c r="G701" t="n">
        <v>1.9</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45694</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45694</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2764-2025</t>
        </is>
      </c>
      <c r="B704" s="1" t="n">
        <v>45677</v>
      </c>
      <c r="C704" s="1" t="n">
        <v>45694</v>
      </c>
      <c r="D704" t="inlineStr">
        <is>
          <t>VÄSTRA GÖTALANDS LÄN</t>
        </is>
      </c>
      <c r="E704" t="inlineStr">
        <is>
          <t>DALS-ED</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3033-2025</t>
        </is>
      </c>
      <c r="B705" s="1" t="n">
        <v>45678</v>
      </c>
      <c r="C705" s="1" t="n">
        <v>45694</v>
      </c>
      <c r="D705" t="inlineStr">
        <is>
          <t>VÄSTRA GÖTALANDS LÄN</t>
        </is>
      </c>
      <c r="E705" t="inlineStr">
        <is>
          <t>DALS-ED</t>
        </is>
      </c>
      <c r="G705" t="n">
        <v>1.6</v>
      </c>
      <c r="H705" t="n">
        <v>0</v>
      </c>
      <c r="I705" t="n">
        <v>0</v>
      </c>
      <c r="J705" t="n">
        <v>0</v>
      </c>
      <c r="K705" t="n">
        <v>0</v>
      </c>
      <c r="L705" t="n">
        <v>0</v>
      </c>
      <c r="M705" t="n">
        <v>0</v>
      </c>
      <c r="N705" t="n">
        <v>0</v>
      </c>
      <c r="O705" t="n">
        <v>0</v>
      </c>
      <c r="P705" t="n">
        <v>0</v>
      </c>
      <c r="Q705" t="n">
        <v>0</v>
      </c>
      <c r="R705" s="2" t="inlineStr"/>
    </row>
    <row r="706" ht="15" customHeight="1">
      <c r="A706" t="inlineStr">
        <is>
          <t>A 4489-2025</t>
        </is>
      </c>
      <c r="B706" s="1" t="n">
        <v>45686</v>
      </c>
      <c r="C706" s="1" t="n">
        <v>45694</v>
      </c>
      <c r="D706" t="inlineStr">
        <is>
          <t>VÄSTRA GÖTALANDS LÄN</t>
        </is>
      </c>
      <c r="E706" t="inlineStr">
        <is>
          <t>DALS-ED</t>
        </is>
      </c>
      <c r="G706" t="n">
        <v>0.8</v>
      </c>
      <c r="H706" t="n">
        <v>0</v>
      </c>
      <c r="I706" t="n">
        <v>0</v>
      </c>
      <c r="J706" t="n">
        <v>0</v>
      </c>
      <c r="K706" t="n">
        <v>0</v>
      </c>
      <c r="L706" t="n">
        <v>0</v>
      </c>
      <c r="M706" t="n">
        <v>0</v>
      </c>
      <c r="N706" t="n">
        <v>0</v>
      </c>
      <c r="O706" t="n">
        <v>0</v>
      </c>
      <c r="P706" t="n">
        <v>0</v>
      </c>
      <c r="Q706" t="n">
        <v>0</v>
      </c>
      <c r="R706" s="2" t="inlineStr"/>
    </row>
    <row r="707" ht="15" customHeight="1">
      <c r="A707" t="inlineStr">
        <is>
          <t>A 5655-2025</t>
        </is>
      </c>
      <c r="B707" s="1" t="n">
        <v>45693</v>
      </c>
      <c r="C707" s="1" t="n">
        <v>45694</v>
      </c>
      <c r="D707" t="inlineStr">
        <is>
          <t>VÄSTRA GÖTALANDS LÄN</t>
        </is>
      </c>
      <c r="E707" t="inlineStr">
        <is>
          <t>DALS-ED</t>
        </is>
      </c>
      <c r="G707" t="n">
        <v>4.8</v>
      </c>
      <c r="H707" t="n">
        <v>0</v>
      </c>
      <c r="I707" t="n">
        <v>0</v>
      </c>
      <c r="J707" t="n">
        <v>0</v>
      </c>
      <c r="K707" t="n">
        <v>0</v>
      </c>
      <c r="L707" t="n">
        <v>0</v>
      </c>
      <c r="M707" t="n">
        <v>0</v>
      </c>
      <c r="N707" t="n">
        <v>0</v>
      </c>
      <c r="O707" t="n">
        <v>0</v>
      </c>
      <c r="P707" t="n">
        <v>0</v>
      </c>
      <c r="Q707" t="n">
        <v>0</v>
      </c>
      <c r="R707" s="2" t="inlineStr"/>
    </row>
    <row r="708" ht="15" customHeight="1">
      <c r="A708" t="inlineStr">
        <is>
          <t>A 5662-2025</t>
        </is>
      </c>
      <c r="B708" s="1" t="n">
        <v>45693</v>
      </c>
      <c r="C708" s="1" t="n">
        <v>45694</v>
      </c>
      <c r="D708" t="inlineStr">
        <is>
          <t>VÄSTRA GÖTALANDS LÄN</t>
        </is>
      </c>
      <c r="E708" t="inlineStr">
        <is>
          <t>DALS-ED</t>
        </is>
      </c>
      <c r="G708" t="n">
        <v>8.1</v>
      </c>
      <c r="H708" t="n">
        <v>0</v>
      </c>
      <c r="I708" t="n">
        <v>0</v>
      </c>
      <c r="J708" t="n">
        <v>0</v>
      </c>
      <c r="K708" t="n">
        <v>0</v>
      </c>
      <c r="L708" t="n">
        <v>0</v>
      </c>
      <c r="M708" t="n">
        <v>0</v>
      </c>
      <c r="N708" t="n">
        <v>0</v>
      </c>
      <c r="O708" t="n">
        <v>0</v>
      </c>
      <c r="P708" t="n">
        <v>0</v>
      </c>
      <c r="Q708" t="n">
        <v>0</v>
      </c>
      <c r="R708" s="2" t="inlineStr"/>
    </row>
    <row r="709" ht="15" customHeight="1">
      <c r="A709" t="inlineStr">
        <is>
          <t>A 5660-2025</t>
        </is>
      </c>
      <c r="B709" s="1" t="n">
        <v>45693</v>
      </c>
      <c r="C709" s="1" t="n">
        <v>45694</v>
      </c>
      <c r="D709" t="inlineStr">
        <is>
          <t>VÄSTRA GÖTALANDS LÄN</t>
        </is>
      </c>
      <c r="E709" t="inlineStr">
        <is>
          <t>DALS-ED</t>
        </is>
      </c>
      <c r="G709" t="n">
        <v>4.5</v>
      </c>
      <c r="H709" t="n">
        <v>0</v>
      </c>
      <c r="I709" t="n">
        <v>0</v>
      </c>
      <c r="J709" t="n">
        <v>0</v>
      </c>
      <c r="K709" t="n">
        <v>0</v>
      </c>
      <c r="L709" t="n">
        <v>0</v>
      </c>
      <c r="M709" t="n">
        <v>0</v>
      </c>
      <c r="N709" t="n">
        <v>0</v>
      </c>
      <c r="O709" t="n">
        <v>0</v>
      </c>
      <c r="P709" t="n">
        <v>0</v>
      </c>
      <c r="Q709" t="n">
        <v>0</v>
      </c>
      <c r="R709" s="2" t="inlineStr"/>
    </row>
    <row r="710">
      <c r="A710" t="inlineStr">
        <is>
          <t>A 5657-2025</t>
        </is>
      </c>
      <c r="B710" s="1" t="n">
        <v>45693</v>
      </c>
      <c r="C710" s="1" t="n">
        <v>45694</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2025-02-06T16:47:23Z</dcterms:created>
  <dcterms:modified xmlns:dcterms="http://purl.org/dc/terms/" xmlns:xsi="http://www.w3.org/2001/XMLSchema-instance" xsi:type="dcterms:W3CDTF">2025-02-06T16:47:24Z</dcterms:modified>
</cp:coreProperties>
</file>