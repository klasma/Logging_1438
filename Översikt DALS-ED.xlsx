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46144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46144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46144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46144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46144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46144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46144</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46144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46144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46144</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46144</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46144</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46144</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46144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46144</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46144</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46144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46144</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46144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46144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46144</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6454-2022</t>
        </is>
      </c>
      <c r="B23" s="1" t="n">
        <v>44601</v>
      </c>
      <c r="C23" s="1" t="n">
        <v>46144</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46144</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46144</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46144</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25033-2025</t>
        </is>
      </c>
      <c r="B27" s="1" t="n">
        <v>45799.65584490741</v>
      </c>
      <c r="C27" s="1" t="n">
        <v>46144</v>
      </c>
      <c r="D27" t="inlineStr">
        <is>
          <t>VÄSTRA GÖTALANDS LÄN</t>
        </is>
      </c>
      <c r="E27" t="inlineStr">
        <is>
          <t>DALS-ED</t>
        </is>
      </c>
      <c r="G27" t="n">
        <v>8.6</v>
      </c>
      <c r="H27" t="n">
        <v>0</v>
      </c>
      <c r="I27" t="n">
        <v>0</v>
      </c>
      <c r="J27" t="n">
        <v>0</v>
      </c>
      <c r="K27" t="n">
        <v>0</v>
      </c>
      <c r="L27" t="n">
        <v>2</v>
      </c>
      <c r="M27" t="n">
        <v>0</v>
      </c>
      <c r="N27" t="n">
        <v>0</v>
      </c>
      <c r="O27" t="n">
        <v>2</v>
      </c>
      <c r="P27" t="n">
        <v>2</v>
      </c>
      <c r="Q27" t="n">
        <v>2</v>
      </c>
      <c r="R27" s="2" t="inlineStr">
        <is>
          <t>Ask
Blylav</t>
        </is>
      </c>
      <c r="S27">
        <f>HYPERLINK("https://klasma.github.io/Logging_1438/artfynd/A 25033-2025 artfynd.xlsx", "A 25033-2025")</f>
        <v/>
      </c>
      <c r="T27">
        <f>HYPERLINK("https://klasma.github.io/Logging_1438/kartor/A 25033-2025 karta.png", "A 25033-2025")</f>
        <v/>
      </c>
      <c r="V27">
        <f>HYPERLINK("https://klasma.github.io/Logging_1438/klagomål/A 25033-2025 FSC-klagomål.docx", "A 25033-2025")</f>
        <v/>
      </c>
      <c r="W27">
        <f>HYPERLINK("https://klasma.github.io/Logging_1438/klagomålsmail/A 25033-2025 FSC-klagomål mail.docx", "A 25033-2025")</f>
        <v/>
      </c>
      <c r="X27">
        <f>HYPERLINK("https://klasma.github.io/Logging_1438/tillsyn/A 25033-2025 tillsynsbegäran.docx", "A 25033-2025")</f>
        <v/>
      </c>
      <c r="Y27">
        <f>HYPERLINK("https://klasma.github.io/Logging_1438/tillsynsmail/A 25033-2025 tillsynsbegäran mail.docx", "A 25033-2025")</f>
        <v/>
      </c>
    </row>
    <row r="28" ht="15" customHeight="1">
      <c r="A28" t="inlineStr">
        <is>
          <t>A 43908-2024</t>
        </is>
      </c>
      <c r="B28" s="1" t="n">
        <v>45572</v>
      </c>
      <c r="C28" s="1" t="n">
        <v>46144</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27871-2024</t>
        </is>
      </c>
      <c r="B29" s="1" t="n">
        <v>45475.71474537037</v>
      </c>
      <c r="C29" s="1" t="n">
        <v>46144</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47656-2024</t>
        </is>
      </c>
      <c r="B30" s="1" t="n">
        <v>45588.3856712963</v>
      </c>
      <c r="C30" s="1" t="n">
        <v>46144</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172-2024</t>
        </is>
      </c>
      <c r="B31" s="1" t="n">
        <v>45294</v>
      </c>
      <c r="C31" s="1" t="n">
        <v>46144</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43589-2024</t>
        </is>
      </c>
      <c r="B32" s="1" t="n">
        <v>45569.43392361111</v>
      </c>
      <c r="C32" s="1" t="n">
        <v>46144</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27878-2024</t>
        </is>
      </c>
      <c r="B33" s="1" t="n">
        <v>45475.74412037037</v>
      </c>
      <c r="C33" s="1" t="n">
        <v>46144</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27878-2024 artfynd.xlsx", "A 27878-2024")</f>
        <v/>
      </c>
      <c r="T33">
        <f>HYPERLINK("https://klasma.github.io/Logging_1438/kartor/A 27878-2024 karta.png", "A 27878-2024")</f>
        <v/>
      </c>
      <c r="V33">
        <f>HYPERLINK("https://klasma.github.io/Logging_1438/klagomål/A 27878-2024 FSC-klagomål.docx", "A 27878-2024")</f>
        <v/>
      </c>
      <c r="W33">
        <f>HYPERLINK("https://klasma.github.io/Logging_1438/klagomålsmail/A 27878-2024 FSC-klagomål mail.docx", "A 27878-2024")</f>
        <v/>
      </c>
      <c r="X33">
        <f>HYPERLINK("https://klasma.github.io/Logging_1438/tillsyn/A 27878-2024 tillsynsbegäran.docx", "A 27878-2024")</f>
        <v/>
      </c>
      <c r="Y33">
        <f>HYPERLINK("https://klasma.github.io/Logging_1438/tillsynsmail/A 27878-2024 tillsynsbegäran mail.docx", "A 27878-2024")</f>
        <v/>
      </c>
    </row>
    <row r="34" ht="15" customHeight="1">
      <c r="A34" t="inlineStr">
        <is>
          <t>A 14793-2023</t>
        </is>
      </c>
      <c r="B34" s="1" t="n">
        <v>45014.60708333334</v>
      </c>
      <c r="C34" s="1" t="n">
        <v>46144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46144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36436-2023</t>
        </is>
      </c>
      <c r="B36" s="1" t="n">
        <v>45151</v>
      </c>
      <c r="C36" s="1" t="n">
        <v>46144</v>
      </c>
      <c r="D36" t="inlineStr">
        <is>
          <t>VÄSTRA GÖTALANDS LÄN</t>
        </is>
      </c>
      <c r="E36" t="inlineStr">
        <is>
          <t>DALS-ED</t>
        </is>
      </c>
      <c r="G36" t="n">
        <v>27.1</v>
      </c>
      <c r="H36" t="n">
        <v>1</v>
      </c>
      <c r="I36" t="n">
        <v>0</v>
      </c>
      <c r="J36" t="n">
        <v>1</v>
      </c>
      <c r="K36" t="n">
        <v>0</v>
      </c>
      <c r="L36" t="n">
        <v>0</v>
      </c>
      <c r="M36" t="n">
        <v>0</v>
      </c>
      <c r="N36" t="n">
        <v>0</v>
      </c>
      <c r="O36" t="n">
        <v>1</v>
      </c>
      <c r="P36" t="n">
        <v>0</v>
      </c>
      <c r="Q36" t="n">
        <v>1</v>
      </c>
      <c r="R36" s="2" t="inlineStr">
        <is>
          <t>Buskskvätta</t>
        </is>
      </c>
      <c r="S36">
        <f>HYPERLINK("https://klasma.github.io/Logging_1438/artfynd/A 36436-2023 artfynd.xlsx", "A 36436-2023")</f>
        <v/>
      </c>
      <c r="T36">
        <f>HYPERLINK("https://klasma.github.io/Logging_1438/kartor/A 36436-2023 karta.png", "A 36436-2023")</f>
        <v/>
      </c>
      <c r="U36">
        <f>HYPERLINK("https://klasma.github.io/Logging_1438/knärot/A 36436-2023 karta knärot.png", "A 36436-2023")</f>
        <v/>
      </c>
      <c r="V36">
        <f>HYPERLINK("https://klasma.github.io/Logging_1438/klagomål/A 36436-2023 FSC-klagomål.docx", "A 36436-2023")</f>
        <v/>
      </c>
      <c r="W36">
        <f>HYPERLINK("https://klasma.github.io/Logging_1438/klagomålsmail/A 36436-2023 FSC-klagomål mail.docx", "A 36436-2023")</f>
        <v/>
      </c>
      <c r="X36">
        <f>HYPERLINK("https://klasma.github.io/Logging_1438/tillsyn/A 36436-2023 tillsynsbegäran.docx", "A 36436-2023")</f>
        <v/>
      </c>
      <c r="Y36">
        <f>HYPERLINK("https://klasma.github.io/Logging_1438/tillsynsmail/A 36436-2023 tillsynsbegäran mail.docx", "A 36436-2023")</f>
        <v/>
      </c>
      <c r="Z36">
        <f>HYPERLINK("https://klasma.github.io/Logging_1438/fåglar/A 36436-2023 prioriterade fågelarter.docx", "A 36436-2023")</f>
        <v/>
      </c>
    </row>
    <row r="37" ht="15" customHeight="1">
      <c r="A37" t="inlineStr">
        <is>
          <t>A 40355-2022</t>
        </is>
      </c>
      <c r="B37" s="1" t="n">
        <v>44818</v>
      </c>
      <c r="C37" s="1" t="n">
        <v>46144</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4113-2023</t>
        </is>
      </c>
      <c r="B38" s="1" t="n">
        <v>44952</v>
      </c>
      <c r="C38" s="1" t="n">
        <v>46144</v>
      </c>
      <c r="D38" t="inlineStr">
        <is>
          <t>VÄSTRA GÖTALANDS LÄN</t>
        </is>
      </c>
      <c r="E38" t="inlineStr">
        <is>
          <t>DALS-ED</t>
        </is>
      </c>
      <c r="G38" t="n">
        <v>7.9</v>
      </c>
      <c r="H38" t="n">
        <v>0</v>
      </c>
      <c r="I38" t="n">
        <v>0</v>
      </c>
      <c r="J38" t="n">
        <v>0</v>
      </c>
      <c r="K38" t="n">
        <v>1</v>
      </c>
      <c r="L38" t="n">
        <v>0</v>
      </c>
      <c r="M38" t="n">
        <v>0</v>
      </c>
      <c r="N38" t="n">
        <v>0</v>
      </c>
      <c r="O38" t="n">
        <v>1</v>
      </c>
      <c r="P38" t="n">
        <v>1</v>
      </c>
      <c r="Q38" t="n">
        <v>1</v>
      </c>
      <c r="R38" s="2" t="inlineStr">
        <is>
          <t>Slåttergubbe</t>
        </is>
      </c>
      <c r="S38">
        <f>HYPERLINK("https://klasma.github.io/Logging_1438/artfynd/A 4113-2023 artfynd.xlsx", "A 4113-2023")</f>
        <v/>
      </c>
      <c r="T38">
        <f>HYPERLINK("https://klasma.github.io/Logging_1438/kartor/A 4113-2023 karta.png", "A 4113-2023")</f>
        <v/>
      </c>
      <c r="V38">
        <f>HYPERLINK("https://klasma.github.io/Logging_1438/klagomål/A 4113-2023 FSC-klagomål.docx", "A 4113-2023")</f>
        <v/>
      </c>
      <c r="W38">
        <f>HYPERLINK("https://klasma.github.io/Logging_1438/klagomålsmail/A 4113-2023 FSC-klagomål mail.docx", "A 4113-2023")</f>
        <v/>
      </c>
      <c r="X38">
        <f>HYPERLINK("https://klasma.github.io/Logging_1438/tillsyn/A 4113-2023 tillsynsbegäran.docx", "A 4113-2023")</f>
        <v/>
      </c>
      <c r="Y38">
        <f>HYPERLINK("https://klasma.github.io/Logging_1438/tillsynsmail/A 4113-2023 tillsynsbegäran mail.docx", "A 4113-2023")</f>
        <v/>
      </c>
    </row>
    <row r="39" ht="15" customHeight="1">
      <c r="A39" t="inlineStr">
        <is>
          <t>A 61742-2023</t>
        </is>
      </c>
      <c r="B39" s="1" t="n">
        <v>45265</v>
      </c>
      <c r="C39" s="1" t="n">
        <v>46144</v>
      </c>
      <c r="D39" t="inlineStr">
        <is>
          <t>VÄSTRA GÖTALANDS LÄN</t>
        </is>
      </c>
      <c r="E39" t="inlineStr">
        <is>
          <t>DALS-ED</t>
        </is>
      </c>
      <c r="G39" t="n">
        <v>0.6</v>
      </c>
      <c r="H39" t="n">
        <v>0</v>
      </c>
      <c r="I39" t="n">
        <v>1</v>
      </c>
      <c r="J39" t="n">
        <v>0</v>
      </c>
      <c r="K39" t="n">
        <v>0</v>
      </c>
      <c r="L39" t="n">
        <v>0</v>
      </c>
      <c r="M39" t="n">
        <v>0</v>
      </c>
      <c r="N39" t="n">
        <v>0</v>
      </c>
      <c r="O39" t="n">
        <v>0</v>
      </c>
      <c r="P39" t="n">
        <v>0</v>
      </c>
      <c r="Q39" t="n">
        <v>1</v>
      </c>
      <c r="R39" s="2" t="inlineStr">
        <is>
          <t>Björksplintborre</t>
        </is>
      </c>
      <c r="S39">
        <f>HYPERLINK("https://klasma.github.io/Logging_1438/artfynd/A 61742-2023 artfynd.xlsx", "A 61742-2023")</f>
        <v/>
      </c>
      <c r="T39">
        <f>HYPERLINK("https://klasma.github.io/Logging_1438/kartor/A 61742-2023 karta.png", "A 61742-2023")</f>
        <v/>
      </c>
      <c r="V39">
        <f>HYPERLINK("https://klasma.github.io/Logging_1438/klagomål/A 61742-2023 FSC-klagomål.docx", "A 61742-2023")</f>
        <v/>
      </c>
      <c r="W39">
        <f>HYPERLINK("https://klasma.github.io/Logging_1438/klagomålsmail/A 61742-2023 FSC-klagomål mail.docx", "A 61742-2023")</f>
        <v/>
      </c>
      <c r="X39">
        <f>HYPERLINK("https://klasma.github.io/Logging_1438/tillsyn/A 61742-2023 tillsynsbegäran.docx", "A 61742-2023")</f>
        <v/>
      </c>
      <c r="Y39">
        <f>HYPERLINK("https://klasma.github.io/Logging_1438/tillsynsmail/A 61742-2023 tillsynsbegäran mail.docx", "A 61742-2023")</f>
        <v/>
      </c>
    </row>
    <row r="40" ht="15" customHeight="1">
      <c r="A40" t="inlineStr">
        <is>
          <t>A 43216-2023</t>
        </is>
      </c>
      <c r="B40" s="1" t="n">
        <v>45183</v>
      </c>
      <c r="C40" s="1" t="n">
        <v>46144</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25638-2025</t>
        </is>
      </c>
      <c r="B41" s="1" t="n">
        <v>45803.59976851852</v>
      </c>
      <c r="C41" s="1" t="n">
        <v>46144</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46144</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46144</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46144</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46144</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46144</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46144</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46144</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46144</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46144</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46144</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46144</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46144</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46144</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46144</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46144</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46144</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46144</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46144</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46144</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46144</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46144</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46144</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46144</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46144</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46144</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46144</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46144</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46144</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46144</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46144</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7933-2022</t>
        </is>
      </c>
      <c r="B72" s="1" t="n">
        <v>44608</v>
      </c>
      <c r="C72" s="1" t="n">
        <v>46144</v>
      </c>
      <c r="D72" t="inlineStr">
        <is>
          <t>VÄSTRA GÖTALANDS LÄN</t>
        </is>
      </c>
      <c r="E72" t="inlineStr">
        <is>
          <t>DALS-ED</t>
        </is>
      </c>
      <c r="G72" t="n">
        <v>5.2</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46144</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46144</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46144</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46144</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46144</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46144</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46144</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46144</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46144</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46144</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46144</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46144</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46144</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59815-2023</t>
        </is>
      </c>
      <c r="B86" s="1" t="n">
        <v>45257</v>
      </c>
      <c r="C86" s="1" t="n">
        <v>46144</v>
      </c>
      <c r="D86" t="inlineStr">
        <is>
          <t>VÄSTRA GÖTALANDS LÄN</t>
        </is>
      </c>
      <c r="E86" t="inlineStr">
        <is>
          <t>DALS-ED</t>
        </is>
      </c>
      <c r="G86" t="n">
        <v>1.1</v>
      </c>
      <c r="H86" t="n">
        <v>0</v>
      </c>
      <c r="I86" t="n">
        <v>0</v>
      </c>
      <c r="J86" t="n">
        <v>0</v>
      </c>
      <c r="K86" t="n">
        <v>0</v>
      </c>
      <c r="L86" t="n">
        <v>0</v>
      </c>
      <c r="M86" t="n">
        <v>0</v>
      </c>
      <c r="N86" t="n">
        <v>0</v>
      </c>
      <c r="O86" t="n">
        <v>0</v>
      </c>
      <c r="P86" t="n">
        <v>0</v>
      </c>
      <c r="Q86" t="n">
        <v>0</v>
      </c>
      <c r="R86" s="2" t="inlineStr"/>
    </row>
    <row r="87" ht="15" customHeight="1">
      <c r="A87" t="inlineStr">
        <is>
          <t>A 17144-2024</t>
        </is>
      </c>
      <c r="B87" s="1" t="n">
        <v>45412.63944444444</v>
      </c>
      <c r="C87" s="1" t="n">
        <v>46144</v>
      </c>
      <c r="D87" t="inlineStr">
        <is>
          <t>VÄSTRA GÖTALANDS LÄN</t>
        </is>
      </c>
      <c r="E87" t="inlineStr">
        <is>
          <t>DALS-ED</t>
        </is>
      </c>
      <c r="G87" t="n">
        <v>0.4</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46144</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46144</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46144</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9382-2024</t>
        </is>
      </c>
      <c r="B91" s="1" t="n">
        <v>45359.37732638889</v>
      </c>
      <c r="C91" s="1" t="n">
        <v>46144</v>
      </c>
      <c r="D91" t="inlineStr">
        <is>
          <t>VÄSTRA GÖTALANDS LÄN</t>
        </is>
      </c>
      <c r="E91" t="inlineStr">
        <is>
          <t>DALS-ED</t>
        </is>
      </c>
      <c r="G91" t="n">
        <v>0.9</v>
      </c>
      <c r="H91" t="n">
        <v>0</v>
      </c>
      <c r="I91" t="n">
        <v>0</v>
      </c>
      <c r="J91" t="n">
        <v>0</v>
      </c>
      <c r="K91" t="n">
        <v>0</v>
      </c>
      <c r="L91" t="n">
        <v>0</v>
      </c>
      <c r="M91" t="n">
        <v>0</v>
      </c>
      <c r="N91" t="n">
        <v>0</v>
      </c>
      <c r="O91" t="n">
        <v>0</v>
      </c>
      <c r="P91" t="n">
        <v>0</v>
      </c>
      <c r="Q91" t="n">
        <v>0</v>
      </c>
      <c r="R91" s="2" t="inlineStr"/>
    </row>
    <row r="92" ht="15" customHeight="1">
      <c r="A92" t="inlineStr">
        <is>
          <t>A 52277-2023</t>
        </is>
      </c>
      <c r="B92" s="1" t="n">
        <v>45217</v>
      </c>
      <c r="C92" s="1" t="n">
        <v>46144</v>
      </c>
      <c r="D92" t="inlineStr">
        <is>
          <t>VÄSTRA GÖTALANDS LÄN</t>
        </is>
      </c>
      <c r="E92" t="inlineStr">
        <is>
          <t>DALS-ED</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21140-2024</t>
        </is>
      </c>
      <c r="B93" s="1" t="n">
        <v>45440.38983796296</v>
      </c>
      <c r="C93" s="1" t="n">
        <v>46144</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21148-2024</t>
        </is>
      </c>
      <c r="B94" s="1" t="n">
        <v>45440.40162037037</v>
      </c>
      <c r="C94" s="1" t="n">
        <v>46144</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19171-2024</t>
        </is>
      </c>
      <c r="B95" s="1" t="n">
        <v>45428.46391203703</v>
      </c>
      <c r="C95" s="1" t="n">
        <v>46144</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21864-2024</t>
        </is>
      </c>
      <c r="B96" s="1" t="n">
        <v>45443</v>
      </c>
      <c r="C96" s="1" t="n">
        <v>46144</v>
      </c>
      <c r="D96" t="inlineStr">
        <is>
          <t>VÄSTRA GÖTALANDS LÄN</t>
        </is>
      </c>
      <c r="E96" t="inlineStr">
        <is>
          <t>DALS-ED</t>
        </is>
      </c>
      <c r="F96" t="inlineStr">
        <is>
          <t>Kyrkan</t>
        </is>
      </c>
      <c r="G96" t="n">
        <v>3.8</v>
      </c>
      <c r="H96" t="n">
        <v>0</v>
      </c>
      <c r="I96" t="n">
        <v>0</v>
      </c>
      <c r="J96" t="n">
        <v>0</v>
      </c>
      <c r="K96" t="n">
        <v>0</v>
      </c>
      <c r="L96" t="n">
        <v>0</v>
      </c>
      <c r="M96" t="n">
        <v>0</v>
      </c>
      <c r="N96" t="n">
        <v>0</v>
      </c>
      <c r="O96" t="n">
        <v>0</v>
      </c>
      <c r="P96" t="n">
        <v>0</v>
      </c>
      <c r="Q96" t="n">
        <v>0</v>
      </c>
      <c r="R96" s="2" t="inlineStr"/>
    </row>
    <row r="97" ht="15" customHeight="1">
      <c r="A97" t="inlineStr">
        <is>
          <t>A 34760-2021</t>
        </is>
      </c>
      <c r="B97" s="1" t="n">
        <v>44382</v>
      </c>
      <c r="C97" s="1" t="n">
        <v>46144</v>
      </c>
      <c r="D97" t="inlineStr">
        <is>
          <t>VÄSTRA GÖTALANDS LÄN</t>
        </is>
      </c>
      <c r="E97" t="inlineStr">
        <is>
          <t>DALS-ED</t>
        </is>
      </c>
      <c r="G97" t="n">
        <v>0.2</v>
      </c>
      <c r="H97" t="n">
        <v>0</v>
      </c>
      <c r="I97" t="n">
        <v>0</v>
      </c>
      <c r="J97" t="n">
        <v>0</v>
      </c>
      <c r="K97" t="n">
        <v>0</v>
      </c>
      <c r="L97" t="n">
        <v>0</v>
      </c>
      <c r="M97" t="n">
        <v>0</v>
      </c>
      <c r="N97" t="n">
        <v>0</v>
      </c>
      <c r="O97" t="n">
        <v>0</v>
      </c>
      <c r="P97" t="n">
        <v>0</v>
      </c>
      <c r="Q97" t="n">
        <v>0</v>
      </c>
      <c r="R97" s="2" t="inlineStr"/>
    </row>
    <row r="98" ht="15" customHeight="1">
      <c r="A98" t="inlineStr">
        <is>
          <t>A 51701-2021</t>
        </is>
      </c>
      <c r="B98" s="1" t="n">
        <v>44462</v>
      </c>
      <c r="C98" s="1" t="n">
        <v>46144</v>
      </c>
      <c r="D98" t="inlineStr">
        <is>
          <t>VÄSTRA GÖTALANDS LÄN</t>
        </is>
      </c>
      <c r="E98" t="inlineStr">
        <is>
          <t>DALS-ED</t>
        </is>
      </c>
      <c r="G98" t="n">
        <v>3.5</v>
      </c>
      <c r="H98" t="n">
        <v>0</v>
      </c>
      <c r="I98" t="n">
        <v>0</v>
      </c>
      <c r="J98" t="n">
        <v>0</v>
      </c>
      <c r="K98" t="n">
        <v>0</v>
      </c>
      <c r="L98" t="n">
        <v>0</v>
      </c>
      <c r="M98" t="n">
        <v>0</v>
      </c>
      <c r="N98" t="n">
        <v>0</v>
      </c>
      <c r="O98" t="n">
        <v>0</v>
      </c>
      <c r="P98" t="n">
        <v>0</v>
      </c>
      <c r="Q98" t="n">
        <v>0</v>
      </c>
      <c r="R98" s="2" t="inlineStr"/>
    </row>
    <row r="99" ht="15" customHeight="1">
      <c r="A99" t="inlineStr">
        <is>
          <t>A 57262-2022</t>
        </is>
      </c>
      <c r="B99" s="1" t="n">
        <v>44895</v>
      </c>
      <c r="C99" s="1" t="n">
        <v>46144</v>
      </c>
      <c r="D99" t="inlineStr">
        <is>
          <t>VÄSTRA GÖTALANDS LÄN</t>
        </is>
      </c>
      <c r="E99" t="inlineStr">
        <is>
          <t>DALS-ED</t>
        </is>
      </c>
      <c r="F99" t="inlineStr">
        <is>
          <t>Kommuner</t>
        </is>
      </c>
      <c r="G99" t="n">
        <v>0.5</v>
      </c>
      <c r="H99" t="n">
        <v>0</v>
      </c>
      <c r="I99" t="n">
        <v>0</v>
      </c>
      <c r="J99" t="n">
        <v>0</v>
      </c>
      <c r="K99" t="n">
        <v>0</v>
      </c>
      <c r="L99" t="n">
        <v>0</v>
      </c>
      <c r="M99" t="n">
        <v>0</v>
      </c>
      <c r="N99" t="n">
        <v>0</v>
      </c>
      <c r="O99" t="n">
        <v>0</v>
      </c>
      <c r="P99" t="n">
        <v>0</v>
      </c>
      <c r="Q99" t="n">
        <v>0</v>
      </c>
      <c r="R99" s="2" t="inlineStr"/>
    </row>
    <row r="100" ht="15" customHeight="1">
      <c r="A100" t="inlineStr">
        <is>
          <t>A 40354-2022</t>
        </is>
      </c>
      <c r="B100" s="1" t="n">
        <v>44823.37871527778</v>
      </c>
      <c r="C100" s="1" t="n">
        <v>46144</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42979-2022</t>
        </is>
      </c>
      <c r="B101" s="1" t="n">
        <v>44833.46141203704</v>
      </c>
      <c r="C101" s="1" t="n">
        <v>46144</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32082-2023</t>
        </is>
      </c>
      <c r="B102" s="1" t="n">
        <v>45119.59131944444</v>
      </c>
      <c r="C102" s="1" t="n">
        <v>46144</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15363-2024</t>
        </is>
      </c>
      <c r="B103" s="1" t="n">
        <v>45400.9152662037</v>
      </c>
      <c r="C103" s="1" t="n">
        <v>46144</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64177-2023</t>
        </is>
      </c>
      <c r="B104" s="1" t="n">
        <v>45279</v>
      </c>
      <c r="C104" s="1" t="n">
        <v>46144</v>
      </c>
      <c r="D104" t="inlineStr">
        <is>
          <t>VÄSTRA GÖTALANDS LÄN</t>
        </is>
      </c>
      <c r="E104" t="inlineStr">
        <is>
          <t>DALS-ED</t>
        </is>
      </c>
      <c r="F104" t="inlineStr">
        <is>
          <t>Bergvik skog väst AB</t>
        </is>
      </c>
      <c r="G104" t="n">
        <v>18.6</v>
      </c>
      <c r="H104" t="n">
        <v>0</v>
      </c>
      <c r="I104" t="n">
        <v>0</v>
      </c>
      <c r="J104" t="n">
        <v>0</v>
      </c>
      <c r="K104" t="n">
        <v>0</v>
      </c>
      <c r="L104" t="n">
        <v>0</v>
      </c>
      <c r="M104" t="n">
        <v>0</v>
      </c>
      <c r="N104" t="n">
        <v>0</v>
      </c>
      <c r="O104" t="n">
        <v>0</v>
      </c>
      <c r="P104" t="n">
        <v>0</v>
      </c>
      <c r="Q104" t="n">
        <v>0</v>
      </c>
      <c r="R104" s="2" t="inlineStr"/>
    </row>
    <row r="105" ht="15" customHeight="1">
      <c r="A105" t="inlineStr">
        <is>
          <t>A 23695-2024</t>
        </is>
      </c>
      <c r="B105" s="1" t="n">
        <v>45454.66747685185</v>
      </c>
      <c r="C105" s="1" t="n">
        <v>46144</v>
      </c>
      <c r="D105" t="inlineStr">
        <is>
          <t>VÄSTRA GÖTALANDS LÄN</t>
        </is>
      </c>
      <c r="E105" t="inlineStr">
        <is>
          <t>DALS-ED</t>
        </is>
      </c>
      <c r="F105" t="inlineStr">
        <is>
          <t>Kyrkan</t>
        </is>
      </c>
      <c r="G105" t="n">
        <v>2.9</v>
      </c>
      <c r="H105" t="n">
        <v>0</v>
      </c>
      <c r="I105" t="n">
        <v>0</v>
      </c>
      <c r="J105" t="n">
        <v>0</v>
      </c>
      <c r="K105" t="n">
        <v>0</v>
      </c>
      <c r="L105" t="n">
        <v>0</v>
      </c>
      <c r="M105" t="n">
        <v>0</v>
      </c>
      <c r="N105" t="n">
        <v>0</v>
      </c>
      <c r="O105" t="n">
        <v>0</v>
      </c>
      <c r="P105" t="n">
        <v>0</v>
      </c>
      <c r="Q105" t="n">
        <v>0</v>
      </c>
      <c r="R105" s="2" t="inlineStr"/>
    </row>
    <row r="106" ht="15" customHeight="1">
      <c r="A106" t="inlineStr">
        <is>
          <t>A 28588-2024</t>
        </is>
      </c>
      <c r="B106" s="1" t="n">
        <v>45478.41396990741</v>
      </c>
      <c r="C106" s="1" t="n">
        <v>46144</v>
      </c>
      <c r="D106" t="inlineStr">
        <is>
          <t>VÄSTRA GÖTALANDS LÄN</t>
        </is>
      </c>
      <c r="E106" t="inlineStr">
        <is>
          <t>DALS-ED</t>
        </is>
      </c>
      <c r="G106" t="n">
        <v>5.1</v>
      </c>
      <c r="H106" t="n">
        <v>0</v>
      </c>
      <c r="I106" t="n">
        <v>0</v>
      </c>
      <c r="J106" t="n">
        <v>0</v>
      </c>
      <c r="K106" t="n">
        <v>0</v>
      </c>
      <c r="L106" t="n">
        <v>0</v>
      </c>
      <c r="M106" t="n">
        <v>0</v>
      </c>
      <c r="N106" t="n">
        <v>0</v>
      </c>
      <c r="O106" t="n">
        <v>0</v>
      </c>
      <c r="P106" t="n">
        <v>0</v>
      </c>
      <c r="Q106" t="n">
        <v>0</v>
      </c>
      <c r="R106" s="2" t="inlineStr"/>
    </row>
    <row r="107" ht="15" customHeight="1">
      <c r="A107" t="inlineStr">
        <is>
          <t>A 35887-2024</t>
        </is>
      </c>
      <c r="B107" s="1" t="n">
        <v>45533.35982638889</v>
      </c>
      <c r="C107" s="1" t="n">
        <v>46144</v>
      </c>
      <c r="D107" t="inlineStr">
        <is>
          <t>VÄSTRA GÖTALANDS LÄN</t>
        </is>
      </c>
      <c r="E107" t="inlineStr">
        <is>
          <t>DALS-ED</t>
        </is>
      </c>
      <c r="G107" t="n">
        <v>3.2</v>
      </c>
      <c r="H107" t="n">
        <v>0</v>
      </c>
      <c r="I107" t="n">
        <v>0</v>
      </c>
      <c r="J107" t="n">
        <v>0</v>
      </c>
      <c r="K107" t="n">
        <v>0</v>
      </c>
      <c r="L107" t="n">
        <v>0</v>
      </c>
      <c r="M107" t="n">
        <v>0</v>
      </c>
      <c r="N107" t="n">
        <v>0</v>
      </c>
      <c r="O107" t="n">
        <v>0</v>
      </c>
      <c r="P107" t="n">
        <v>0</v>
      </c>
      <c r="Q107" t="n">
        <v>0</v>
      </c>
      <c r="R107" s="2" t="inlineStr"/>
    </row>
    <row r="108" ht="15" customHeight="1">
      <c r="A108" t="inlineStr">
        <is>
          <t>A 6817-2024</t>
        </is>
      </c>
      <c r="B108" s="1" t="n">
        <v>45342</v>
      </c>
      <c r="C108" s="1" t="n">
        <v>46144</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2280-2023</t>
        </is>
      </c>
      <c r="B109" s="1" t="n">
        <v>44942.51903935185</v>
      </c>
      <c r="C109" s="1" t="n">
        <v>46144</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57105-2022</t>
        </is>
      </c>
      <c r="B110" s="1" t="n">
        <v>44895.50105324074</v>
      </c>
      <c r="C110" s="1" t="n">
        <v>46144</v>
      </c>
      <c r="D110" t="inlineStr">
        <is>
          <t>VÄSTRA GÖTALANDS LÄN</t>
        </is>
      </c>
      <c r="E110" t="inlineStr">
        <is>
          <t>DALS-ED</t>
        </is>
      </c>
      <c r="G110" t="n">
        <v>11.4</v>
      </c>
      <c r="H110" t="n">
        <v>0</v>
      </c>
      <c r="I110" t="n">
        <v>0</v>
      </c>
      <c r="J110" t="n">
        <v>0</v>
      </c>
      <c r="K110" t="n">
        <v>0</v>
      </c>
      <c r="L110" t="n">
        <v>0</v>
      </c>
      <c r="M110" t="n">
        <v>0</v>
      </c>
      <c r="N110" t="n">
        <v>0</v>
      </c>
      <c r="O110" t="n">
        <v>0</v>
      </c>
      <c r="P110" t="n">
        <v>0</v>
      </c>
      <c r="Q110" t="n">
        <v>0</v>
      </c>
      <c r="R110" s="2" t="inlineStr"/>
    </row>
    <row r="111" ht="15" customHeight="1">
      <c r="A111" t="inlineStr">
        <is>
          <t>A 38412-2024</t>
        </is>
      </c>
      <c r="B111" s="1" t="n">
        <v>45546.34902777777</v>
      </c>
      <c r="C111" s="1" t="n">
        <v>46144</v>
      </c>
      <c r="D111" t="inlineStr">
        <is>
          <t>VÄSTRA GÖTALANDS LÄN</t>
        </is>
      </c>
      <c r="E111" t="inlineStr">
        <is>
          <t>DALS-ED</t>
        </is>
      </c>
      <c r="G111" t="n">
        <v>3</v>
      </c>
      <c r="H111" t="n">
        <v>0</v>
      </c>
      <c r="I111" t="n">
        <v>0</v>
      </c>
      <c r="J111" t="n">
        <v>0</v>
      </c>
      <c r="K111" t="n">
        <v>0</v>
      </c>
      <c r="L111" t="n">
        <v>0</v>
      </c>
      <c r="M111" t="n">
        <v>0</v>
      </c>
      <c r="N111" t="n">
        <v>0</v>
      </c>
      <c r="O111" t="n">
        <v>0</v>
      </c>
      <c r="P111" t="n">
        <v>0</v>
      </c>
      <c r="Q111" t="n">
        <v>0</v>
      </c>
      <c r="R111" s="2" t="inlineStr"/>
    </row>
    <row r="112" ht="15" customHeight="1">
      <c r="A112" t="inlineStr">
        <is>
          <t>A 28714-2024</t>
        </is>
      </c>
      <c r="B112" s="1" t="n">
        <v>45478.53525462963</v>
      </c>
      <c r="C112" s="1" t="n">
        <v>46144</v>
      </c>
      <c r="D112" t="inlineStr">
        <is>
          <t>VÄSTRA GÖTALANDS LÄN</t>
        </is>
      </c>
      <c r="E112" t="inlineStr">
        <is>
          <t>DALS-ED</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27876-2024</t>
        </is>
      </c>
      <c r="B113" s="1" t="n">
        <v>45475.72972222222</v>
      </c>
      <c r="C113" s="1" t="n">
        <v>46144</v>
      </c>
      <c r="D113" t="inlineStr">
        <is>
          <t>VÄSTRA GÖTALANDS LÄN</t>
        </is>
      </c>
      <c r="E113" t="inlineStr">
        <is>
          <t>DALS-ED</t>
        </is>
      </c>
      <c r="G113" t="n">
        <v>1.3</v>
      </c>
      <c r="H113" t="n">
        <v>0</v>
      </c>
      <c r="I113" t="n">
        <v>0</v>
      </c>
      <c r="J113" t="n">
        <v>0</v>
      </c>
      <c r="K113" t="n">
        <v>0</v>
      </c>
      <c r="L113" t="n">
        <v>0</v>
      </c>
      <c r="M113" t="n">
        <v>0</v>
      </c>
      <c r="N113" t="n">
        <v>0</v>
      </c>
      <c r="O113" t="n">
        <v>0</v>
      </c>
      <c r="P113" t="n">
        <v>0</v>
      </c>
      <c r="Q113" t="n">
        <v>0</v>
      </c>
      <c r="R113" s="2" t="inlineStr"/>
    </row>
    <row r="114" ht="15" customHeight="1">
      <c r="A114" t="inlineStr">
        <is>
          <t>A 27877-2024</t>
        </is>
      </c>
      <c r="B114" s="1" t="n">
        <v>45475.73616898148</v>
      </c>
      <c r="C114" s="1" t="n">
        <v>46144</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58590-2024</t>
        </is>
      </c>
      <c r="B115" s="1" t="n">
        <v>45632</v>
      </c>
      <c r="C115" s="1" t="n">
        <v>46144</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57701-2023</t>
        </is>
      </c>
      <c r="B116" s="1" t="n">
        <v>45246.67354166666</v>
      </c>
      <c r="C116" s="1" t="n">
        <v>46144</v>
      </c>
      <c r="D116" t="inlineStr">
        <is>
          <t>VÄSTRA GÖTALANDS LÄN</t>
        </is>
      </c>
      <c r="E116" t="inlineStr">
        <is>
          <t>DALS-ED</t>
        </is>
      </c>
      <c r="G116" t="n">
        <v>1.1</v>
      </c>
      <c r="H116" t="n">
        <v>0</v>
      </c>
      <c r="I116" t="n">
        <v>0</v>
      </c>
      <c r="J116" t="n">
        <v>0</v>
      </c>
      <c r="K116" t="n">
        <v>0</v>
      </c>
      <c r="L116" t="n">
        <v>0</v>
      </c>
      <c r="M116" t="n">
        <v>0</v>
      </c>
      <c r="N116" t="n">
        <v>0</v>
      </c>
      <c r="O116" t="n">
        <v>0</v>
      </c>
      <c r="P116" t="n">
        <v>0</v>
      </c>
      <c r="Q116" t="n">
        <v>0</v>
      </c>
      <c r="R116" s="2" t="inlineStr"/>
    </row>
    <row r="117" ht="15" customHeight="1">
      <c r="A117" t="inlineStr">
        <is>
          <t>A 52860-2022</t>
        </is>
      </c>
      <c r="B117" s="1" t="n">
        <v>44875.48599537037</v>
      </c>
      <c r="C117" s="1" t="n">
        <v>46144</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60146-2022</t>
        </is>
      </c>
      <c r="B118" s="1" t="n">
        <v>44902</v>
      </c>
      <c r="C118" s="1" t="n">
        <v>46144</v>
      </c>
      <c r="D118" t="inlineStr">
        <is>
          <t>VÄSTRA GÖTALANDS LÄN</t>
        </is>
      </c>
      <c r="E118" t="inlineStr">
        <is>
          <t>DALS-ED</t>
        </is>
      </c>
      <c r="G118" t="n">
        <v>1.5</v>
      </c>
      <c r="H118" t="n">
        <v>0</v>
      </c>
      <c r="I118" t="n">
        <v>0</v>
      </c>
      <c r="J118" t="n">
        <v>0</v>
      </c>
      <c r="K118" t="n">
        <v>0</v>
      </c>
      <c r="L118" t="n">
        <v>0</v>
      </c>
      <c r="M118" t="n">
        <v>0</v>
      </c>
      <c r="N118" t="n">
        <v>0</v>
      </c>
      <c r="O118" t="n">
        <v>0</v>
      </c>
      <c r="P118" t="n">
        <v>0</v>
      </c>
      <c r="Q118" t="n">
        <v>0</v>
      </c>
      <c r="R118" s="2" t="inlineStr"/>
    </row>
    <row r="119" ht="15" customHeight="1">
      <c r="A119" t="inlineStr">
        <is>
          <t>A 6570-2022</t>
        </is>
      </c>
      <c r="B119" s="1" t="n">
        <v>44601.60956018518</v>
      </c>
      <c r="C119" s="1" t="n">
        <v>46144</v>
      </c>
      <c r="D119" t="inlineStr">
        <is>
          <t>VÄSTRA GÖTALANDS LÄN</t>
        </is>
      </c>
      <c r="E119" t="inlineStr">
        <is>
          <t>DALS-ED</t>
        </is>
      </c>
      <c r="G119" t="n">
        <v>2.9</v>
      </c>
      <c r="H119" t="n">
        <v>0</v>
      </c>
      <c r="I119" t="n">
        <v>0</v>
      </c>
      <c r="J119" t="n">
        <v>0</v>
      </c>
      <c r="K119" t="n">
        <v>0</v>
      </c>
      <c r="L119" t="n">
        <v>0</v>
      </c>
      <c r="M119" t="n">
        <v>0</v>
      </c>
      <c r="N119" t="n">
        <v>0</v>
      </c>
      <c r="O119" t="n">
        <v>0</v>
      </c>
      <c r="P119" t="n">
        <v>0</v>
      </c>
      <c r="Q119" t="n">
        <v>0</v>
      </c>
      <c r="R119" s="2" t="inlineStr"/>
    </row>
    <row r="120" ht="15" customHeight="1">
      <c r="A120" t="inlineStr">
        <is>
          <t>A 60106-2022</t>
        </is>
      </c>
      <c r="B120" s="1" t="n">
        <v>44909.63509259259</v>
      </c>
      <c r="C120" s="1" t="n">
        <v>46144</v>
      </c>
      <c r="D120" t="inlineStr">
        <is>
          <t>VÄSTRA GÖTALANDS LÄN</t>
        </is>
      </c>
      <c r="E120" t="inlineStr">
        <is>
          <t>DALS-ED</t>
        </is>
      </c>
      <c r="G120" t="n">
        <v>3.7</v>
      </c>
      <c r="H120" t="n">
        <v>0</v>
      </c>
      <c r="I120" t="n">
        <v>0</v>
      </c>
      <c r="J120" t="n">
        <v>0</v>
      </c>
      <c r="K120" t="n">
        <v>0</v>
      </c>
      <c r="L120" t="n">
        <v>0</v>
      </c>
      <c r="M120" t="n">
        <v>0</v>
      </c>
      <c r="N120" t="n">
        <v>0</v>
      </c>
      <c r="O120" t="n">
        <v>0</v>
      </c>
      <c r="P120" t="n">
        <v>0</v>
      </c>
      <c r="Q120" t="n">
        <v>0</v>
      </c>
      <c r="R120" s="2" t="inlineStr"/>
    </row>
    <row r="121" ht="15" customHeight="1">
      <c r="A121" t="inlineStr">
        <is>
          <t>A 58199-2022</t>
        </is>
      </c>
      <c r="B121" s="1" t="n">
        <v>44901.30459490741</v>
      </c>
      <c r="C121" s="1" t="n">
        <v>46144</v>
      </c>
      <c r="D121" t="inlineStr">
        <is>
          <t>VÄSTRA GÖTALANDS LÄN</t>
        </is>
      </c>
      <c r="E121" t="inlineStr">
        <is>
          <t>DALS-ED</t>
        </is>
      </c>
      <c r="G121" t="n">
        <v>5.6</v>
      </c>
      <c r="H121" t="n">
        <v>0</v>
      </c>
      <c r="I121" t="n">
        <v>0</v>
      </c>
      <c r="J121" t="n">
        <v>0</v>
      </c>
      <c r="K121" t="n">
        <v>0</v>
      </c>
      <c r="L121" t="n">
        <v>0</v>
      </c>
      <c r="M121" t="n">
        <v>0</v>
      </c>
      <c r="N121" t="n">
        <v>0</v>
      </c>
      <c r="O121" t="n">
        <v>0</v>
      </c>
      <c r="P121" t="n">
        <v>0</v>
      </c>
      <c r="Q121" t="n">
        <v>0</v>
      </c>
      <c r="R121" s="2" t="inlineStr"/>
    </row>
    <row r="122" ht="15" customHeight="1">
      <c r="A122" t="inlineStr">
        <is>
          <t>A 49863-2024</t>
        </is>
      </c>
      <c r="B122" s="1" t="n">
        <v>45597</v>
      </c>
      <c r="C122" s="1" t="n">
        <v>46144</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13581-2022</t>
        </is>
      </c>
      <c r="B123" s="1" t="n">
        <v>44648.46975694445</v>
      </c>
      <c r="C123" s="1" t="n">
        <v>46144</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47311-2023</t>
        </is>
      </c>
      <c r="B124" s="1" t="n">
        <v>45202.49175925926</v>
      </c>
      <c r="C124" s="1" t="n">
        <v>46144</v>
      </c>
      <c r="D124" t="inlineStr">
        <is>
          <t>VÄSTRA GÖTALANDS LÄN</t>
        </is>
      </c>
      <c r="E124" t="inlineStr">
        <is>
          <t>DALS-ED</t>
        </is>
      </c>
      <c r="G124" t="n">
        <v>2.8</v>
      </c>
      <c r="H124" t="n">
        <v>0</v>
      </c>
      <c r="I124" t="n">
        <v>0</v>
      </c>
      <c r="J124" t="n">
        <v>0</v>
      </c>
      <c r="K124" t="n">
        <v>0</v>
      </c>
      <c r="L124" t="n">
        <v>0</v>
      </c>
      <c r="M124" t="n">
        <v>0</v>
      </c>
      <c r="N124" t="n">
        <v>0</v>
      </c>
      <c r="O124" t="n">
        <v>0</v>
      </c>
      <c r="P124" t="n">
        <v>0</v>
      </c>
      <c r="Q124" t="n">
        <v>0</v>
      </c>
      <c r="R124" s="2" t="inlineStr"/>
    </row>
    <row r="125" ht="15" customHeight="1">
      <c r="A125" t="inlineStr">
        <is>
          <t>A 60590-2024</t>
        </is>
      </c>
      <c r="B125" s="1" t="n">
        <v>45644.35127314815</v>
      </c>
      <c r="C125" s="1" t="n">
        <v>46144</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47828-2022</t>
        </is>
      </c>
      <c r="B126" s="1" t="n">
        <v>44855</v>
      </c>
      <c r="C126" s="1" t="n">
        <v>46144</v>
      </c>
      <c r="D126" t="inlineStr">
        <is>
          <t>VÄSTRA GÖTALANDS LÄN</t>
        </is>
      </c>
      <c r="E126" t="inlineStr">
        <is>
          <t>DALS-ED</t>
        </is>
      </c>
      <c r="G126" t="n">
        <v>0.4</v>
      </c>
      <c r="H126" t="n">
        <v>0</v>
      </c>
      <c r="I126" t="n">
        <v>0</v>
      </c>
      <c r="J126" t="n">
        <v>0</v>
      </c>
      <c r="K126" t="n">
        <v>0</v>
      </c>
      <c r="L126" t="n">
        <v>0</v>
      </c>
      <c r="M126" t="n">
        <v>0</v>
      </c>
      <c r="N126" t="n">
        <v>0</v>
      </c>
      <c r="O126" t="n">
        <v>0</v>
      </c>
      <c r="P126" t="n">
        <v>0</v>
      </c>
      <c r="Q126" t="n">
        <v>0</v>
      </c>
      <c r="R126" s="2" t="inlineStr"/>
    </row>
    <row r="127" ht="15" customHeight="1">
      <c r="A127" t="inlineStr">
        <is>
          <t>A 4114-2023</t>
        </is>
      </c>
      <c r="B127" s="1" t="n">
        <v>44952</v>
      </c>
      <c r="C127" s="1" t="n">
        <v>46144</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51020-2024</t>
        </is>
      </c>
      <c r="B128" s="1" t="n">
        <v>45603.408125</v>
      </c>
      <c r="C128" s="1" t="n">
        <v>46144</v>
      </c>
      <c r="D128" t="inlineStr">
        <is>
          <t>VÄSTRA GÖTALANDS LÄN</t>
        </is>
      </c>
      <c r="E128" t="inlineStr">
        <is>
          <t>DALS-ED</t>
        </is>
      </c>
      <c r="G128" t="n">
        <v>3.1</v>
      </c>
      <c r="H128" t="n">
        <v>0</v>
      </c>
      <c r="I128" t="n">
        <v>0</v>
      </c>
      <c r="J128" t="n">
        <v>0</v>
      </c>
      <c r="K128" t="n">
        <v>0</v>
      </c>
      <c r="L128" t="n">
        <v>0</v>
      </c>
      <c r="M128" t="n">
        <v>0</v>
      </c>
      <c r="N128" t="n">
        <v>0</v>
      </c>
      <c r="O128" t="n">
        <v>0</v>
      </c>
      <c r="P128" t="n">
        <v>0</v>
      </c>
      <c r="Q128" t="n">
        <v>0</v>
      </c>
      <c r="R128" s="2" t="inlineStr"/>
    </row>
    <row r="129" ht="15" customHeight="1">
      <c r="A129" t="inlineStr">
        <is>
          <t>A 6368-2022</t>
        </is>
      </c>
      <c r="B129" s="1" t="n">
        <v>44600</v>
      </c>
      <c r="C129" s="1" t="n">
        <v>46144</v>
      </c>
      <c r="D129" t="inlineStr">
        <is>
          <t>VÄSTRA GÖTALANDS LÄN</t>
        </is>
      </c>
      <c r="E129" t="inlineStr">
        <is>
          <t>DALS-ED</t>
        </is>
      </c>
      <c r="F129" t="inlineStr">
        <is>
          <t>Kyrkan</t>
        </is>
      </c>
      <c r="G129" t="n">
        <v>7</v>
      </c>
      <c r="H129" t="n">
        <v>0</v>
      </c>
      <c r="I129" t="n">
        <v>0</v>
      </c>
      <c r="J129" t="n">
        <v>0</v>
      </c>
      <c r="K129" t="n">
        <v>0</v>
      </c>
      <c r="L129" t="n">
        <v>0</v>
      </c>
      <c r="M129" t="n">
        <v>0</v>
      </c>
      <c r="N129" t="n">
        <v>0</v>
      </c>
      <c r="O129" t="n">
        <v>0</v>
      </c>
      <c r="P129" t="n">
        <v>0</v>
      </c>
      <c r="Q129" t="n">
        <v>0</v>
      </c>
      <c r="R129" s="2" t="inlineStr"/>
    </row>
    <row r="130" ht="15" customHeight="1">
      <c r="A130" t="inlineStr">
        <is>
          <t>A 31909-2023</t>
        </is>
      </c>
      <c r="B130" s="1" t="n">
        <v>45118.91273148148</v>
      </c>
      <c r="C130" s="1" t="n">
        <v>46144</v>
      </c>
      <c r="D130" t="inlineStr">
        <is>
          <t>VÄSTRA GÖTALANDS LÄN</t>
        </is>
      </c>
      <c r="E130" t="inlineStr">
        <is>
          <t>DALS-ED</t>
        </is>
      </c>
      <c r="G130" t="n">
        <v>6.1</v>
      </c>
      <c r="H130" t="n">
        <v>0</v>
      </c>
      <c r="I130" t="n">
        <v>0</v>
      </c>
      <c r="J130" t="n">
        <v>0</v>
      </c>
      <c r="K130" t="n">
        <v>0</v>
      </c>
      <c r="L130" t="n">
        <v>0</v>
      </c>
      <c r="M130" t="n">
        <v>0</v>
      </c>
      <c r="N130" t="n">
        <v>0</v>
      </c>
      <c r="O130" t="n">
        <v>0</v>
      </c>
      <c r="P130" t="n">
        <v>0</v>
      </c>
      <c r="Q130" t="n">
        <v>0</v>
      </c>
      <c r="R130" s="2" t="inlineStr"/>
    </row>
    <row r="131" ht="15" customHeight="1">
      <c r="A131" t="inlineStr">
        <is>
          <t>A 42440-2024</t>
        </is>
      </c>
      <c r="B131" s="1" t="n">
        <v>45565.42386574074</v>
      </c>
      <c r="C131" s="1" t="n">
        <v>46144</v>
      </c>
      <c r="D131" t="inlineStr">
        <is>
          <t>VÄSTRA GÖTALANDS LÄN</t>
        </is>
      </c>
      <c r="E131" t="inlineStr">
        <is>
          <t>DALS-ED</t>
        </is>
      </c>
      <c r="G131" t="n">
        <v>9</v>
      </c>
      <c r="H131" t="n">
        <v>0</v>
      </c>
      <c r="I131" t="n">
        <v>0</v>
      </c>
      <c r="J131" t="n">
        <v>0</v>
      </c>
      <c r="K131" t="n">
        <v>0</v>
      </c>
      <c r="L131" t="n">
        <v>0</v>
      </c>
      <c r="M131" t="n">
        <v>0</v>
      </c>
      <c r="N131" t="n">
        <v>0</v>
      </c>
      <c r="O131" t="n">
        <v>0</v>
      </c>
      <c r="P131" t="n">
        <v>0</v>
      </c>
      <c r="Q131" t="n">
        <v>0</v>
      </c>
      <c r="R131" s="2" t="inlineStr"/>
    </row>
    <row r="132" ht="15" customHeight="1">
      <c r="A132" t="inlineStr">
        <is>
          <t>A 46447-2021</t>
        </is>
      </c>
      <c r="B132" s="1" t="n">
        <v>44442</v>
      </c>
      <c r="C132" s="1" t="n">
        <v>46144</v>
      </c>
      <c r="D132" t="inlineStr">
        <is>
          <t>VÄSTRA GÖTALANDS LÄN</t>
        </is>
      </c>
      <c r="E132" t="inlineStr">
        <is>
          <t>DALS-ED</t>
        </is>
      </c>
      <c r="G132" t="n">
        <v>3.6</v>
      </c>
      <c r="H132" t="n">
        <v>0</v>
      </c>
      <c r="I132" t="n">
        <v>0</v>
      </c>
      <c r="J132" t="n">
        <v>0</v>
      </c>
      <c r="K132" t="n">
        <v>0</v>
      </c>
      <c r="L132" t="n">
        <v>0</v>
      </c>
      <c r="M132" t="n">
        <v>0</v>
      </c>
      <c r="N132" t="n">
        <v>0</v>
      </c>
      <c r="O132" t="n">
        <v>0</v>
      </c>
      <c r="P132" t="n">
        <v>0</v>
      </c>
      <c r="Q132" t="n">
        <v>0</v>
      </c>
      <c r="R132" s="2" t="inlineStr"/>
    </row>
    <row r="133" ht="15" customHeight="1">
      <c r="A133" t="inlineStr">
        <is>
          <t>A 9292-2024</t>
        </is>
      </c>
      <c r="B133" s="1" t="n">
        <v>45358.67704861111</v>
      </c>
      <c r="C133" s="1" t="n">
        <v>46144</v>
      </c>
      <c r="D133" t="inlineStr">
        <is>
          <t>VÄSTRA GÖTALANDS LÄN</t>
        </is>
      </c>
      <c r="E133" t="inlineStr">
        <is>
          <t>DALS-ED</t>
        </is>
      </c>
      <c r="F133" t="inlineStr">
        <is>
          <t>Övriga Aktiebolag</t>
        </is>
      </c>
      <c r="G133" t="n">
        <v>26.4</v>
      </c>
      <c r="H133" t="n">
        <v>0</v>
      </c>
      <c r="I133" t="n">
        <v>0</v>
      </c>
      <c r="J133" t="n">
        <v>0</v>
      </c>
      <c r="K133" t="n">
        <v>0</v>
      </c>
      <c r="L133" t="n">
        <v>0</v>
      </c>
      <c r="M133" t="n">
        <v>0</v>
      </c>
      <c r="N133" t="n">
        <v>0</v>
      </c>
      <c r="O133" t="n">
        <v>0</v>
      </c>
      <c r="P133" t="n">
        <v>0</v>
      </c>
      <c r="Q133" t="n">
        <v>0</v>
      </c>
      <c r="R133" s="2" t="inlineStr"/>
    </row>
    <row r="134" ht="15" customHeight="1">
      <c r="A134" t="inlineStr">
        <is>
          <t>A 19049-2023</t>
        </is>
      </c>
      <c r="B134" s="1" t="n">
        <v>45047</v>
      </c>
      <c r="C134" s="1" t="n">
        <v>46144</v>
      </c>
      <c r="D134" t="inlineStr">
        <is>
          <t>VÄSTRA GÖTALANDS LÄN</t>
        </is>
      </c>
      <c r="E134" t="inlineStr">
        <is>
          <t>DALS-ED</t>
        </is>
      </c>
      <c r="G134" t="n">
        <v>0.9</v>
      </c>
      <c r="H134" t="n">
        <v>0</v>
      </c>
      <c r="I134" t="n">
        <v>0</v>
      </c>
      <c r="J134" t="n">
        <v>0</v>
      </c>
      <c r="K134" t="n">
        <v>0</v>
      </c>
      <c r="L134" t="n">
        <v>0</v>
      </c>
      <c r="M134" t="n">
        <v>0</v>
      </c>
      <c r="N134" t="n">
        <v>0</v>
      </c>
      <c r="O134" t="n">
        <v>0</v>
      </c>
      <c r="P134" t="n">
        <v>0</v>
      </c>
      <c r="Q134" t="n">
        <v>0</v>
      </c>
      <c r="R134" s="2" t="inlineStr"/>
    </row>
    <row r="135" ht="15" customHeight="1">
      <c r="A135" t="inlineStr">
        <is>
          <t>A 37526-2024</t>
        </is>
      </c>
      <c r="B135" s="1" t="n">
        <v>45541.39973379629</v>
      </c>
      <c r="C135" s="1" t="n">
        <v>46144</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58346-2024</t>
        </is>
      </c>
      <c r="B136" s="1" t="n">
        <v>45632.64731481481</v>
      </c>
      <c r="C136" s="1" t="n">
        <v>46144</v>
      </c>
      <c r="D136" t="inlineStr">
        <is>
          <t>VÄSTRA GÖTALANDS LÄN</t>
        </is>
      </c>
      <c r="E136" t="inlineStr">
        <is>
          <t>DALS-ED</t>
        </is>
      </c>
      <c r="G136" t="n">
        <v>2.4</v>
      </c>
      <c r="H136" t="n">
        <v>0</v>
      </c>
      <c r="I136" t="n">
        <v>0</v>
      </c>
      <c r="J136" t="n">
        <v>0</v>
      </c>
      <c r="K136" t="n">
        <v>0</v>
      </c>
      <c r="L136" t="n">
        <v>0</v>
      </c>
      <c r="M136" t="n">
        <v>0</v>
      </c>
      <c r="N136" t="n">
        <v>0</v>
      </c>
      <c r="O136" t="n">
        <v>0</v>
      </c>
      <c r="P136" t="n">
        <v>0</v>
      </c>
      <c r="Q136" t="n">
        <v>0</v>
      </c>
      <c r="R136" s="2" t="inlineStr"/>
    </row>
    <row r="137" ht="15" customHeight="1">
      <c r="A137" t="inlineStr">
        <is>
          <t>A 21370-2022</t>
        </is>
      </c>
      <c r="B137" s="1" t="n">
        <v>44705.70888888889</v>
      </c>
      <c r="C137" s="1" t="n">
        <v>46144</v>
      </c>
      <c r="D137" t="inlineStr">
        <is>
          <t>VÄSTRA GÖTALANDS LÄN</t>
        </is>
      </c>
      <c r="E137" t="inlineStr">
        <is>
          <t>DALS-ED</t>
        </is>
      </c>
      <c r="G137" t="n">
        <v>2.2</v>
      </c>
      <c r="H137" t="n">
        <v>0</v>
      </c>
      <c r="I137" t="n">
        <v>0</v>
      </c>
      <c r="J137" t="n">
        <v>0</v>
      </c>
      <c r="K137" t="n">
        <v>0</v>
      </c>
      <c r="L137" t="n">
        <v>0</v>
      </c>
      <c r="M137" t="n">
        <v>0</v>
      </c>
      <c r="N137" t="n">
        <v>0</v>
      </c>
      <c r="O137" t="n">
        <v>0</v>
      </c>
      <c r="P137" t="n">
        <v>0</v>
      </c>
      <c r="Q137" t="n">
        <v>0</v>
      </c>
      <c r="R137" s="2" t="inlineStr"/>
    </row>
    <row r="138" ht="15" customHeight="1">
      <c r="A138" t="inlineStr">
        <is>
          <t>A 10907-2025</t>
        </is>
      </c>
      <c r="B138" s="1" t="n">
        <v>45722.70744212963</v>
      </c>
      <c r="C138" s="1" t="n">
        <v>46144</v>
      </c>
      <c r="D138" t="inlineStr">
        <is>
          <t>VÄSTRA GÖTALANDS LÄN</t>
        </is>
      </c>
      <c r="E138" t="inlineStr">
        <is>
          <t>DALS-ED</t>
        </is>
      </c>
      <c r="G138" t="n">
        <v>19.8</v>
      </c>
      <c r="H138" t="n">
        <v>0</v>
      </c>
      <c r="I138" t="n">
        <v>0</v>
      </c>
      <c r="J138" t="n">
        <v>0</v>
      </c>
      <c r="K138" t="n">
        <v>0</v>
      </c>
      <c r="L138" t="n">
        <v>0</v>
      </c>
      <c r="M138" t="n">
        <v>0</v>
      </c>
      <c r="N138" t="n">
        <v>0</v>
      </c>
      <c r="O138" t="n">
        <v>0</v>
      </c>
      <c r="P138" t="n">
        <v>0</v>
      </c>
      <c r="Q138" t="n">
        <v>0</v>
      </c>
      <c r="R138" s="2" t="inlineStr"/>
    </row>
    <row r="139" ht="15" customHeight="1">
      <c r="A139" t="inlineStr">
        <is>
          <t>A 47434-2024</t>
        </is>
      </c>
      <c r="B139" s="1" t="n">
        <v>45587.52200231481</v>
      </c>
      <c r="C139" s="1" t="n">
        <v>46144</v>
      </c>
      <c r="D139" t="inlineStr">
        <is>
          <t>VÄSTRA GÖTALANDS LÄN</t>
        </is>
      </c>
      <c r="E139" t="inlineStr">
        <is>
          <t>DALS-ED</t>
        </is>
      </c>
      <c r="G139" t="n">
        <v>2.6</v>
      </c>
      <c r="H139" t="n">
        <v>0</v>
      </c>
      <c r="I139" t="n">
        <v>0</v>
      </c>
      <c r="J139" t="n">
        <v>0</v>
      </c>
      <c r="K139" t="n">
        <v>0</v>
      </c>
      <c r="L139" t="n">
        <v>0</v>
      </c>
      <c r="M139" t="n">
        <v>0</v>
      </c>
      <c r="N139" t="n">
        <v>0</v>
      </c>
      <c r="O139" t="n">
        <v>0</v>
      </c>
      <c r="P139" t="n">
        <v>0</v>
      </c>
      <c r="Q139" t="n">
        <v>0</v>
      </c>
      <c r="R139" s="2" t="inlineStr"/>
    </row>
    <row r="140" ht="15" customHeight="1">
      <c r="A140" t="inlineStr">
        <is>
          <t>A 36231-2023</t>
        </is>
      </c>
      <c r="B140" s="1" t="n">
        <v>45150.39050925926</v>
      </c>
      <c r="C140" s="1" t="n">
        <v>46144</v>
      </c>
      <c r="D140" t="inlineStr">
        <is>
          <t>VÄSTRA GÖTALANDS LÄN</t>
        </is>
      </c>
      <c r="E140" t="inlineStr">
        <is>
          <t>DALS-ED</t>
        </is>
      </c>
      <c r="G140" t="n">
        <v>0.4</v>
      </c>
      <c r="H140" t="n">
        <v>0</v>
      </c>
      <c r="I140" t="n">
        <v>0</v>
      </c>
      <c r="J140" t="n">
        <v>0</v>
      </c>
      <c r="K140" t="n">
        <v>0</v>
      </c>
      <c r="L140" t="n">
        <v>0</v>
      </c>
      <c r="M140" t="n">
        <v>0</v>
      </c>
      <c r="N140" t="n">
        <v>0</v>
      </c>
      <c r="O140" t="n">
        <v>0</v>
      </c>
      <c r="P140" t="n">
        <v>0</v>
      </c>
      <c r="Q140" t="n">
        <v>0</v>
      </c>
      <c r="R140" s="2" t="inlineStr"/>
    </row>
    <row r="141" ht="15" customHeight="1">
      <c r="A141" t="inlineStr">
        <is>
          <t>A 49290-2024</t>
        </is>
      </c>
      <c r="B141" s="1" t="n">
        <v>45595.53287037037</v>
      </c>
      <c r="C141" s="1" t="n">
        <v>46144</v>
      </c>
      <c r="D141" t="inlineStr">
        <is>
          <t>VÄSTRA GÖTALANDS LÄN</t>
        </is>
      </c>
      <c r="E141" t="inlineStr">
        <is>
          <t>DALS-ED</t>
        </is>
      </c>
      <c r="G141" t="n">
        <v>0.7</v>
      </c>
      <c r="H141" t="n">
        <v>0</v>
      </c>
      <c r="I141" t="n">
        <v>0</v>
      </c>
      <c r="J141" t="n">
        <v>0</v>
      </c>
      <c r="K141" t="n">
        <v>0</v>
      </c>
      <c r="L141" t="n">
        <v>0</v>
      </c>
      <c r="M141" t="n">
        <v>0</v>
      </c>
      <c r="N141" t="n">
        <v>0</v>
      </c>
      <c r="O141" t="n">
        <v>0</v>
      </c>
      <c r="P141" t="n">
        <v>0</v>
      </c>
      <c r="Q141" t="n">
        <v>0</v>
      </c>
      <c r="R141" s="2" t="inlineStr"/>
    </row>
    <row r="142" ht="15" customHeight="1">
      <c r="A142" t="inlineStr">
        <is>
          <t>A 47650-2024</t>
        </is>
      </c>
      <c r="B142" s="1" t="n">
        <v>45588.38049768518</v>
      </c>
      <c r="C142" s="1" t="n">
        <v>46144</v>
      </c>
      <c r="D142" t="inlineStr">
        <is>
          <t>VÄSTRA GÖTALANDS LÄN</t>
        </is>
      </c>
      <c r="E142" t="inlineStr">
        <is>
          <t>DALS-ED</t>
        </is>
      </c>
      <c r="G142" t="n">
        <v>3.6</v>
      </c>
      <c r="H142" t="n">
        <v>0</v>
      </c>
      <c r="I142" t="n">
        <v>0</v>
      </c>
      <c r="J142" t="n">
        <v>0</v>
      </c>
      <c r="K142" t="n">
        <v>0</v>
      </c>
      <c r="L142" t="n">
        <v>0</v>
      </c>
      <c r="M142" t="n">
        <v>0</v>
      </c>
      <c r="N142" t="n">
        <v>0</v>
      </c>
      <c r="O142" t="n">
        <v>0</v>
      </c>
      <c r="P142" t="n">
        <v>0</v>
      </c>
      <c r="Q142" t="n">
        <v>0</v>
      </c>
      <c r="R142" s="2" t="inlineStr"/>
    </row>
    <row r="143" ht="15" customHeight="1">
      <c r="A143" t="inlineStr">
        <is>
          <t>A 56341-2024</t>
        </is>
      </c>
      <c r="B143" s="1" t="n">
        <v>45624.8387037037</v>
      </c>
      <c r="C143" s="1" t="n">
        <v>46144</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44653-2023</t>
        </is>
      </c>
      <c r="B144" s="1" t="n">
        <v>45189</v>
      </c>
      <c r="C144" s="1" t="n">
        <v>46144</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38600-2025</t>
        </is>
      </c>
      <c r="B145" s="1" t="n">
        <v>45884.49962962963</v>
      </c>
      <c r="C145" s="1" t="n">
        <v>46144</v>
      </c>
      <c r="D145" t="inlineStr">
        <is>
          <t>VÄSTRA GÖTALANDS LÄN</t>
        </is>
      </c>
      <c r="E145" t="inlineStr">
        <is>
          <t>DALS-ED</t>
        </is>
      </c>
      <c r="G145" t="n">
        <v>1.1</v>
      </c>
      <c r="H145" t="n">
        <v>0</v>
      </c>
      <c r="I145" t="n">
        <v>0</v>
      </c>
      <c r="J145" t="n">
        <v>0</v>
      </c>
      <c r="K145" t="n">
        <v>0</v>
      </c>
      <c r="L145" t="n">
        <v>0</v>
      </c>
      <c r="M145" t="n">
        <v>0</v>
      </c>
      <c r="N145" t="n">
        <v>0</v>
      </c>
      <c r="O145" t="n">
        <v>0</v>
      </c>
      <c r="P145" t="n">
        <v>0</v>
      </c>
      <c r="Q145" t="n">
        <v>0</v>
      </c>
      <c r="R145" s="2" t="inlineStr"/>
    </row>
    <row r="146" ht="15" customHeight="1">
      <c r="A146" t="inlineStr">
        <is>
          <t>A 50732-2024</t>
        </is>
      </c>
      <c r="B146" s="1" t="n">
        <v>45602.38895833334</v>
      </c>
      <c r="C146" s="1" t="n">
        <v>46144</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18456-2025</t>
        </is>
      </c>
      <c r="B147" s="1" t="n">
        <v>45762.67017361111</v>
      </c>
      <c r="C147" s="1" t="n">
        <v>46144</v>
      </c>
      <c r="D147" t="inlineStr">
        <is>
          <t>VÄSTRA GÖTALANDS LÄN</t>
        </is>
      </c>
      <c r="E147" t="inlineStr">
        <is>
          <t>DALS-ED</t>
        </is>
      </c>
      <c r="G147" t="n">
        <v>3.7</v>
      </c>
      <c r="H147" t="n">
        <v>0</v>
      </c>
      <c r="I147" t="n">
        <v>0</v>
      </c>
      <c r="J147" t="n">
        <v>0</v>
      </c>
      <c r="K147" t="n">
        <v>0</v>
      </c>
      <c r="L147" t="n">
        <v>0</v>
      </c>
      <c r="M147" t="n">
        <v>0</v>
      </c>
      <c r="N147" t="n">
        <v>0</v>
      </c>
      <c r="O147" t="n">
        <v>0</v>
      </c>
      <c r="P147" t="n">
        <v>0</v>
      </c>
      <c r="Q147" t="n">
        <v>0</v>
      </c>
      <c r="R147" s="2" t="inlineStr"/>
    </row>
    <row r="148" ht="15" customHeight="1">
      <c r="A148" t="inlineStr">
        <is>
          <t>A 38372-2025</t>
        </is>
      </c>
      <c r="B148" s="1" t="n">
        <v>45883.56460648148</v>
      </c>
      <c r="C148" s="1" t="n">
        <v>46144</v>
      </c>
      <c r="D148" t="inlineStr">
        <is>
          <t>VÄSTRA GÖTALANDS LÄN</t>
        </is>
      </c>
      <c r="E148" t="inlineStr">
        <is>
          <t>DALS-ED</t>
        </is>
      </c>
      <c r="G148" t="n">
        <v>1.5</v>
      </c>
      <c r="H148" t="n">
        <v>0</v>
      </c>
      <c r="I148" t="n">
        <v>0</v>
      </c>
      <c r="J148" t="n">
        <v>0</v>
      </c>
      <c r="K148" t="n">
        <v>0</v>
      </c>
      <c r="L148" t="n">
        <v>0</v>
      </c>
      <c r="M148" t="n">
        <v>0</v>
      </c>
      <c r="N148" t="n">
        <v>0</v>
      </c>
      <c r="O148" t="n">
        <v>0</v>
      </c>
      <c r="P148" t="n">
        <v>0</v>
      </c>
      <c r="Q148" t="n">
        <v>0</v>
      </c>
      <c r="R148" s="2" t="inlineStr"/>
    </row>
    <row r="149" ht="15" customHeight="1">
      <c r="A149" t="inlineStr">
        <is>
          <t>A 38370-2025</t>
        </is>
      </c>
      <c r="B149" s="1" t="n">
        <v>45883.55738425926</v>
      </c>
      <c r="C149" s="1" t="n">
        <v>46144</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56344-2024</t>
        </is>
      </c>
      <c r="B150" s="1" t="n">
        <v>45624.84674768519</v>
      </c>
      <c r="C150" s="1" t="n">
        <v>46144</v>
      </c>
      <c r="D150" t="inlineStr">
        <is>
          <t>VÄSTRA GÖTALANDS LÄN</t>
        </is>
      </c>
      <c r="E150" t="inlineStr">
        <is>
          <t>DALS-ED</t>
        </is>
      </c>
      <c r="G150" t="n">
        <v>1.7</v>
      </c>
      <c r="H150" t="n">
        <v>0</v>
      </c>
      <c r="I150" t="n">
        <v>0</v>
      </c>
      <c r="J150" t="n">
        <v>0</v>
      </c>
      <c r="K150" t="n">
        <v>0</v>
      </c>
      <c r="L150" t="n">
        <v>0</v>
      </c>
      <c r="M150" t="n">
        <v>0</v>
      </c>
      <c r="N150" t="n">
        <v>0</v>
      </c>
      <c r="O150" t="n">
        <v>0</v>
      </c>
      <c r="P150" t="n">
        <v>0</v>
      </c>
      <c r="Q150" t="n">
        <v>0</v>
      </c>
      <c r="R150" s="2" t="inlineStr"/>
    </row>
    <row r="151" ht="15" customHeight="1">
      <c r="A151" t="inlineStr">
        <is>
          <t>A 15364-2022</t>
        </is>
      </c>
      <c r="B151" s="1" t="n">
        <v>44659</v>
      </c>
      <c r="C151" s="1" t="n">
        <v>46144</v>
      </c>
      <c r="D151" t="inlineStr">
        <is>
          <t>VÄSTRA GÖTALANDS LÄN</t>
        </is>
      </c>
      <c r="E151" t="inlineStr">
        <is>
          <t>DALS-ED</t>
        </is>
      </c>
      <c r="G151" t="n">
        <v>6.5</v>
      </c>
      <c r="H151" t="n">
        <v>0</v>
      </c>
      <c r="I151" t="n">
        <v>0</v>
      </c>
      <c r="J151" t="n">
        <v>0</v>
      </c>
      <c r="K151" t="n">
        <v>0</v>
      </c>
      <c r="L151" t="n">
        <v>0</v>
      </c>
      <c r="M151" t="n">
        <v>0</v>
      </c>
      <c r="N151" t="n">
        <v>0</v>
      </c>
      <c r="O151" t="n">
        <v>0</v>
      </c>
      <c r="P151" t="n">
        <v>0</v>
      </c>
      <c r="Q151" t="n">
        <v>0</v>
      </c>
      <c r="R151" s="2" t="inlineStr"/>
    </row>
    <row r="152" ht="15" customHeight="1">
      <c r="A152" t="inlineStr">
        <is>
          <t>A 13537-2023</t>
        </is>
      </c>
      <c r="B152" s="1" t="n">
        <v>45006</v>
      </c>
      <c r="C152" s="1" t="n">
        <v>46144</v>
      </c>
      <c r="D152" t="inlineStr">
        <is>
          <t>VÄSTRA GÖTALANDS LÄN</t>
        </is>
      </c>
      <c r="E152" t="inlineStr">
        <is>
          <t>DALS-ED</t>
        </is>
      </c>
      <c r="G152" t="n">
        <v>1.9</v>
      </c>
      <c r="H152" t="n">
        <v>0</v>
      </c>
      <c r="I152" t="n">
        <v>0</v>
      </c>
      <c r="J152" t="n">
        <v>0</v>
      </c>
      <c r="K152" t="n">
        <v>0</v>
      </c>
      <c r="L152" t="n">
        <v>0</v>
      </c>
      <c r="M152" t="n">
        <v>0</v>
      </c>
      <c r="N152" t="n">
        <v>0</v>
      </c>
      <c r="O152" t="n">
        <v>0</v>
      </c>
      <c r="P152" t="n">
        <v>0</v>
      </c>
      <c r="Q152" t="n">
        <v>0</v>
      </c>
      <c r="R152" s="2" t="inlineStr"/>
    </row>
    <row r="153" ht="15" customHeight="1">
      <c r="A153" t="inlineStr">
        <is>
          <t>A 59931-2021</t>
        </is>
      </c>
      <c r="B153" s="1" t="n">
        <v>44494</v>
      </c>
      <c r="C153" s="1" t="n">
        <v>46144</v>
      </c>
      <c r="D153" t="inlineStr">
        <is>
          <t>VÄSTRA GÖTALANDS LÄN</t>
        </is>
      </c>
      <c r="E153" t="inlineStr">
        <is>
          <t>DALS-ED</t>
        </is>
      </c>
      <c r="G153" t="n">
        <v>1</v>
      </c>
      <c r="H153" t="n">
        <v>0</v>
      </c>
      <c r="I153" t="n">
        <v>0</v>
      </c>
      <c r="J153" t="n">
        <v>0</v>
      </c>
      <c r="K153" t="n">
        <v>0</v>
      </c>
      <c r="L153" t="n">
        <v>0</v>
      </c>
      <c r="M153" t="n">
        <v>0</v>
      </c>
      <c r="N153" t="n">
        <v>0</v>
      </c>
      <c r="O153" t="n">
        <v>0</v>
      </c>
      <c r="P153" t="n">
        <v>0</v>
      </c>
      <c r="Q153" t="n">
        <v>0</v>
      </c>
      <c r="R153" s="2" t="inlineStr"/>
    </row>
    <row r="154" ht="15" customHeight="1">
      <c r="A154" t="inlineStr">
        <is>
          <t>A 17800-2023</t>
        </is>
      </c>
      <c r="B154" s="1" t="n">
        <v>45037.56935185185</v>
      </c>
      <c r="C154" s="1" t="n">
        <v>46144</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38044-2025</t>
        </is>
      </c>
      <c r="B155" s="1" t="n">
        <v>45882</v>
      </c>
      <c r="C155" s="1" t="n">
        <v>46144</v>
      </c>
      <c r="D155" t="inlineStr">
        <is>
          <t>VÄSTRA GÖTALANDS LÄN</t>
        </is>
      </c>
      <c r="E155" t="inlineStr">
        <is>
          <t>DALS-ED</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4043-2023</t>
        </is>
      </c>
      <c r="B156" s="1" t="n">
        <v>44952.60282407407</v>
      </c>
      <c r="C156" s="1" t="n">
        <v>46144</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5117-2023</t>
        </is>
      </c>
      <c r="B157" s="1" t="n">
        <v>44958.67679398148</v>
      </c>
      <c r="C157" s="1" t="n">
        <v>46144</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38810-2025</t>
        </is>
      </c>
      <c r="B158" s="1" t="n">
        <v>45887.47719907408</v>
      </c>
      <c r="C158" s="1" t="n">
        <v>46144</v>
      </c>
      <c r="D158" t="inlineStr">
        <is>
          <t>VÄSTRA GÖTALANDS LÄN</t>
        </is>
      </c>
      <c r="E158" t="inlineStr">
        <is>
          <t>DALS-ED</t>
        </is>
      </c>
      <c r="G158" t="n">
        <v>1.6</v>
      </c>
      <c r="H158" t="n">
        <v>0</v>
      </c>
      <c r="I158" t="n">
        <v>0</v>
      </c>
      <c r="J158" t="n">
        <v>0</v>
      </c>
      <c r="K158" t="n">
        <v>0</v>
      </c>
      <c r="L158" t="n">
        <v>0</v>
      </c>
      <c r="M158" t="n">
        <v>0</v>
      </c>
      <c r="N158" t="n">
        <v>0</v>
      </c>
      <c r="O158" t="n">
        <v>0</v>
      </c>
      <c r="P158" t="n">
        <v>0</v>
      </c>
      <c r="Q158" t="n">
        <v>0</v>
      </c>
      <c r="R158" s="2" t="inlineStr"/>
    </row>
    <row r="159" ht="15" customHeight="1">
      <c r="A159" t="inlineStr">
        <is>
          <t>A 4115-2023</t>
        </is>
      </c>
      <c r="B159" s="1" t="n">
        <v>44952</v>
      </c>
      <c r="C159" s="1" t="n">
        <v>46144</v>
      </c>
      <c r="D159" t="inlineStr">
        <is>
          <t>VÄSTRA GÖTALANDS LÄN</t>
        </is>
      </c>
      <c r="E159" t="inlineStr">
        <is>
          <t>DALS-ED</t>
        </is>
      </c>
      <c r="G159" t="n">
        <v>4.2</v>
      </c>
      <c r="H159" t="n">
        <v>0</v>
      </c>
      <c r="I159" t="n">
        <v>0</v>
      </c>
      <c r="J159" t="n">
        <v>0</v>
      </c>
      <c r="K159" t="n">
        <v>0</v>
      </c>
      <c r="L159" t="n">
        <v>0</v>
      </c>
      <c r="M159" t="n">
        <v>0</v>
      </c>
      <c r="N159" t="n">
        <v>0</v>
      </c>
      <c r="O159" t="n">
        <v>0</v>
      </c>
      <c r="P159" t="n">
        <v>0</v>
      </c>
      <c r="Q159" t="n">
        <v>0</v>
      </c>
      <c r="R159" s="2" t="inlineStr"/>
    </row>
    <row r="160" ht="15" customHeight="1">
      <c r="A160" t="inlineStr">
        <is>
          <t>A 13703-2025</t>
        </is>
      </c>
      <c r="B160" s="1" t="n">
        <v>45737.33689814815</v>
      </c>
      <c r="C160" s="1" t="n">
        <v>46144</v>
      </c>
      <c r="D160" t="inlineStr">
        <is>
          <t>VÄSTRA GÖTALANDS LÄN</t>
        </is>
      </c>
      <c r="E160" t="inlineStr">
        <is>
          <t>DALS-ED</t>
        </is>
      </c>
      <c r="F160" t="inlineStr">
        <is>
          <t>Övriga Aktiebolag</t>
        </is>
      </c>
      <c r="G160" t="n">
        <v>2.2</v>
      </c>
      <c r="H160" t="n">
        <v>0</v>
      </c>
      <c r="I160" t="n">
        <v>0</v>
      </c>
      <c r="J160" t="n">
        <v>0</v>
      </c>
      <c r="K160" t="n">
        <v>0</v>
      </c>
      <c r="L160" t="n">
        <v>0</v>
      </c>
      <c r="M160" t="n">
        <v>0</v>
      </c>
      <c r="N160" t="n">
        <v>0</v>
      </c>
      <c r="O160" t="n">
        <v>0</v>
      </c>
      <c r="P160" t="n">
        <v>0</v>
      </c>
      <c r="Q160" t="n">
        <v>0</v>
      </c>
      <c r="R160" s="2" t="inlineStr"/>
    </row>
    <row r="161" ht="15" customHeight="1">
      <c r="A161" t="inlineStr">
        <is>
          <t>A 20265-2025</t>
        </is>
      </c>
      <c r="B161" s="1" t="n">
        <v>45773.45891203704</v>
      </c>
      <c r="C161" s="1" t="n">
        <v>46144</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23862-2023</t>
        </is>
      </c>
      <c r="B162" s="1" t="n">
        <v>45075</v>
      </c>
      <c r="C162" s="1" t="n">
        <v>46144</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38601-2025</t>
        </is>
      </c>
      <c r="B163" s="1" t="n">
        <v>45884.50131944445</v>
      </c>
      <c r="C163" s="1" t="n">
        <v>46144</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39130-2025</t>
        </is>
      </c>
      <c r="B164" s="1" t="n">
        <v>45888.58700231482</v>
      </c>
      <c r="C164" s="1" t="n">
        <v>46144</v>
      </c>
      <c r="D164" t="inlineStr">
        <is>
          <t>VÄSTRA GÖTALANDS LÄN</t>
        </is>
      </c>
      <c r="E164" t="inlineStr">
        <is>
          <t>DALS-ED</t>
        </is>
      </c>
      <c r="G164" t="n">
        <v>1</v>
      </c>
      <c r="H164" t="n">
        <v>0</v>
      </c>
      <c r="I164" t="n">
        <v>0</v>
      </c>
      <c r="J164" t="n">
        <v>0</v>
      </c>
      <c r="K164" t="n">
        <v>0</v>
      </c>
      <c r="L164" t="n">
        <v>0</v>
      </c>
      <c r="M164" t="n">
        <v>0</v>
      </c>
      <c r="N164" t="n">
        <v>0</v>
      </c>
      <c r="O164" t="n">
        <v>0</v>
      </c>
      <c r="P164" t="n">
        <v>0</v>
      </c>
      <c r="Q164" t="n">
        <v>0</v>
      </c>
      <c r="R164" s="2" t="inlineStr"/>
    </row>
    <row r="165" ht="15" customHeight="1">
      <c r="A165" t="inlineStr">
        <is>
          <t>A 18228-2025</t>
        </is>
      </c>
      <c r="B165" s="1" t="n">
        <v>45761.83359953704</v>
      </c>
      <c r="C165" s="1" t="n">
        <v>46144</v>
      </c>
      <c r="D165" t="inlineStr">
        <is>
          <t>VÄSTRA GÖTALANDS LÄN</t>
        </is>
      </c>
      <c r="E165" t="inlineStr">
        <is>
          <t>DALS-ED</t>
        </is>
      </c>
      <c r="G165" t="n">
        <v>1.5</v>
      </c>
      <c r="H165" t="n">
        <v>0</v>
      </c>
      <c r="I165" t="n">
        <v>0</v>
      </c>
      <c r="J165" t="n">
        <v>0</v>
      </c>
      <c r="K165" t="n">
        <v>0</v>
      </c>
      <c r="L165" t="n">
        <v>0</v>
      </c>
      <c r="M165" t="n">
        <v>0</v>
      </c>
      <c r="N165" t="n">
        <v>0</v>
      </c>
      <c r="O165" t="n">
        <v>0</v>
      </c>
      <c r="P165" t="n">
        <v>0</v>
      </c>
      <c r="Q165" t="n">
        <v>0</v>
      </c>
      <c r="R165" s="2" t="inlineStr"/>
    </row>
    <row r="166" ht="15" customHeight="1">
      <c r="A166" t="inlineStr">
        <is>
          <t>A 38347-2023</t>
        </is>
      </c>
      <c r="B166" s="1" t="n">
        <v>45161.90960648148</v>
      </c>
      <c r="C166" s="1" t="n">
        <v>46144</v>
      </c>
      <c r="D166" t="inlineStr">
        <is>
          <t>VÄSTRA GÖTALANDS LÄN</t>
        </is>
      </c>
      <c r="E166" t="inlineStr">
        <is>
          <t>DALS-ED</t>
        </is>
      </c>
      <c r="F166" t="inlineStr">
        <is>
          <t>Kommuner</t>
        </is>
      </c>
      <c r="G166" t="n">
        <v>2.3</v>
      </c>
      <c r="H166" t="n">
        <v>0</v>
      </c>
      <c r="I166" t="n">
        <v>0</v>
      </c>
      <c r="J166" t="n">
        <v>0</v>
      </c>
      <c r="K166" t="n">
        <v>0</v>
      </c>
      <c r="L166" t="n">
        <v>0</v>
      </c>
      <c r="M166" t="n">
        <v>0</v>
      </c>
      <c r="N166" t="n">
        <v>0</v>
      </c>
      <c r="O166" t="n">
        <v>0</v>
      </c>
      <c r="P166" t="n">
        <v>0</v>
      </c>
      <c r="Q166" t="n">
        <v>0</v>
      </c>
      <c r="R166" s="2" t="inlineStr"/>
    </row>
    <row r="167" ht="15" customHeight="1">
      <c r="A167" t="inlineStr">
        <is>
          <t>A 38548-2023</t>
        </is>
      </c>
      <c r="B167" s="1" t="n">
        <v>45162.59163194444</v>
      </c>
      <c r="C167" s="1" t="n">
        <v>46144</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30380-2021</t>
        </is>
      </c>
      <c r="B168" s="1" t="n">
        <v>44364.47981481482</v>
      </c>
      <c r="C168" s="1" t="n">
        <v>46144</v>
      </c>
      <c r="D168" t="inlineStr">
        <is>
          <t>VÄSTRA GÖTALANDS LÄN</t>
        </is>
      </c>
      <c r="E168" t="inlineStr">
        <is>
          <t>DALS-ED</t>
        </is>
      </c>
      <c r="G168" t="n">
        <v>4.5</v>
      </c>
      <c r="H168" t="n">
        <v>0</v>
      </c>
      <c r="I168" t="n">
        <v>0</v>
      </c>
      <c r="J168" t="n">
        <v>0</v>
      </c>
      <c r="K168" t="n">
        <v>0</v>
      </c>
      <c r="L168" t="n">
        <v>0</v>
      </c>
      <c r="M168" t="n">
        <v>0</v>
      </c>
      <c r="N168" t="n">
        <v>0</v>
      </c>
      <c r="O168" t="n">
        <v>0</v>
      </c>
      <c r="P168" t="n">
        <v>0</v>
      </c>
      <c r="Q168" t="n">
        <v>0</v>
      </c>
      <c r="R168" s="2" t="inlineStr"/>
    </row>
    <row r="169" ht="15" customHeight="1">
      <c r="A169" t="inlineStr">
        <is>
          <t>A 48344-2024</t>
        </is>
      </c>
      <c r="B169" s="1" t="n">
        <v>45590.55503472222</v>
      </c>
      <c r="C169" s="1" t="n">
        <v>46144</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53910-2024</t>
        </is>
      </c>
      <c r="B170" s="1" t="n">
        <v>45615.72082175926</v>
      </c>
      <c r="C170" s="1" t="n">
        <v>46144</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13026-2023</t>
        </is>
      </c>
      <c r="B171" s="1" t="n">
        <v>45002.33766203704</v>
      </c>
      <c r="C171" s="1" t="n">
        <v>46144</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40457-2025</t>
        </is>
      </c>
      <c r="B172" s="1" t="n">
        <v>45895</v>
      </c>
      <c r="C172" s="1" t="n">
        <v>46144</v>
      </c>
      <c r="D172" t="inlineStr">
        <is>
          <t>VÄSTRA GÖTALANDS LÄN</t>
        </is>
      </c>
      <c r="E172" t="inlineStr">
        <is>
          <t>DALS-ED</t>
        </is>
      </c>
      <c r="G172" t="n">
        <v>5.6</v>
      </c>
      <c r="H172" t="n">
        <v>0</v>
      </c>
      <c r="I172" t="n">
        <v>0</v>
      </c>
      <c r="J172" t="n">
        <v>0</v>
      </c>
      <c r="K172" t="n">
        <v>0</v>
      </c>
      <c r="L172" t="n">
        <v>0</v>
      </c>
      <c r="M172" t="n">
        <v>0</v>
      </c>
      <c r="N172" t="n">
        <v>0</v>
      </c>
      <c r="O172" t="n">
        <v>0</v>
      </c>
      <c r="P172" t="n">
        <v>0</v>
      </c>
      <c r="Q172" t="n">
        <v>0</v>
      </c>
      <c r="R172" s="2" t="inlineStr"/>
    </row>
    <row r="173" ht="15" customHeight="1">
      <c r="A173" t="inlineStr">
        <is>
          <t>A 55077-2024</t>
        </is>
      </c>
      <c r="B173" s="1" t="n">
        <v>45621.42699074074</v>
      </c>
      <c r="C173" s="1" t="n">
        <v>46144</v>
      </c>
      <c r="D173" t="inlineStr">
        <is>
          <t>VÄSTRA GÖTALANDS LÄN</t>
        </is>
      </c>
      <c r="E173" t="inlineStr">
        <is>
          <t>DALS-ED</t>
        </is>
      </c>
      <c r="G173" t="n">
        <v>0.5</v>
      </c>
      <c r="H173" t="n">
        <v>0</v>
      </c>
      <c r="I173" t="n">
        <v>0</v>
      </c>
      <c r="J173" t="n">
        <v>0</v>
      </c>
      <c r="K173" t="n">
        <v>0</v>
      </c>
      <c r="L173" t="n">
        <v>0</v>
      </c>
      <c r="M173" t="n">
        <v>0</v>
      </c>
      <c r="N173" t="n">
        <v>0</v>
      </c>
      <c r="O173" t="n">
        <v>0</v>
      </c>
      <c r="P173" t="n">
        <v>0</v>
      </c>
      <c r="Q173" t="n">
        <v>0</v>
      </c>
      <c r="R173" s="2" t="inlineStr"/>
    </row>
    <row r="174" ht="15" customHeight="1">
      <c r="A174" t="inlineStr">
        <is>
          <t>A 40574-2025</t>
        </is>
      </c>
      <c r="B174" s="1" t="n">
        <v>45896.50040509259</v>
      </c>
      <c r="C174" s="1" t="n">
        <v>46144</v>
      </c>
      <c r="D174" t="inlineStr">
        <is>
          <t>VÄSTRA GÖTALANDS LÄN</t>
        </is>
      </c>
      <c r="E174" t="inlineStr">
        <is>
          <t>DALS-ED</t>
        </is>
      </c>
      <c r="G174" t="n">
        <v>2.8</v>
      </c>
      <c r="H174" t="n">
        <v>0</v>
      </c>
      <c r="I174" t="n">
        <v>0</v>
      </c>
      <c r="J174" t="n">
        <v>0</v>
      </c>
      <c r="K174" t="n">
        <v>0</v>
      </c>
      <c r="L174" t="n">
        <v>0</v>
      </c>
      <c r="M174" t="n">
        <v>0</v>
      </c>
      <c r="N174" t="n">
        <v>0</v>
      </c>
      <c r="O174" t="n">
        <v>0</v>
      </c>
      <c r="P174" t="n">
        <v>0</v>
      </c>
      <c r="Q174" t="n">
        <v>0</v>
      </c>
      <c r="R174" s="2" t="inlineStr"/>
    </row>
    <row r="175" ht="15" customHeight="1">
      <c r="A175" t="inlineStr">
        <is>
          <t>A 48341-2024</t>
        </is>
      </c>
      <c r="B175" s="1" t="n">
        <v>45590.54883101852</v>
      </c>
      <c r="C175" s="1" t="n">
        <v>46144</v>
      </c>
      <c r="D175" t="inlineStr">
        <is>
          <t>VÄSTRA GÖTALANDS LÄN</t>
        </is>
      </c>
      <c r="E175" t="inlineStr">
        <is>
          <t>DALS-ED</t>
        </is>
      </c>
      <c r="G175" t="n">
        <v>0.6</v>
      </c>
      <c r="H175" t="n">
        <v>0</v>
      </c>
      <c r="I175" t="n">
        <v>0</v>
      </c>
      <c r="J175" t="n">
        <v>0</v>
      </c>
      <c r="K175" t="n">
        <v>0</v>
      </c>
      <c r="L175" t="n">
        <v>0</v>
      </c>
      <c r="M175" t="n">
        <v>0</v>
      </c>
      <c r="N175" t="n">
        <v>0</v>
      </c>
      <c r="O175" t="n">
        <v>0</v>
      </c>
      <c r="P175" t="n">
        <v>0</v>
      </c>
      <c r="Q175" t="n">
        <v>0</v>
      </c>
      <c r="R175" s="2" t="inlineStr"/>
    </row>
    <row r="176" ht="15" customHeight="1">
      <c r="A176" t="inlineStr">
        <is>
          <t>A 25867-2025</t>
        </is>
      </c>
      <c r="B176" s="1" t="n">
        <v>45804.48175925926</v>
      </c>
      <c r="C176" s="1" t="n">
        <v>46144</v>
      </c>
      <c r="D176" t="inlineStr">
        <is>
          <t>VÄSTRA GÖTALANDS LÄN</t>
        </is>
      </c>
      <c r="E176" t="inlineStr">
        <is>
          <t>DALS-ED</t>
        </is>
      </c>
      <c r="G176" t="n">
        <v>2.6</v>
      </c>
      <c r="H176" t="n">
        <v>0</v>
      </c>
      <c r="I176" t="n">
        <v>0</v>
      </c>
      <c r="J176" t="n">
        <v>0</v>
      </c>
      <c r="K176" t="n">
        <v>0</v>
      </c>
      <c r="L176" t="n">
        <v>0</v>
      </c>
      <c r="M176" t="n">
        <v>0</v>
      </c>
      <c r="N176" t="n">
        <v>0</v>
      </c>
      <c r="O176" t="n">
        <v>0</v>
      </c>
      <c r="P176" t="n">
        <v>0</v>
      </c>
      <c r="Q176" t="n">
        <v>0</v>
      </c>
      <c r="R176" s="2" t="inlineStr"/>
    </row>
    <row r="177" ht="15" customHeight="1">
      <c r="A177" t="inlineStr">
        <is>
          <t>A 31259-2025</t>
        </is>
      </c>
      <c r="B177" s="1" t="n">
        <v>45833.32277777778</v>
      </c>
      <c r="C177" s="1" t="n">
        <v>46144</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40817-2025</t>
        </is>
      </c>
      <c r="B178" s="1" t="n">
        <v>45897.48766203703</v>
      </c>
      <c r="C178" s="1" t="n">
        <v>46144</v>
      </c>
      <c r="D178" t="inlineStr">
        <is>
          <t>VÄSTRA GÖTALANDS LÄN</t>
        </is>
      </c>
      <c r="E178" t="inlineStr">
        <is>
          <t>DALS-ED</t>
        </is>
      </c>
      <c r="G178" t="n">
        <v>7.1</v>
      </c>
      <c r="H178" t="n">
        <v>0</v>
      </c>
      <c r="I178" t="n">
        <v>0</v>
      </c>
      <c r="J178" t="n">
        <v>0</v>
      </c>
      <c r="K178" t="n">
        <v>0</v>
      </c>
      <c r="L178" t="n">
        <v>0</v>
      </c>
      <c r="M178" t="n">
        <v>0</v>
      </c>
      <c r="N178" t="n">
        <v>0</v>
      </c>
      <c r="O178" t="n">
        <v>0</v>
      </c>
      <c r="P178" t="n">
        <v>0</v>
      </c>
      <c r="Q178" t="n">
        <v>0</v>
      </c>
      <c r="R178" s="2" t="inlineStr"/>
    </row>
    <row r="179" ht="15" customHeight="1">
      <c r="A179" t="inlineStr">
        <is>
          <t>A 21290-2023</t>
        </is>
      </c>
      <c r="B179" s="1" t="n">
        <v>45062.64560185185</v>
      </c>
      <c r="C179" s="1" t="n">
        <v>46144</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10906-2025</t>
        </is>
      </c>
      <c r="B180" s="1" t="n">
        <v>45722.7066087963</v>
      </c>
      <c r="C180" s="1" t="n">
        <v>46144</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58354-2024</t>
        </is>
      </c>
      <c r="B181" s="1" t="n">
        <v>45632.6547337963</v>
      </c>
      <c r="C181" s="1" t="n">
        <v>46144</v>
      </c>
      <c r="D181" t="inlineStr">
        <is>
          <t>VÄSTRA GÖTALANDS LÄN</t>
        </is>
      </c>
      <c r="E181" t="inlineStr">
        <is>
          <t>DALS-ED</t>
        </is>
      </c>
      <c r="G181" t="n">
        <v>3.3</v>
      </c>
      <c r="H181" t="n">
        <v>0</v>
      </c>
      <c r="I181" t="n">
        <v>0</v>
      </c>
      <c r="J181" t="n">
        <v>0</v>
      </c>
      <c r="K181" t="n">
        <v>0</v>
      </c>
      <c r="L181" t="n">
        <v>0</v>
      </c>
      <c r="M181" t="n">
        <v>0</v>
      </c>
      <c r="N181" t="n">
        <v>0</v>
      </c>
      <c r="O181" t="n">
        <v>0</v>
      </c>
      <c r="P181" t="n">
        <v>0</v>
      </c>
      <c r="Q181" t="n">
        <v>0</v>
      </c>
      <c r="R181" s="2" t="inlineStr"/>
    </row>
    <row r="182" ht="15" customHeight="1">
      <c r="A182" t="inlineStr">
        <is>
          <t>A 41709-2025</t>
        </is>
      </c>
      <c r="B182" s="1" t="n">
        <v>45902.42664351852</v>
      </c>
      <c r="C182" s="1" t="n">
        <v>46144</v>
      </c>
      <c r="D182" t="inlineStr">
        <is>
          <t>VÄSTRA GÖTALANDS LÄN</t>
        </is>
      </c>
      <c r="E182" t="inlineStr">
        <is>
          <t>DALS-ED</t>
        </is>
      </c>
      <c r="G182" t="n">
        <v>4.1</v>
      </c>
      <c r="H182" t="n">
        <v>0</v>
      </c>
      <c r="I182" t="n">
        <v>0</v>
      </c>
      <c r="J182" t="n">
        <v>0</v>
      </c>
      <c r="K182" t="n">
        <v>0</v>
      </c>
      <c r="L182" t="n">
        <v>0</v>
      </c>
      <c r="M182" t="n">
        <v>0</v>
      </c>
      <c r="N182" t="n">
        <v>0</v>
      </c>
      <c r="O182" t="n">
        <v>0</v>
      </c>
      <c r="P182" t="n">
        <v>0</v>
      </c>
      <c r="Q182" t="n">
        <v>0</v>
      </c>
      <c r="R182" s="2" t="inlineStr"/>
    </row>
    <row r="183" ht="15" customHeight="1">
      <c r="A183" t="inlineStr">
        <is>
          <t>A 10873-2025</t>
        </is>
      </c>
      <c r="B183" s="1" t="n">
        <v>45722.63233796296</v>
      </c>
      <c r="C183" s="1" t="n">
        <v>46144</v>
      </c>
      <c r="D183" t="inlineStr">
        <is>
          <t>VÄSTRA GÖTALANDS LÄN</t>
        </is>
      </c>
      <c r="E183" t="inlineStr">
        <is>
          <t>DALS-ED</t>
        </is>
      </c>
      <c r="G183" t="n">
        <v>6.1</v>
      </c>
      <c r="H183" t="n">
        <v>0</v>
      </c>
      <c r="I183" t="n">
        <v>0</v>
      </c>
      <c r="J183" t="n">
        <v>0</v>
      </c>
      <c r="K183" t="n">
        <v>0</v>
      </c>
      <c r="L183" t="n">
        <v>0</v>
      </c>
      <c r="M183" t="n">
        <v>0</v>
      </c>
      <c r="N183" t="n">
        <v>0</v>
      </c>
      <c r="O183" t="n">
        <v>0</v>
      </c>
      <c r="P183" t="n">
        <v>0</v>
      </c>
      <c r="Q183" t="n">
        <v>0</v>
      </c>
      <c r="R183" s="2" t="inlineStr"/>
    </row>
    <row r="184" ht="15" customHeight="1">
      <c r="A184" t="inlineStr">
        <is>
          <t>A 5662-2025</t>
        </is>
      </c>
      <c r="B184" s="1" t="n">
        <v>45693.7809375</v>
      </c>
      <c r="C184" s="1" t="n">
        <v>46144</v>
      </c>
      <c r="D184" t="inlineStr">
        <is>
          <t>VÄSTRA GÖTALANDS LÄN</t>
        </is>
      </c>
      <c r="E184" t="inlineStr">
        <is>
          <t>DALS-ED</t>
        </is>
      </c>
      <c r="G184" t="n">
        <v>8.1</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46144</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44465-2023</t>
        </is>
      </c>
      <c r="B186" s="1" t="n">
        <v>45189.40020833333</v>
      </c>
      <c r="C186" s="1" t="n">
        <v>46144</v>
      </c>
      <c r="D186" t="inlineStr">
        <is>
          <t>VÄSTRA GÖTALANDS LÄN</t>
        </is>
      </c>
      <c r="E186" t="inlineStr">
        <is>
          <t>DALS-ED</t>
        </is>
      </c>
      <c r="G186" t="n">
        <v>0.8</v>
      </c>
      <c r="H186" t="n">
        <v>0</v>
      </c>
      <c r="I186" t="n">
        <v>0</v>
      </c>
      <c r="J186" t="n">
        <v>0</v>
      </c>
      <c r="K186" t="n">
        <v>0</v>
      </c>
      <c r="L186" t="n">
        <v>0</v>
      </c>
      <c r="M186" t="n">
        <v>0</v>
      </c>
      <c r="N186" t="n">
        <v>0</v>
      </c>
      <c r="O186" t="n">
        <v>0</v>
      </c>
      <c r="P186" t="n">
        <v>0</v>
      </c>
      <c r="Q186" t="n">
        <v>0</v>
      </c>
      <c r="R186" s="2" t="inlineStr"/>
    </row>
    <row r="187" ht="15" customHeight="1">
      <c r="A187" t="inlineStr">
        <is>
          <t>A 41859-2025</t>
        </is>
      </c>
      <c r="B187" s="1" t="n">
        <v>45903.23393518518</v>
      </c>
      <c r="C187" s="1" t="n">
        <v>46144</v>
      </c>
      <c r="D187" t="inlineStr">
        <is>
          <t>VÄSTRA GÖTALANDS LÄN</t>
        </is>
      </c>
      <c r="E187" t="inlineStr">
        <is>
          <t>DALS-ED</t>
        </is>
      </c>
      <c r="G187" t="n">
        <v>0.4</v>
      </c>
      <c r="H187" t="n">
        <v>0</v>
      </c>
      <c r="I187" t="n">
        <v>0</v>
      </c>
      <c r="J187" t="n">
        <v>0</v>
      </c>
      <c r="K187" t="n">
        <v>0</v>
      </c>
      <c r="L187" t="n">
        <v>0</v>
      </c>
      <c r="M187" t="n">
        <v>0</v>
      </c>
      <c r="N187" t="n">
        <v>0</v>
      </c>
      <c r="O187" t="n">
        <v>0</v>
      </c>
      <c r="P187" t="n">
        <v>0</v>
      </c>
      <c r="Q187" t="n">
        <v>0</v>
      </c>
      <c r="R187" s="2" t="inlineStr"/>
    </row>
    <row r="188" ht="15" customHeight="1">
      <c r="A188" t="inlineStr">
        <is>
          <t>A 42314-2025</t>
        </is>
      </c>
      <c r="B188" s="1" t="n">
        <v>45904.65920138889</v>
      </c>
      <c r="C188" s="1" t="n">
        <v>46144</v>
      </c>
      <c r="D188" t="inlineStr">
        <is>
          <t>VÄSTRA GÖTALANDS LÄN</t>
        </is>
      </c>
      <c r="E188" t="inlineStr">
        <is>
          <t>DALS-ED</t>
        </is>
      </c>
      <c r="G188" t="n">
        <v>5.5</v>
      </c>
      <c r="H188" t="n">
        <v>0</v>
      </c>
      <c r="I188" t="n">
        <v>0</v>
      </c>
      <c r="J188" t="n">
        <v>0</v>
      </c>
      <c r="K188" t="n">
        <v>0</v>
      </c>
      <c r="L188" t="n">
        <v>0</v>
      </c>
      <c r="M188" t="n">
        <v>0</v>
      </c>
      <c r="N188" t="n">
        <v>0</v>
      </c>
      <c r="O188" t="n">
        <v>0</v>
      </c>
      <c r="P188" t="n">
        <v>0</v>
      </c>
      <c r="Q188" t="n">
        <v>0</v>
      </c>
      <c r="R188" s="2" t="inlineStr"/>
    </row>
    <row r="189" ht="15" customHeight="1">
      <c r="A189" t="inlineStr">
        <is>
          <t>A 12703-2025</t>
        </is>
      </c>
      <c r="B189" s="1" t="n">
        <v>45733.46701388889</v>
      </c>
      <c r="C189" s="1" t="n">
        <v>46144</v>
      </c>
      <c r="D189" t="inlineStr">
        <is>
          <t>VÄSTRA GÖTALANDS LÄN</t>
        </is>
      </c>
      <c r="E189" t="inlineStr">
        <is>
          <t>DALS-ED</t>
        </is>
      </c>
      <c r="G189" t="n">
        <v>2.2</v>
      </c>
      <c r="H189" t="n">
        <v>0</v>
      </c>
      <c r="I189" t="n">
        <v>0</v>
      </c>
      <c r="J189" t="n">
        <v>0</v>
      </c>
      <c r="K189" t="n">
        <v>0</v>
      </c>
      <c r="L189" t="n">
        <v>0</v>
      </c>
      <c r="M189" t="n">
        <v>0</v>
      </c>
      <c r="N189" t="n">
        <v>0</v>
      </c>
      <c r="O189" t="n">
        <v>0</v>
      </c>
      <c r="P189" t="n">
        <v>0</v>
      </c>
      <c r="Q189" t="n">
        <v>0</v>
      </c>
      <c r="R189" s="2" t="inlineStr"/>
    </row>
    <row r="190" ht="15" customHeight="1">
      <c r="A190" t="inlineStr">
        <is>
          <t>A 42190-2025</t>
        </is>
      </c>
      <c r="B190" s="1" t="n">
        <v>45904.47331018518</v>
      </c>
      <c r="C190" s="1" t="n">
        <v>46144</v>
      </c>
      <c r="D190" t="inlineStr">
        <is>
          <t>VÄSTRA GÖTALANDS LÄN</t>
        </is>
      </c>
      <c r="E190" t="inlineStr">
        <is>
          <t>DALS-ED</t>
        </is>
      </c>
      <c r="G190" t="n">
        <v>6.3</v>
      </c>
      <c r="H190" t="n">
        <v>0</v>
      </c>
      <c r="I190" t="n">
        <v>0</v>
      </c>
      <c r="J190" t="n">
        <v>0</v>
      </c>
      <c r="K190" t="n">
        <v>0</v>
      </c>
      <c r="L190" t="n">
        <v>0</v>
      </c>
      <c r="M190" t="n">
        <v>0</v>
      </c>
      <c r="N190" t="n">
        <v>0</v>
      </c>
      <c r="O190" t="n">
        <v>0</v>
      </c>
      <c r="P190" t="n">
        <v>0</v>
      </c>
      <c r="Q190" t="n">
        <v>0</v>
      </c>
      <c r="R190" s="2" t="inlineStr"/>
    </row>
    <row r="191" ht="15" customHeight="1">
      <c r="A191" t="inlineStr">
        <is>
          <t>A 42306-2025</t>
        </is>
      </c>
      <c r="B191" s="1" t="n">
        <v>45904.65074074074</v>
      </c>
      <c r="C191" s="1" t="n">
        <v>46144</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41696-2021</t>
        </is>
      </c>
      <c r="B192" s="1" t="n">
        <v>44425.5575</v>
      </c>
      <c r="C192" s="1" t="n">
        <v>46144</v>
      </c>
      <c r="D192" t="inlineStr">
        <is>
          <t>VÄSTRA GÖTALANDS LÄN</t>
        </is>
      </c>
      <c r="E192" t="inlineStr">
        <is>
          <t>DALS-ED</t>
        </is>
      </c>
      <c r="G192" t="n">
        <v>6</v>
      </c>
      <c r="H192" t="n">
        <v>0</v>
      </c>
      <c r="I192" t="n">
        <v>0</v>
      </c>
      <c r="J192" t="n">
        <v>0</v>
      </c>
      <c r="K192" t="n">
        <v>0</v>
      </c>
      <c r="L192" t="n">
        <v>0</v>
      </c>
      <c r="M192" t="n">
        <v>0</v>
      </c>
      <c r="N192" t="n">
        <v>0</v>
      </c>
      <c r="O192" t="n">
        <v>0</v>
      </c>
      <c r="P192" t="n">
        <v>0</v>
      </c>
      <c r="Q192" t="n">
        <v>0</v>
      </c>
      <c r="R192" s="2" t="inlineStr"/>
    </row>
    <row r="193" ht="15" customHeight="1">
      <c r="A193" t="inlineStr">
        <is>
          <t>A 41853-2025</t>
        </is>
      </c>
      <c r="B193" s="1" t="n">
        <v>45902.90766203704</v>
      </c>
      <c r="C193" s="1" t="n">
        <v>46144</v>
      </c>
      <c r="D193" t="inlineStr">
        <is>
          <t>VÄSTRA GÖTALANDS LÄN</t>
        </is>
      </c>
      <c r="E193" t="inlineStr">
        <is>
          <t>DALS-ED</t>
        </is>
      </c>
      <c r="G193" t="n">
        <v>5.6</v>
      </c>
      <c r="H193" t="n">
        <v>0</v>
      </c>
      <c r="I193" t="n">
        <v>0</v>
      </c>
      <c r="J193" t="n">
        <v>0</v>
      </c>
      <c r="K193" t="n">
        <v>0</v>
      </c>
      <c r="L193" t="n">
        <v>0</v>
      </c>
      <c r="M193" t="n">
        <v>0</v>
      </c>
      <c r="N193" t="n">
        <v>0</v>
      </c>
      <c r="O193" t="n">
        <v>0</v>
      </c>
      <c r="P193" t="n">
        <v>0</v>
      </c>
      <c r="Q193" t="n">
        <v>0</v>
      </c>
      <c r="R193" s="2" t="inlineStr"/>
    </row>
    <row r="194" ht="15" customHeight="1">
      <c r="A194" t="inlineStr">
        <is>
          <t>A 42781-2023</t>
        </is>
      </c>
      <c r="B194" s="1" t="n">
        <v>45181.86436342593</v>
      </c>
      <c r="C194" s="1" t="n">
        <v>46144</v>
      </c>
      <c r="D194" t="inlineStr">
        <is>
          <t>VÄSTRA GÖTALANDS LÄN</t>
        </is>
      </c>
      <c r="E194" t="inlineStr">
        <is>
          <t>DALS-ED</t>
        </is>
      </c>
      <c r="G194" t="n">
        <v>2.9</v>
      </c>
      <c r="H194" t="n">
        <v>0</v>
      </c>
      <c r="I194" t="n">
        <v>0</v>
      </c>
      <c r="J194" t="n">
        <v>0</v>
      </c>
      <c r="K194" t="n">
        <v>0</v>
      </c>
      <c r="L194" t="n">
        <v>0</v>
      </c>
      <c r="M194" t="n">
        <v>0</v>
      </c>
      <c r="N194" t="n">
        <v>0</v>
      </c>
      <c r="O194" t="n">
        <v>0</v>
      </c>
      <c r="P194" t="n">
        <v>0</v>
      </c>
      <c r="Q194" t="n">
        <v>0</v>
      </c>
      <c r="R194" s="2" t="inlineStr"/>
    </row>
    <row r="195" ht="15" customHeight="1">
      <c r="A195" t="inlineStr">
        <is>
          <t>A 31732-2025</t>
        </is>
      </c>
      <c r="B195" s="1" t="n">
        <v>45834.47009259259</v>
      </c>
      <c r="C195" s="1" t="n">
        <v>46144</v>
      </c>
      <c r="D195" t="inlineStr">
        <is>
          <t>VÄSTRA GÖTALANDS LÄN</t>
        </is>
      </c>
      <c r="E195" t="inlineStr">
        <is>
          <t>DALS-ED</t>
        </is>
      </c>
      <c r="G195" t="n">
        <v>2</v>
      </c>
      <c r="H195" t="n">
        <v>0</v>
      </c>
      <c r="I195" t="n">
        <v>0</v>
      </c>
      <c r="J195" t="n">
        <v>0</v>
      </c>
      <c r="K195" t="n">
        <v>0</v>
      </c>
      <c r="L195" t="n">
        <v>0</v>
      </c>
      <c r="M195" t="n">
        <v>0</v>
      </c>
      <c r="N195" t="n">
        <v>0</v>
      </c>
      <c r="O195" t="n">
        <v>0</v>
      </c>
      <c r="P195" t="n">
        <v>0</v>
      </c>
      <c r="Q195" t="n">
        <v>0</v>
      </c>
      <c r="R195" s="2" t="inlineStr"/>
    </row>
    <row r="196" ht="15" customHeight="1">
      <c r="A196" t="inlineStr">
        <is>
          <t>A 42781-2025</t>
        </is>
      </c>
      <c r="B196" s="1" t="n">
        <v>45908.50071759259</v>
      </c>
      <c r="C196" s="1" t="n">
        <v>46144</v>
      </c>
      <c r="D196" t="inlineStr">
        <is>
          <t>VÄSTRA GÖTALANDS LÄN</t>
        </is>
      </c>
      <c r="E196" t="inlineStr">
        <is>
          <t>DALS-ED</t>
        </is>
      </c>
      <c r="F196" t="inlineStr">
        <is>
          <t>Kyrkan</t>
        </is>
      </c>
      <c r="G196" t="n">
        <v>2.9</v>
      </c>
      <c r="H196" t="n">
        <v>0</v>
      </c>
      <c r="I196" t="n">
        <v>0</v>
      </c>
      <c r="J196" t="n">
        <v>0</v>
      </c>
      <c r="K196" t="n">
        <v>0</v>
      </c>
      <c r="L196" t="n">
        <v>0</v>
      </c>
      <c r="M196" t="n">
        <v>0</v>
      </c>
      <c r="N196" t="n">
        <v>0</v>
      </c>
      <c r="O196" t="n">
        <v>0</v>
      </c>
      <c r="P196" t="n">
        <v>0</v>
      </c>
      <c r="Q196" t="n">
        <v>0</v>
      </c>
      <c r="R196" s="2" t="inlineStr"/>
    </row>
    <row r="197" ht="15" customHeight="1">
      <c r="A197" t="inlineStr">
        <is>
          <t>A 36232-2023</t>
        </is>
      </c>
      <c r="B197" s="1" t="n">
        <v>45150.39412037037</v>
      </c>
      <c r="C197" s="1" t="n">
        <v>46144</v>
      </c>
      <c r="D197" t="inlineStr">
        <is>
          <t>VÄSTRA GÖTALANDS LÄN</t>
        </is>
      </c>
      <c r="E197" t="inlineStr">
        <is>
          <t>DALS-ED</t>
        </is>
      </c>
      <c r="G197" t="n">
        <v>1.4</v>
      </c>
      <c r="H197" t="n">
        <v>0</v>
      </c>
      <c r="I197" t="n">
        <v>0</v>
      </c>
      <c r="J197" t="n">
        <v>0</v>
      </c>
      <c r="K197" t="n">
        <v>0</v>
      </c>
      <c r="L197" t="n">
        <v>0</v>
      </c>
      <c r="M197" t="n">
        <v>0</v>
      </c>
      <c r="N197" t="n">
        <v>0</v>
      </c>
      <c r="O197" t="n">
        <v>0</v>
      </c>
      <c r="P197" t="n">
        <v>0</v>
      </c>
      <c r="Q197" t="n">
        <v>0</v>
      </c>
      <c r="R197" s="2" t="inlineStr"/>
    </row>
    <row r="198" ht="15" customHeight="1">
      <c r="A198" t="inlineStr">
        <is>
          <t>A 31750-2025</t>
        </is>
      </c>
      <c r="B198" s="1" t="n">
        <v>45834.48267361111</v>
      </c>
      <c r="C198" s="1" t="n">
        <v>46144</v>
      </c>
      <c r="D198" t="inlineStr">
        <is>
          <t>VÄSTRA GÖTALANDS LÄN</t>
        </is>
      </c>
      <c r="E198" t="inlineStr">
        <is>
          <t>DALS-ED</t>
        </is>
      </c>
      <c r="G198" t="n">
        <v>1.1</v>
      </c>
      <c r="H198" t="n">
        <v>0</v>
      </c>
      <c r="I198" t="n">
        <v>0</v>
      </c>
      <c r="J198" t="n">
        <v>0</v>
      </c>
      <c r="K198" t="n">
        <v>0</v>
      </c>
      <c r="L198" t="n">
        <v>0</v>
      </c>
      <c r="M198" t="n">
        <v>0</v>
      </c>
      <c r="N198" t="n">
        <v>0</v>
      </c>
      <c r="O198" t="n">
        <v>0</v>
      </c>
      <c r="P198" t="n">
        <v>0</v>
      </c>
      <c r="Q198" t="n">
        <v>0</v>
      </c>
      <c r="R198" s="2" t="inlineStr"/>
    </row>
    <row r="199" ht="15" customHeight="1">
      <c r="A199" t="inlineStr">
        <is>
          <t>A 42351-2025</t>
        </is>
      </c>
      <c r="B199" s="1" t="n">
        <v>45904.81601851852</v>
      </c>
      <c r="C199" s="1" t="n">
        <v>46144</v>
      </c>
      <c r="D199" t="inlineStr">
        <is>
          <t>VÄSTRA GÖTALANDS LÄN</t>
        </is>
      </c>
      <c r="E199" t="inlineStr">
        <is>
          <t>DALS-ED</t>
        </is>
      </c>
      <c r="F199" t="inlineStr">
        <is>
          <t>Övriga Aktiebolag</t>
        </is>
      </c>
      <c r="G199" t="n">
        <v>5.2</v>
      </c>
      <c r="H199" t="n">
        <v>0</v>
      </c>
      <c r="I199" t="n">
        <v>0</v>
      </c>
      <c r="J199" t="n">
        <v>0</v>
      </c>
      <c r="K199" t="n">
        <v>0</v>
      </c>
      <c r="L199" t="n">
        <v>0</v>
      </c>
      <c r="M199" t="n">
        <v>0</v>
      </c>
      <c r="N199" t="n">
        <v>0</v>
      </c>
      <c r="O199" t="n">
        <v>0</v>
      </c>
      <c r="P199" t="n">
        <v>0</v>
      </c>
      <c r="Q199" t="n">
        <v>0</v>
      </c>
      <c r="R199" s="2" t="inlineStr"/>
    </row>
    <row r="200" ht="15" customHeight="1">
      <c r="A200" t="inlineStr">
        <is>
          <t>A 61497-2024</t>
        </is>
      </c>
      <c r="B200" s="1" t="n">
        <v>45646.55346064815</v>
      </c>
      <c r="C200" s="1" t="n">
        <v>46144</v>
      </c>
      <c r="D200" t="inlineStr">
        <is>
          <t>VÄSTRA GÖTALANDS LÄN</t>
        </is>
      </c>
      <c r="E200" t="inlineStr">
        <is>
          <t>DALS-ED</t>
        </is>
      </c>
      <c r="G200" t="n">
        <v>1.6</v>
      </c>
      <c r="H200" t="n">
        <v>0</v>
      </c>
      <c r="I200" t="n">
        <v>0</v>
      </c>
      <c r="J200" t="n">
        <v>0</v>
      </c>
      <c r="K200" t="n">
        <v>0</v>
      </c>
      <c r="L200" t="n">
        <v>0</v>
      </c>
      <c r="M200" t="n">
        <v>0</v>
      </c>
      <c r="N200" t="n">
        <v>0</v>
      </c>
      <c r="O200" t="n">
        <v>0</v>
      </c>
      <c r="P200" t="n">
        <v>0</v>
      </c>
      <c r="Q200" t="n">
        <v>0</v>
      </c>
      <c r="R200" s="2" t="inlineStr"/>
    </row>
    <row r="201" ht="15" customHeight="1">
      <c r="A201" t="inlineStr">
        <is>
          <t>A 42703-2025</t>
        </is>
      </c>
      <c r="B201" s="1" t="n">
        <v>45908.36853009259</v>
      </c>
      <c r="C201" s="1" t="n">
        <v>46144</v>
      </c>
      <c r="D201" t="inlineStr">
        <is>
          <t>VÄSTRA GÖTALANDS LÄN</t>
        </is>
      </c>
      <c r="E201" t="inlineStr">
        <is>
          <t>DALS-ED</t>
        </is>
      </c>
      <c r="F201" t="inlineStr">
        <is>
          <t>Kyrkan</t>
        </is>
      </c>
      <c r="G201" t="n">
        <v>2.2</v>
      </c>
      <c r="H201" t="n">
        <v>0</v>
      </c>
      <c r="I201" t="n">
        <v>0</v>
      </c>
      <c r="J201" t="n">
        <v>0</v>
      </c>
      <c r="K201" t="n">
        <v>0</v>
      </c>
      <c r="L201" t="n">
        <v>0</v>
      </c>
      <c r="M201" t="n">
        <v>0</v>
      </c>
      <c r="N201" t="n">
        <v>0</v>
      </c>
      <c r="O201" t="n">
        <v>0</v>
      </c>
      <c r="P201" t="n">
        <v>0</v>
      </c>
      <c r="Q201" t="n">
        <v>0</v>
      </c>
      <c r="R201" s="2" t="inlineStr"/>
    </row>
    <row r="202" ht="15" customHeight="1">
      <c r="A202" t="inlineStr">
        <is>
          <t>A 42362-2025</t>
        </is>
      </c>
      <c r="B202" s="1" t="n">
        <v>45905.31484953704</v>
      </c>
      <c r="C202" s="1" t="n">
        <v>46144</v>
      </c>
      <c r="D202" t="inlineStr">
        <is>
          <t>VÄSTRA GÖTALANDS LÄN</t>
        </is>
      </c>
      <c r="E202" t="inlineStr">
        <is>
          <t>DALS-ED</t>
        </is>
      </c>
      <c r="F202" t="inlineStr">
        <is>
          <t>Övriga Aktiebolag</t>
        </is>
      </c>
      <c r="G202" t="n">
        <v>1.8</v>
      </c>
      <c r="H202" t="n">
        <v>0</v>
      </c>
      <c r="I202" t="n">
        <v>0</v>
      </c>
      <c r="J202" t="n">
        <v>0</v>
      </c>
      <c r="K202" t="n">
        <v>0</v>
      </c>
      <c r="L202" t="n">
        <v>0</v>
      </c>
      <c r="M202" t="n">
        <v>0</v>
      </c>
      <c r="N202" t="n">
        <v>0</v>
      </c>
      <c r="O202" t="n">
        <v>0</v>
      </c>
      <c r="P202" t="n">
        <v>0</v>
      </c>
      <c r="Q202" t="n">
        <v>0</v>
      </c>
      <c r="R202" s="2" t="inlineStr"/>
    </row>
    <row r="203" ht="15" customHeight="1">
      <c r="A203" t="inlineStr">
        <is>
          <t>A 42371-2025</t>
        </is>
      </c>
      <c r="B203" s="1" t="n">
        <v>45905.33233796297</v>
      </c>
      <c r="C203" s="1" t="n">
        <v>46144</v>
      </c>
      <c r="D203" t="inlineStr">
        <is>
          <t>VÄSTRA GÖTALANDS LÄN</t>
        </is>
      </c>
      <c r="E203" t="inlineStr">
        <is>
          <t>DALS-ED</t>
        </is>
      </c>
      <c r="F203" t="inlineStr">
        <is>
          <t>Övriga Aktiebolag</t>
        </is>
      </c>
      <c r="G203" t="n">
        <v>10.6</v>
      </c>
      <c r="H203" t="n">
        <v>0</v>
      </c>
      <c r="I203" t="n">
        <v>0</v>
      </c>
      <c r="J203" t="n">
        <v>0</v>
      </c>
      <c r="K203" t="n">
        <v>0</v>
      </c>
      <c r="L203" t="n">
        <v>0</v>
      </c>
      <c r="M203" t="n">
        <v>0</v>
      </c>
      <c r="N203" t="n">
        <v>0</v>
      </c>
      <c r="O203" t="n">
        <v>0</v>
      </c>
      <c r="P203" t="n">
        <v>0</v>
      </c>
      <c r="Q203" t="n">
        <v>0</v>
      </c>
      <c r="R203" s="2" t="inlineStr"/>
    </row>
    <row r="204" ht="15" customHeight="1">
      <c r="A204" t="inlineStr">
        <is>
          <t>A 43086-2025</t>
        </is>
      </c>
      <c r="B204" s="1" t="n">
        <v>45909.61884259259</v>
      </c>
      <c r="C204" s="1" t="n">
        <v>46144</v>
      </c>
      <c r="D204" t="inlineStr">
        <is>
          <t>VÄSTRA GÖTALANDS LÄN</t>
        </is>
      </c>
      <c r="E204" t="inlineStr">
        <is>
          <t>DALS-ED</t>
        </is>
      </c>
      <c r="G204" t="n">
        <v>0.1</v>
      </c>
      <c r="H204" t="n">
        <v>0</v>
      </c>
      <c r="I204" t="n">
        <v>0</v>
      </c>
      <c r="J204" t="n">
        <v>0</v>
      </c>
      <c r="K204" t="n">
        <v>0</v>
      </c>
      <c r="L204" t="n">
        <v>0</v>
      </c>
      <c r="M204" t="n">
        <v>0</v>
      </c>
      <c r="N204" t="n">
        <v>0</v>
      </c>
      <c r="O204" t="n">
        <v>0</v>
      </c>
      <c r="P204" t="n">
        <v>0</v>
      </c>
      <c r="Q204" t="n">
        <v>0</v>
      </c>
      <c r="R204" s="2" t="inlineStr"/>
    </row>
    <row r="205" ht="15" customHeight="1">
      <c r="A205" t="inlineStr">
        <is>
          <t>A 42953-2025</t>
        </is>
      </c>
      <c r="B205" s="1" t="n">
        <v>45909.35702546296</v>
      </c>
      <c r="C205" s="1" t="n">
        <v>46144</v>
      </c>
      <c r="D205" t="inlineStr">
        <is>
          <t>VÄSTRA GÖTALANDS LÄN</t>
        </is>
      </c>
      <c r="E205" t="inlineStr">
        <is>
          <t>DALS-ED</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43358-2025</t>
        </is>
      </c>
      <c r="B206" s="1" t="n">
        <v>45911.34137731481</v>
      </c>
      <c r="C206" s="1" t="n">
        <v>46144</v>
      </c>
      <c r="D206" t="inlineStr">
        <is>
          <t>VÄSTRA GÖTALANDS LÄN</t>
        </is>
      </c>
      <c r="E206" t="inlineStr">
        <is>
          <t>DALS-ED</t>
        </is>
      </c>
      <c r="G206" t="n">
        <v>6.4</v>
      </c>
      <c r="H206" t="n">
        <v>0</v>
      </c>
      <c r="I206" t="n">
        <v>0</v>
      </c>
      <c r="J206" t="n">
        <v>0</v>
      </c>
      <c r="K206" t="n">
        <v>0</v>
      </c>
      <c r="L206" t="n">
        <v>0</v>
      </c>
      <c r="M206" t="n">
        <v>0</v>
      </c>
      <c r="N206" t="n">
        <v>0</v>
      </c>
      <c r="O206" t="n">
        <v>0</v>
      </c>
      <c r="P206" t="n">
        <v>0</v>
      </c>
      <c r="Q206" t="n">
        <v>0</v>
      </c>
      <c r="R206" s="2" t="inlineStr"/>
    </row>
    <row r="207" ht="15" customHeight="1">
      <c r="A207" t="inlineStr">
        <is>
          <t>A 35295-2024</t>
        </is>
      </c>
      <c r="B207" s="1" t="n">
        <v>45530.66170138889</v>
      </c>
      <c r="C207" s="1" t="n">
        <v>46144</v>
      </c>
      <c r="D207" t="inlineStr">
        <is>
          <t>VÄSTRA GÖTALANDS LÄN</t>
        </is>
      </c>
      <c r="E207" t="inlineStr">
        <is>
          <t>DALS-ED</t>
        </is>
      </c>
      <c r="G207" t="n">
        <v>0.3</v>
      </c>
      <c r="H207" t="n">
        <v>0</v>
      </c>
      <c r="I207" t="n">
        <v>0</v>
      </c>
      <c r="J207" t="n">
        <v>0</v>
      </c>
      <c r="K207" t="n">
        <v>0</v>
      </c>
      <c r="L207" t="n">
        <v>0</v>
      </c>
      <c r="M207" t="n">
        <v>0</v>
      </c>
      <c r="N207" t="n">
        <v>0</v>
      </c>
      <c r="O207" t="n">
        <v>0</v>
      </c>
      <c r="P207" t="n">
        <v>0</v>
      </c>
      <c r="Q207" t="n">
        <v>0</v>
      </c>
      <c r="R207" s="2" t="inlineStr"/>
    </row>
    <row r="208" ht="15" customHeight="1">
      <c r="A208" t="inlineStr">
        <is>
          <t>A 43376-2025</t>
        </is>
      </c>
      <c r="B208" s="1" t="n">
        <v>45911.35574074074</v>
      </c>
      <c r="C208" s="1" t="n">
        <v>46144</v>
      </c>
      <c r="D208" t="inlineStr">
        <is>
          <t>VÄSTRA GÖTALANDS LÄN</t>
        </is>
      </c>
      <c r="E208" t="inlineStr">
        <is>
          <t>DALS-ED</t>
        </is>
      </c>
      <c r="G208" t="n">
        <v>5.3</v>
      </c>
      <c r="H208" t="n">
        <v>0</v>
      </c>
      <c r="I208" t="n">
        <v>0</v>
      </c>
      <c r="J208" t="n">
        <v>0</v>
      </c>
      <c r="K208" t="n">
        <v>0</v>
      </c>
      <c r="L208" t="n">
        <v>0</v>
      </c>
      <c r="M208" t="n">
        <v>0</v>
      </c>
      <c r="N208" t="n">
        <v>0</v>
      </c>
      <c r="O208" t="n">
        <v>0</v>
      </c>
      <c r="P208" t="n">
        <v>0</v>
      </c>
      <c r="Q208" t="n">
        <v>0</v>
      </c>
      <c r="R208" s="2" t="inlineStr"/>
    </row>
    <row r="209" ht="15" customHeight="1">
      <c r="A209" t="inlineStr">
        <is>
          <t>A 52254-2023</t>
        </is>
      </c>
      <c r="B209" s="1" t="n">
        <v>45217</v>
      </c>
      <c r="C209" s="1" t="n">
        <v>46144</v>
      </c>
      <c r="D209" t="inlineStr">
        <is>
          <t>VÄSTRA GÖTALANDS LÄN</t>
        </is>
      </c>
      <c r="E209" t="inlineStr">
        <is>
          <t>DALS-ED</t>
        </is>
      </c>
      <c r="F209" t="inlineStr">
        <is>
          <t>Kyrkan</t>
        </is>
      </c>
      <c r="G209" t="n">
        <v>1.2</v>
      </c>
      <c r="H209" t="n">
        <v>0</v>
      </c>
      <c r="I209" t="n">
        <v>0</v>
      </c>
      <c r="J209" t="n">
        <v>0</v>
      </c>
      <c r="K209" t="n">
        <v>0</v>
      </c>
      <c r="L209" t="n">
        <v>0</v>
      </c>
      <c r="M209" t="n">
        <v>0</v>
      </c>
      <c r="N209" t="n">
        <v>0</v>
      </c>
      <c r="O209" t="n">
        <v>0</v>
      </c>
      <c r="P209" t="n">
        <v>0</v>
      </c>
      <c r="Q209" t="n">
        <v>0</v>
      </c>
      <c r="R209" s="2" t="inlineStr"/>
    </row>
    <row r="210" ht="15" customHeight="1">
      <c r="A210" t="inlineStr">
        <is>
          <t>A 44124-2025</t>
        </is>
      </c>
      <c r="B210" s="1" t="n">
        <v>45915.58008101852</v>
      </c>
      <c r="C210" s="1" t="n">
        <v>46144</v>
      </c>
      <c r="D210" t="inlineStr">
        <is>
          <t>VÄSTRA GÖTALANDS LÄN</t>
        </is>
      </c>
      <c r="E210" t="inlineStr">
        <is>
          <t>DALS-ED</t>
        </is>
      </c>
      <c r="G210" t="n">
        <v>4.7</v>
      </c>
      <c r="H210" t="n">
        <v>0</v>
      </c>
      <c r="I210" t="n">
        <v>0</v>
      </c>
      <c r="J210" t="n">
        <v>0</v>
      </c>
      <c r="K210" t="n">
        <v>0</v>
      </c>
      <c r="L210" t="n">
        <v>0</v>
      </c>
      <c r="M210" t="n">
        <v>0</v>
      </c>
      <c r="N210" t="n">
        <v>0</v>
      </c>
      <c r="O210" t="n">
        <v>0</v>
      </c>
      <c r="P210" t="n">
        <v>0</v>
      </c>
      <c r="Q210" t="n">
        <v>0</v>
      </c>
      <c r="R210" s="2" t="inlineStr"/>
    </row>
    <row r="211" ht="15" customHeight="1">
      <c r="A211" t="inlineStr">
        <is>
          <t>A 46435-2023</t>
        </is>
      </c>
      <c r="B211" s="1" t="n">
        <v>45197</v>
      </c>
      <c r="C211" s="1" t="n">
        <v>46144</v>
      </c>
      <c r="D211" t="inlineStr">
        <is>
          <t>VÄSTRA GÖTALANDS LÄN</t>
        </is>
      </c>
      <c r="E211" t="inlineStr">
        <is>
          <t>DALS-ED</t>
        </is>
      </c>
      <c r="G211" t="n">
        <v>0.5</v>
      </c>
      <c r="H211" t="n">
        <v>0</v>
      </c>
      <c r="I211" t="n">
        <v>0</v>
      </c>
      <c r="J211" t="n">
        <v>0</v>
      </c>
      <c r="K211" t="n">
        <v>0</v>
      </c>
      <c r="L211" t="n">
        <v>0</v>
      </c>
      <c r="M211" t="n">
        <v>0</v>
      </c>
      <c r="N211" t="n">
        <v>0</v>
      </c>
      <c r="O211" t="n">
        <v>0</v>
      </c>
      <c r="P211" t="n">
        <v>0</v>
      </c>
      <c r="Q211" t="n">
        <v>0</v>
      </c>
      <c r="R211" s="2" t="inlineStr"/>
    </row>
    <row r="212" ht="15" customHeight="1">
      <c r="A212" t="inlineStr">
        <is>
          <t>A 44083-2025</t>
        </is>
      </c>
      <c r="B212" s="1" t="n">
        <v>45915.55395833333</v>
      </c>
      <c r="C212" s="1" t="n">
        <v>46144</v>
      </c>
      <c r="D212" t="inlineStr">
        <is>
          <t>VÄSTRA GÖTALANDS LÄN</t>
        </is>
      </c>
      <c r="E212" t="inlineStr">
        <is>
          <t>DALS-ED</t>
        </is>
      </c>
      <c r="G212" t="n">
        <v>2.2</v>
      </c>
      <c r="H212" t="n">
        <v>0</v>
      </c>
      <c r="I212" t="n">
        <v>0</v>
      </c>
      <c r="J212" t="n">
        <v>0</v>
      </c>
      <c r="K212" t="n">
        <v>0</v>
      </c>
      <c r="L212" t="n">
        <v>0</v>
      </c>
      <c r="M212" t="n">
        <v>0</v>
      </c>
      <c r="N212" t="n">
        <v>0</v>
      </c>
      <c r="O212" t="n">
        <v>0</v>
      </c>
      <c r="P212" t="n">
        <v>0</v>
      </c>
      <c r="Q212" t="n">
        <v>0</v>
      </c>
      <c r="R212" s="2" t="inlineStr"/>
    </row>
    <row r="213" ht="15" customHeight="1">
      <c r="A213" t="inlineStr">
        <is>
          <t>A 31078-2021</t>
        </is>
      </c>
      <c r="B213" s="1" t="n">
        <v>44368</v>
      </c>
      <c r="C213" s="1" t="n">
        <v>46144</v>
      </c>
      <c r="D213" t="inlineStr">
        <is>
          <t>VÄSTRA GÖTALANDS LÄN</t>
        </is>
      </c>
      <c r="E213" t="inlineStr">
        <is>
          <t>DALS-ED</t>
        </is>
      </c>
      <c r="G213" t="n">
        <v>5.2</v>
      </c>
      <c r="H213" t="n">
        <v>0</v>
      </c>
      <c r="I213" t="n">
        <v>0</v>
      </c>
      <c r="J213" t="n">
        <v>0</v>
      </c>
      <c r="K213" t="n">
        <v>0</v>
      </c>
      <c r="L213" t="n">
        <v>0</v>
      </c>
      <c r="M213" t="n">
        <v>0</v>
      </c>
      <c r="N213" t="n">
        <v>0</v>
      </c>
      <c r="O213" t="n">
        <v>0</v>
      </c>
      <c r="P213" t="n">
        <v>0</v>
      </c>
      <c r="Q213" t="n">
        <v>0</v>
      </c>
      <c r="R213" s="2" t="inlineStr"/>
    </row>
    <row r="214" ht="15" customHeight="1">
      <c r="A214" t="inlineStr">
        <is>
          <t>A 38671-2024</t>
        </is>
      </c>
      <c r="B214" s="1" t="n">
        <v>45547.32871527778</v>
      </c>
      <c r="C214" s="1" t="n">
        <v>46144</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7522-2024</t>
        </is>
      </c>
      <c r="B215" s="1" t="n">
        <v>45348</v>
      </c>
      <c r="C215" s="1" t="n">
        <v>46144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45494-2025</t>
        </is>
      </c>
      <c r="B216" s="1" t="n">
        <v>45922.56030092593</v>
      </c>
      <c r="C216" s="1" t="n">
        <v>46144</v>
      </c>
      <c r="D216" t="inlineStr">
        <is>
          <t>VÄSTRA GÖTALANDS LÄN</t>
        </is>
      </c>
      <c r="E216" t="inlineStr">
        <is>
          <t>DALS-ED</t>
        </is>
      </c>
      <c r="G216" t="n">
        <v>2.8</v>
      </c>
      <c r="H216" t="n">
        <v>0</v>
      </c>
      <c r="I216" t="n">
        <v>0</v>
      </c>
      <c r="J216" t="n">
        <v>0</v>
      </c>
      <c r="K216" t="n">
        <v>0</v>
      </c>
      <c r="L216" t="n">
        <v>0</v>
      </c>
      <c r="M216" t="n">
        <v>0</v>
      </c>
      <c r="N216" t="n">
        <v>0</v>
      </c>
      <c r="O216" t="n">
        <v>0</v>
      </c>
      <c r="P216" t="n">
        <v>0</v>
      </c>
      <c r="Q216" t="n">
        <v>0</v>
      </c>
      <c r="R216" s="2" t="inlineStr"/>
    </row>
    <row r="217" ht="15" customHeight="1">
      <c r="A217" t="inlineStr">
        <is>
          <t>A 46434-2025</t>
        </is>
      </c>
      <c r="B217" s="1" t="n">
        <v>45925.63402777778</v>
      </c>
      <c r="C217" s="1" t="n">
        <v>46144</v>
      </c>
      <c r="D217" t="inlineStr">
        <is>
          <t>VÄSTRA GÖTALANDS LÄN</t>
        </is>
      </c>
      <c r="E217" t="inlineStr">
        <is>
          <t>DALS-ED</t>
        </is>
      </c>
      <c r="G217" t="n">
        <v>11.6</v>
      </c>
      <c r="H217" t="n">
        <v>0</v>
      </c>
      <c r="I217" t="n">
        <v>0</v>
      </c>
      <c r="J217" t="n">
        <v>0</v>
      </c>
      <c r="K217" t="n">
        <v>0</v>
      </c>
      <c r="L217" t="n">
        <v>0</v>
      </c>
      <c r="M217" t="n">
        <v>0</v>
      </c>
      <c r="N217" t="n">
        <v>0</v>
      </c>
      <c r="O217" t="n">
        <v>0</v>
      </c>
      <c r="P217" t="n">
        <v>0</v>
      </c>
      <c r="Q217" t="n">
        <v>0</v>
      </c>
      <c r="R217" s="2" t="inlineStr"/>
    </row>
    <row r="218" ht="15" customHeight="1">
      <c r="A218" t="inlineStr">
        <is>
          <t>A 46240-2025</t>
        </is>
      </c>
      <c r="B218" s="1" t="n">
        <v>45925.3152662037</v>
      </c>
      <c r="C218" s="1" t="n">
        <v>46144</v>
      </c>
      <c r="D218" t="inlineStr">
        <is>
          <t>VÄSTRA GÖTALANDS LÄN</t>
        </is>
      </c>
      <c r="E218" t="inlineStr">
        <is>
          <t>DALS-ED</t>
        </is>
      </c>
      <c r="G218" t="n">
        <v>19.8</v>
      </c>
      <c r="H218" t="n">
        <v>0</v>
      </c>
      <c r="I218" t="n">
        <v>0</v>
      </c>
      <c r="J218" t="n">
        <v>0</v>
      </c>
      <c r="K218" t="n">
        <v>0</v>
      </c>
      <c r="L218" t="n">
        <v>0</v>
      </c>
      <c r="M218" t="n">
        <v>0</v>
      </c>
      <c r="N218" t="n">
        <v>0</v>
      </c>
      <c r="O218" t="n">
        <v>0</v>
      </c>
      <c r="P218" t="n">
        <v>0</v>
      </c>
      <c r="Q218" t="n">
        <v>0</v>
      </c>
      <c r="R218" s="2" t="inlineStr"/>
    </row>
    <row r="219" ht="15" customHeight="1">
      <c r="A219" t="inlineStr">
        <is>
          <t>A 46383-2025</t>
        </is>
      </c>
      <c r="B219" s="1" t="n">
        <v>45925.52858796297</v>
      </c>
      <c r="C219" s="1" t="n">
        <v>46144</v>
      </c>
      <c r="D219" t="inlineStr">
        <is>
          <t>VÄSTRA GÖTALANDS LÄN</t>
        </is>
      </c>
      <c r="E219" t="inlineStr">
        <is>
          <t>DALS-ED</t>
        </is>
      </c>
      <c r="F219" t="inlineStr">
        <is>
          <t>Kyrkan</t>
        </is>
      </c>
      <c r="G219" t="n">
        <v>3.6</v>
      </c>
      <c r="H219" t="n">
        <v>0</v>
      </c>
      <c r="I219" t="n">
        <v>0</v>
      </c>
      <c r="J219" t="n">
        <v>0</v>
      </c>
      <c r="K219" t="n">
        <v>0</v>
      </c>
      <c r="L219" t="n">
        <v>0</v>
      </c>
      <c r="M219" t="n">
        <v>0</v>
      </c>
      <c r="N219" t="n">
        <v>0</v>
      </c>
      <c r="O219" t="n">
        <v>0</v>
      </c>
      <c r="P219" t="n">
        <v>0</v>
      </c>
      <c r="Q219" t="n">
        <v>0</v>
      </c>
      <c r="R219" s="2" t="inlineStr"/>
    </row>
    <row r="220" ht="15" customHeight="1">
      <c r="A220" t="inlineStr">
        <is>
          <t>A 19357-2025</t>
        </is>
      </c>
      <c r="B220" s="1" t="n">
        <v>45769.62415509259</v>
      </c>
      <c r="C220" s="1" t="n">
        <v>46144</v>
      </c>
      <c r="D220" t="inlineStr">
        <is>
          <t>VÄSTRA GÖTALANDS LÄN</t>
        </is>
      </c>
      <c r="E220" t="inlineStr">
        <is>
          <t>DALS-ED</t>
        </is>
      </c>
      <c r="G220" t="n">
        <v>4.3</v>
      </c>
      <c r="H220" t="n">
        <v>0</v>
      </c>
      <c r="I220" t="n">
        <v>0</v>
      </c>
      <c r="J220" t="n">
        <v>0</v>
      </c>
      <c r="K220" t="n">
        <v>0</v>
      </c>
      <c r="L220" t="n">
        <v>0</v>
      </c>
      <c r="M220" t="n">
        <v>0</v>
      </c>
      <c r="N220" t="n">
        <v>0</v>
      </c>
      <c r="O220" t="n">
        <v>0</v>
      </c>
      <c r="P220" t="n">
        <v>0</v>
      </c>
      <c r="Q220" t="n">
        <v>0</v>
      </c>
      <c r="R220" s="2" t="inlineStr"/>
    </row>
    <row r="221" ht="15" customHeight="1">
      <c r="A221" t="inlineStr">
        <is>
          <t>A 47022-2025</t>
        </is>
      </c>
      <c r="B221" s="1" t="n">
        <v>45929.57760416667</v>
      </c>
      <c r="C221" s="1" t="n">
        <v>46144</v>
      </c>
      <c r="D221" t="inlineStr">
        <is>
          <t>VÄSTRA GÖTALANDS LÄN</t>
        </is>
      </c>
      <c r="E221" t="inlineStr">
        <is>
          <t>DALS-ED</t>
        </is>
      </c>
      <c r="G221" t="n">
        <v>3</v>
      </c>
      <c r="H221" t="n">
        <v>0</v>
      </c>
      <c r="I221" t="n">
        <v>0</v>
      </c>
      <c r="J221" t="n">
        <v>0</v>
      </c>
      <c r="K221" t="n">
        <v>0</v>
      </c>
      <c r="L221" t="n">
        <v>0</v>
      </c>
      <c r="M221" t="n">
        <v>0</v>
      </c>
      <c r="N221" t="n">
        <v>0</v>
      </c>
      <c r="O221" t="n">
        <v>0</v>
      </c>
      <c r="P221" t="n">
        <v>0</v>
      </c>
      <c r="Q221" t="n">
        <v>0</v>
      </c>
      <c r="R221" s="2" t="inlineStr"/>
    </row>
    <row r="222" ht="15" customHeight="1">
      <c r="A222" t="inlineStr">
        <is>
          <t>A 17643-2024</t>
        </is>
      </c>
      <c r="B222" s="1" t="n">
        <v>45418.36640046296</v>
      </c>
      <c r="C222" s="1" t="n">
        <v>46144</v>
      </c>
      <c r="D222" t="inlineStr">
        <is>
          <t>VÄSTRA GÖTALANDS LÄN</t>
        </is>
      </c>
      <c r="E222" t="inlineStr">
        <is>
          <t>DALS-ED</t>
        </is>
      </c>
      <c r="G222" t="n">
        <v>1.4</v>
      </c>
      <c r="H222" t="n">
        <v>0</v>
      </c>
      <c r="I222" t="n">
        <v>0</v>
      </c>
      <c r="J222" t="n">
        <v>0</v>
      </c>
      <c r="K222" t="n">
        <v>0</v>
      </c>
      <c r="L222" t="n">
        <v>0</v>
      </c>
      <c r="M222" t="n">
        <v>0</v>
      </c>
      <c r="N222" t="n">
        <v>0</v>
      </c>
      <c r="O222" t="n">
        <v>0</v>
      </c>
      <c r="P222" t="n">
        <v>0</v>
      </c>
      <c r="Q222" t="n">
        <v>0</v>
      </c>
      <c r="R222" s="2" t="inlineStr"/>
    </row>
    <row r="223" ht="15" customHeight="1">
      <c r="A223" t="inlineStr">
        <is>
          <t>A 47311-2025</t>
        </is>
      </c>
      <c r="B223" s="1" t="n">
        <v>45930.54122685185</v>
      </c>
      <c r="C223" s="1" t="n">
        <v>46144</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47123-2025</t>
        </is>
      </c>
      <c r="B224" s="1" t="n">
        <v>45929.67972222222</v>
      </c>
      <c r="C224" s="1" t="n">
        <v>46144</v>
      </c>
      <c r="D224" t="inlineStr">
        <is>
          <t>VÄSTRA GÖTALANDS LÄN</t>
        </is>
      </c>
      <c r="E224" t="inlineStr">
        <is>
          <t>DALS-ED</t>
        </is>
      </c>
      <c r="G224" t="n">
        <v>4.2</v>
      </c>
      <c r="H224" t="n">
        <v>0</v>
      </c>
      <c r="I224" t="n">
        <v>0</v>
      </c>
      <c r="J224" t="n">
        <v>0</v>
      </c>
      <c r="K224" t="n">
        <v>0</v>
      </c>
      <c r="L224" t="n">
        <v>0</v>
      </c>
      <c r="M224" t="n">
        <v>0</v>
      </c>
      <c r="N224" t="n">
        <v>0</v>
      </c>
      <c r="O224" t="n">
        <v>0</v>
      </c>
      <c r="P224" t="n">
        <v>0</v>
      </c>
      <c r="Q224" t="n">
        <v>0</v>
      </c>
      <c r="R224" s="2" t="inlineStr"/>
    </row>
    <row r="225" ht="15" customHeight="1">
      <c r="A225" t="inlineStr">
        <is>
          <t>A 47164-2025</t>
        </is>
      </c>
      <c r="B225" s="1" t="n">
        <v>45929.75582175926</v>
      </c>
      <c r="C225" s="1" t="n">
        <v>46144</v>
      </c>
      <c r="D225" t="inlineStr">
        <is>
          <t>VÄSTRA GÖTALANDS LÄN</t>
        </is>
      </c>
      <c r="E225" t="inlineStr">
        <is>
          <t>DALS-ED</t>
        </is>
      </c>
      <c r="G225" t="n">
        <v>0.9</v>
      </c>
      <c r="H225" t="n">
        <v>0</v>
      </c>
      <c r="I225" t="n">
        <v>0</v>
      </c>
      <c r="J225" t="n">
        <v>0</v>
      </c>
      <c r="K225" t="n">
        <v>0</v>
      </c>
      <c r="L225" t="n">
        <v>0</v>
      </c>
      <c r="M225" t="n">
        <v>0</v>
      </c>
      <c r="N225" t="n">
        <v>0</v>
      </c>
      <c r="O225" t="n">
        <v>0</v>
      </c>
      <c r="P225" t="n">
        <v>0</v>
      </c>
      <c r="Q225" t="n">
        <v>0</v>
      </c>
      <c r="R225" s="2" t="inlineStr"/>
    </row>
    <row r="226" ht="15" customHeight="1">
      <c r="A226" t="inlineStr">
        <is>
          <t>A 46979-2025</t>
        </is>
      </c>
      <c r="B226" s="1" t="n">
        <v>45929.52040509259</v>
      </c>
      <c r="C226" s="1" t="n">
        <v>46144</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46977-2025</t>
        </is>
      </c>
      <c r="B227" s="1" t="n">
        <v>45929.51806712963</v>
      </c>
      <c r="C227" s="1" t="n">
        <v>46144</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18453-2024</t>
        </is>
      </c>
      <c r="B228" s="1" t="n">
        <v>45425.4653587963</v>
      </c>
      <c r="C228" s="1" t="n">
        <v>46144</v>
      </c>
      <c r="D228" t="inlineStr">
        <is>
          <t>VÄSTRA GÖTALANDS LÄN</t>
        </is>
      </c>
      <c r="E228" t="inlineStr">
        <is>
          <t>DALS-ED</t>
        </is>
      </c>
      <c r="G228" t="n">
        <v>1.9</v>
      </c>
      <c r="H228" t="n">
        <v>0</v>
      </c>
      <c r="I228" t="n">
        <v>0</v>
      </c>
      <c r="J228" t="n">
        <v>0</v>
      </c>
      <c r="K228" t="n">
        <v>0</v>
      </c>
      <c r="L228" t="n">
        <v>0</v>
      </c>
      <c r="M228" t="n">
        <v>0</v>
      </c>
      <c r="N228" t="n">
        <v>0</v>
      </c>
      <c r="O228" t="n">
        <v>0</v>
      </c>
      <c r="P228" t="n">
        <v>0</v>
      </c>
      <c r="Q228" t="n">
        <v>0</v>
      </c>
      <c r="R228" s="2" t="inlineStr"/>
    </row>
    <row r="229" ht="15" customHeight="1">
      <c r="A229" t="inlineStr">
        <is>
          <t>A 19370-2023</t>
        </is>
      </c>
      <c r="B229" s="1" t="n">
        <v>45049</v>
      </c>
      <c r="C229" s="1" t="n">
        <v>46144</v>
      </c>
      <c r="D229" t="inlineStr">
        <is>
          <t>VÄSTRA GÖTALANDS LÄN</t>
        </is>
      </c>
      <c r="E229" t="inlineStr">
        <is>
          <t>DALS-ED</t>
        </is>
      </c>
      <c r="G229" t="n">
        <v>1.9</v>
      </c>
      <c r="H229" t="n">
        <v>0</v>
      </c>
      <c r="I229" t="n">
        <v>0</v>
      </c>
      <c r="J229" t="n">
        <v>0</v>
      </c>
      <c r="K229" t="n">
        <v>0</v>
      </c>
      <c r="L229" t="n">
        <v>0</v>
      </c>
      <c r="M229" t="n">
        <v>0</v>
      </c>
      <c r="N229" t="n">
        <v>0</v>
      </c>
      <c r="O229" t="n">
        <v>0</v>
      </c>
      <c r="P229" t="n">
        <v>0</v>
      </c>
      <c r="Q229" t="n">
        <v>0</v>
      </c>
      <c r="R229" s="2" t="inlineStr"/>
    </row>
    <row r="230" ht="15" customHeight="1">
      <c r="A230" t="inlineStr">
        <is>
          <t>A 19373-2023</t>
        </is>
      </c>
      <c r="B230" s="1" t="n">
        <v>45049.6524537037</v>
      </c>
      <c r="C230" s="1" t="n">
        <v>46144</v>
      </c>
      <c r="D230" t="inlineStr">
        <is>
          <t>VÄSTRA GÖTALANDS LÄN</t>
        </is>
      </c>
      <c r="E230" t="inlineStr">
        <is>
          <t>DALS-ED</t>
        </is>
      </c>
      <c r="G230" t="n">
        <v>3.5</v>
      </c>
      <c r="H230" t="n">
        <v>0</v>
      </c>
      <c r="I230" t="n">
        <v>0</v>
      </c>
      <c r="J230" t="n">
        <v>0</v>
      </c>
      <c r="K230" t="n">
        <v>0</v>
      </c>
      <c r="L230" t="n">
        <v>0</v>
      </c>
      <c r="M230" t="n">
        <v>0</v>
      </c>
      <c r="N230" t="n">
        <v>0</v>
      </c>
      <c r="O230" t="n">
        <v>0</v>
      </c>
      <c r="P230" t="n">
        <v>0</v>
      </c>
      <c r="Q230" t="n">
        <v>0</v>
      </c>
      <c r="R230" s="2" t="inlineStr"/>
    </row>
    <row r="231" ht="15" customHeight="1">
      <c r="A231" t="inlineStr">
        <is>
          <t>A 48032-2025</t>
        </is>
      </c>
      <c r="B231" s="1" t="n">
        <v>45932</v>
      </c>
      <c r="C231" s="1" t="n">
        <v>46144</v>
      </c>
      <c r="D231" t="inlineStr">
        <is>
          <t>VÄSTRA GÖTALANDS LÄN</t>
        </is>
      </c>
      <c r="E231" t="inlineStr">
        <is>
          <t>DALS-ED</t>
        </is>
      </c>
      <c r="G231" t="n">
        <v>2.2</v>
      </c>
      <c r="H231" t="n">
        <v>0</v>
      </c>
      <c r="I231" t="n">
        <v>0</v>
      </c>
      <c r="J231" t="n">
        <v>0</v>
      </c>
      <c r="K231" t="n">
        <v>0</v>
      </c>
      <c r="L231" t="n">
        <v>0</v>
      </c>
      <c r="M231" t="n">
        <v>0</v>
      </c>
      <c r="N231" t="n">
        <v>0</v>
      </c>
      <c r="O231" t="n">
        <v>0</v>
      </c>
      <c r="P231" t="n">
        <v>0</v>
      </c>
      <c r="Q231" t="n">
        <v>0</v>
      </c>
      <c r="R231" s="2" t="inlineStr"/>
    </row>
    <row r="232" ht="15" customHeight="1">
      <c r="A232" t="inlineStr">
        <is>
          <t>A 48025-2025</t>
        </is>
      </c>
      <c r="B232" s="1" t="n">
        <v>45932</v>
      </c>
      <c r="C232" s="1" t="n">
        <v>46144</v>
      </c>
      <c r="D232" t="inlineStr">
        <is>
          <t>VÄSTRA GÖTALANDS LÄN</t>
        </is>
      </c>
      <c r="E232" t="inlineStr">
        <is>
          <t>DALS-ED</t>
        </is>
      </c>
      <c r="G232" t="n">
        <v>4.3</v>
      </c>
      <c r="H232" t="n">
        <v>0</v>
      </c>
      <c r="I232" t="n">
        <v>0</v>
      </c>
      <c r="J232" t="n">
        <v>0</v>
      </c>
      <c r="K232" t="n">
        <v>0</v>
      </c>
      <c r="L232" t="n">
        <v>0</v>
      </c>
      <c r="M232" t="n">
        <v>0</v>
      </c>
      <c r="N232" t="n">
        <v>0</v>
      </c>
      <c r="O232" t="n">
        <v>0</v>
      </c>
      <c r="P232" t="n">
        <v>0</v>
      </c>
      <c r="Q232" t="n">
        <v>0</v>
      </c>
      <c r="R232" s="2" t="inlineStr"/>
    </row>
    <row r="233" ht="15" customHeight="1">
      <c r="A233" t="inlineStr">
        <is>
          <t>A 48018-2025</t>
        </is>
      </c>
      <c r="B233" s="1" t="n">
        <v>45932</v>
      </c>
      <c r="C233" s="1" t="n">
        <v>46144</v>
      </c>
      <c r="D233" t="inlineStr">
        <is>
          <t>VÄSTRA GÖTALANDS LÄN</t>
        </is>
      </c>
      <c r="E233" t="inlineStr">
        <is>
          <t>DALS-ED</t>
        </is>
      </c>
      <c r="G233" t="n">
        <v>3.9</v>
      </c>
      <c r="H233" t="n">
        <v>0</v>
      </c>
      <c r="I233" t="n">
        <v>0</v>
      </c>
      <c r="J233" t="n">
        <v>0</v>
      </c>
      <c r="K233" t="n">
        <v>0</v>
      </c>
      <c r="L233" t="n">
        <v>0</v>
      </c>
      <c r="M233" t="n">
        <v>0</v>
      </c>
      <c r="N233" t="n">
        <v>0</v>
      </c>
      <c r="O233" t="n">
        <v>0</v>
      </c>
      <c r="P233" t="n">
        <v>0</v>
      </c>
      <c r="Q233" t="n">
        <v>0</v>
      </c>
      <c r="R233" s="2" t="inlineStr"/>
    </row>
    <row r="234" ht="15" customHeight="1">
      <c r="A234" t="inlineStr">
        <is>
          <t>A 25924-2024</t>
        </is>
      </c>
      <c r="B234" s="1" t="n">
        <v>45467.61216435185</v>
      </c>
      <c r="C234" s="1" t="n">
        <v>46144</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62985-2023</t>
        </is>
      </c>
      <c r="B235" s="1" t="n">
        <v>45272.60196759259</v>
      </c>
      <c r="C235" s="1" t="n">
        <v>46144</v>
      </c>
      <c r="D235" t="inlineStr">
        <is>
          <t>VÄSTRA GÖTALANDS LÄN</t>
        </is>
      </c>
      <c r="E235" t="inlineStr">
        <is>
          <t>DALS-ED</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49903-2025</t>
        </is>
      </c>
      <c r="B236" s="1" t="n">
        <v>45940.59493055556</v>
      </c>
      <c r="C236" s="1" t="n">
        <v>46144</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49901-2025</t>
        </is>
      </c>
      <c r="B237" s="1" t="n">
        <v>45940.59416666667</v>
      </c>
      <c r="C237" s="1" t="n">
        <v>46144</v>
      </c>
      <c r="D237" t="inlineStr">
        <is>
          <t>VÄSTRA GÖTALANDS LÄN</t>
        </is>
      </c>
      <c r="E237" t="inlineStr">
        <is>
          <t>DALS-ED</t>
        </is>
      </c>
      <c r="G237" t="n">
        <v>1.1</v>
      </c>
      <c r="H237" t="n">
        <v>0</v>
      </c>
      <c r="I237" t="n">
        <v>0</v>
      </c>
      <c r="J237" t="n">
        <v>0</v>
      </c>
      <c r="K237" t="n">
        <v>0</v>
      </c>
      <c r="L237" t="n">
        <v>0</v>
      </c>
      <c r="M237" t="n">
        <v>0</v>
      </c>
      <c r="N237" t="n">
        <v>0</v>
      </c>
      <c r="O237" t="n">
        <v>0</v>
      </c>
      <c r="P237" t="n">
        <v>0</v>
      </c>
      <c r="Q237" t="n">
        <v>0</v>
      </c>
      <c r="R237" s="2" t="inlineStr"/>
    </row>
    <row r="238" ht="15" customHeight="1">
      <c r="A238" t="inlineStr">
        <is>
          <t>A 38579-2024</t>
        </is>
      </c>
      <c r="B238" s="1" t="n">
        <v>45546.64791666667</v>
      </c>
      <c r="C238" s="1" t="n">
        <v>46144</v>
      </c>
      <c r="D238" t="inlineStr">
        <is>
          <t>VÄSTRA GÖTALANDS LÄN</t>
        </is>
      </c>
      <c r="E238" t="inlineStr">
        <is>
          <t>DALS-ED</t>
        </is>
      </c>
      <c r="G238" t="n">
        <v>1.2</v>
      </c>
      <c r="H238" t="n">
        <v>0</v>
      </c>
      <c r="I238" t="n">
        <v>0</v>
      </c>
      <c r="J238" t="n">
        <v>0</v>
      </c>
      <c r="K238" t="n">
        <v>0</v>
      </c>
      <c r="L238" t="n">
        <v>0</v>
      </c>
      <c r="M238" t="n">
        <v>0</v>
      </c>
      <c r="N238" t="n">
        <v>0</v>
      </c>
      <c r="O238" t="n">
        <v>0</v>
      </c>
      <c r="P238" t="n">
        <v>0</v>
      </c>
      <c r="Q238" t="n">
        <v>0</v>
      </c>
      <c r="R238" s="2" t="inlineStr"/>
    </row>
    <row r="239" ht="15" customHeight="1">
      <c r="A239" t="inlineStr">
        <is>
          <t>A 49469-2025</t>
        </is>
      </c>
      <c r="B239" s="1" t="n">
        <v>45939.34195601852</v>
      </c>
      <c r="C239" s="1" t="n">
        <v>46144</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49470-2025</t>
        </is>
      </c>
      <c r="B240" s="1" t="n">
        <v>45939.34302083333</v>
      </c>
      <c r="C240" s="1" t="n">
        <v>46144</v>
      </c>
      <c r="D240" t="inlineStr">
        <is>
          <t>VÄSTRA GÖTALANDS LÄN</t>
        </is>
      </c>
      <c r="E240" t="inlineStr">
        <is>
          <t>DALS-ED</t>
        </is>
      </c>
      <c r="G240" t="n">
        <v>2</v>
      </c>
      <c r="H240" t="n">
        <v>0</v>
      </c>
      <c r="I240" t="n">
        <v>0</v>
      </c>
      <c r="J240" t="n">
        <v>0</v>
      </c>
      <c r="K240" t="n">
        <v>0</v>
      </c>
      <c r="L240" t="n">
        <v>0</v>
      </c>
      <c r="M240" t="n">
        <v>0</v>
      </c>
      <c r="N240" t="n">
        <v>0</v>
      </c>
      <c r="O240" t="n">
        <v>0</v>
      </c>
      <c r="P240" t="n">
        <v>0</v>
      </c>
      <c r="Q240" t="n">
        <v>0</v>
      </c>
      <c r="R240" s="2" t="inlineStr"/>
    </row>
    <row r="241" ht="15" customHeight="1">
      <c r="A241" t="inlineStr">
        <is>
          <t>A 48281-2022</t>
        </is>
      </c>
      <c r="B241" s="1" t="n">
        <v>44858.49765046296</v>
      </c>
      <c r="C241" s="1" t="n">
        <v>46144</v>
      </c>
      <c r="D241" t="inlineStr">
        <is>
          <t>VÄSTRA GÖTALANDS LÄN</t>
        </is>
      </c>
      <c r="E241" t="inlineStr">
        <is>
          <t>DALS-ED</t>
        </is>
      </c>
      <c r="G241" t="n">
        <v>0.7</v>
      </c>
      <c r="H241" t="n">
        <v>0</v>
      </c>
      <c r="I241" t="n">
        <v>0</v>
      </c>
      <c r="J241" t="n">
        <v>0</v>
      </c>
      <c r="K241" t="n">
        <v>0</v>
      </c>
      <c r="L241" t="n">
        <v>0</v>
      </c>
      <c r="M241" t="n">
        <v>0</v>
      </c>
      <c r="N241" t="n">
        <v>0</v>
      </c>
      <c r="O241" t="n">
        <v>0</v>
      </c>
      <c r="P241" t="n">
        <v>0</v>
      </c>
      <c r="Q241" t="n">
        <v>0</v>
      </c>
      <c r="R241" s="2" t="inlineStr"/>
    </row>
    <row r="242" ht="15" customHeight="1">
      <c r="A242" t="inlineStr">
        <is>
          <t>A 5660-2025</t>
        </is>
      </c>
      <c r="B242" s="1" t="n">
        <v>45693.74730324074</v>
      </c>
      <c r="C242" s="1" t="n">
        <v>46144</v>
      </c>
      <c r="D242" t="inlineStr">
        <is>
          <t>VÄSTRA GÖTALANDS LÄN</t>
        </is>
      </c>
      <c r="E242" t="inlineStr">
        <is>
          <t>DALS-ED</t>
        </is>
      </c>
      <c r="G242" t="n">
        <v>4.5</v>
      </c>
      <c r="H242" t="n">
        <v>0</v>
      </c>
      <c r="I242" t="n">
        <v>0</v>
      </c>
      <c r="J242" t="n">
        <v>0</v>
      </c>
      <c r="K242" t="n">
        <v>0</v>
      </c>
      <c r="L242" t="n">
        <v>0</v>
      </c>
      <c r="M242" t="n">
        <v>0</v>
      </c>
      <c r="N242" t="n">
        <v>0</v>
      </c>
      <c r="O242" t="n">
        <v>0</v>
      </c>
      <c r="P242" t="n">
        <v>0</v>
      </c>
      <c r="Q242" t="n">
        <v>0</v>
      </c>
      <c r="R242" s="2" t="inlineStr"/>
    </row>
    <row r="243" ht="15" customHeight="1">
      <c r="A243" t="inlineStr">
        <is>
          <t>A 26534-2023</t>
        </is>
      </c>
      <c r="B243" s="1" t="n">
        <v>45092.58068287037</v>
      </c>
      <c r="C243" s="1" t="n">
        <v>46144</v>
      </c>
      <c r="D243" t="inlineStr">
        <is>
          <t>VÄSTRA GÖTALANDS LÄN</t>
        </is>
      </c>
      <c r="E243" t="inlineStr">
        <is>
          <t>DALS-ED</t>
        </is>
      </c>
      <c r="G243" t="n">
        <v>1.1</v>
      </c>
      <c r="H243" t="n">
        <v>0</v>
      </c>
      <c r="I243" t="n">
        <v>0</v>
      </c>
      <c r="J243" t="n">
        <v>0</v>
      </c>
      <c r="K243" t="n">
        <v>0</v>
      </c>
      <c r="L243" t="n">
        <v>0</v>
      </c>
      <c r="M243" t="n">
        <v>0</v>
      </c>
      <c r="N243" t="n">
        <v>0</v>
      </c>
      <c r="O243" t="n">
        <v>0</v>
      </c>
      <c r="P243" t="n">
        <v>0</v>
      </c>
      <c r="Q243" t="n">
        <v>0</v>
      </c>
      <c r="R243" s="2" t="inlineStr"/>
    </row>
    <row r="244" ht="15" customHeight="1">
      <c r="A244" t="inlineStr">
        <is>
          <t>A 54018-2021</t>
        </is>
      </c>
      <c r="B244" s="1" t="n">
        <v>44468</v>
      </c>
      <c r="C244" s="1" t="n">
        <v>46144</v>
      </c>
      <c r="D244" t="inlineStr">
        <is>
          <t>VÄSTRA GÖTALANDS LÄN</t>
        </is>
      </c>
      <c r="E244" t="inlineStr">
        <is>
          <t>DALS-ED</t>
        </is>
      </c>
      <c r="G244" t="n">
        <v>6</v>
      </c>
      <c r="H244" t="n">
        <v>0</v>
      </c>
      <c r="I244" t="n">
        <v>0</v>
      </c>
      <c r="J244" t="n">
        <v>0</v>
      </c>
      <c r="K244" t="n">
        <v>0</v>
      </c>
      <c r="L244" t="n">
        <v>0</v>
      </c>
      <c r="M244" t="n">
        <v>0</v>
      </c>
      <c r="N244" t="n">
        <v>0</v>
      </c>
      <c r="O244" t="n">
        <v>0</v>
      </c>
      <c r="P244" t="n">
        <v>0</v>
      </c>
      <c r="Q244" t="n">
        <v>0</v>
      </c>
      <c r="R244" s="2" t="inlineStr"/>
    </row>
    <row r="245" ht="15" customHeight="1">
      <c r="A245" t="inlineStr">
        <is>
          <t>A 50943-2025</t>
        </is>
      </c>
      <c r="B245" s="1" t="n">
        <v>45946.72012731482</v>
      </c>
      <c r="C245" s="1" t="n">
        <v>46144</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63162-2023</t>
        </is>
      </c>
      <c r="B246" s="1" t="n">
        <v>45273</v>
      </c>
      <c r="C246" s="1" t="n">
        <v>46144</v>
      </c>
      <c r="D246" t="inlineStr">
        <is>
          <t>VÄSTRA GÖTALANDS LÄN</t>
        </is>
      </c>
      <c r="E246" t="inlineStr">
        <is>
          <t>DALS-ED</t>
        </is>
      </c>
      <c r="G246" t="n">
        <v>11.8</v>
      </c>
      <c r="H246" t="n">
        <v>0</v>
      </c>
      <c r="I246" t="n">
        <v>0</v>
      </c>
      <c r="J246" t="n">
        <v>0</v>
      </c>
      <c r="K246" t="n">
        <v>0</v>
      </c>
      <c r="L246" t="n">
        <v>0</v>
      </c>
      <c r="M246" t="n">
        <v>0</v>
      </c>
      <c r="N246" t="n">
        <v>0</v>
      </c>
      <c r="O246" t="n">
        <v>0</v>
      </c>
      <c r="P246" t="n">
        <v>0</v>
      </c>
      <c r="Q246" t="n">
        <v>0</v>
      </c>
      <c r="R246" s="2" t="inlineStr"/>
    </row>
    <row r="247" ht="15" customHeight="1">
      <c r="A247" t="inlineStr">
        <is>
          <t>A 33596-2024</t>
        </is>
      </c>
      <c r="B247" s="1" t="n">
        <v>45520.36324074074</v>
      </c>
      <c r="C247" s="1" t="n">
        <v>46144</v>
      </c>
      <c r="D247" t="inlineStr">
        <is>
          <t>VÄSTRA GÖTALANDS LÄN</t>
        </is>
      </c>
      <c r="E247" t="inlineStr">
        <is>
          <t>DALS-ED</t>
        </is>
      </c>
      <c r="G247" t="n">
        <v>5.8</v>
      </c>
      <c r="H247" t="n">
        <v>0</v>
      </c>
      <c r="I247" t="n">
        <v>0</v>
      </c>
      <c r="J247" t="n">
        <v>0</v>
      </c>
      <c r="K247" t="n">
        <v>0</v>
      </c>
      <c r="L247" t="n">
        <v>0</v>
      </c>
      <c r="M247" t="n">
        <v>0</v>
      </c>
      <c r="N247" t="n">
        <v>0</v>
      </c>
      <c r="O247" t="n">
        <v>0</v>
      </c>
      <c r="P247" t="n">
        <v>0</v>
      </c>
      <c r="Q247" t="n">
        <v>0</v>
      </c>
      <c r="R247" s="2" t="inlineStr"/>
    </row>
    <row r="248" ht="15" customHeight="1">
      <c r="A248" t="inlineStr">
        <is>
          <t>A 50735-2025</t>
        </is>
      </c>
      <c r="B248" s="1" t="n">
        <v>45946.36746527778</v>
      </c>
      <c r="C248" s="1" t="n">
        <v>46144</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15009-2023</t>
        </is>
      </c>
      <c r="B249" s="1" t="n">
        <v>45015.59582175926</v>
      </c>
      <c r="C249" s="1" t="n">
        <v>46144</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5312-2023</t>
        </is>
      </c>
      <c r="B250" s="1" t="n">
        <v>44959.56513888889</v>
      </c>
      <c r="C250" s="1" t="n">
        <v>46144</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51817-2025</t>
        </is>
      </c>
      <c r="B251" s="1" t="n">
        <v>45951.85413194444</v>
      </c>
      <c r="C251" s="1" t="n">
        <v>46144</v>
      </c>
      <c r="D251" t="inlineStr">
        <is>
          <t>VÄSTRA GÖTALANDS LÄN</t>
        </is>
      </c>
      <c r="E251" t="inlineStr">
        <is>
          <t>DALS-ED</t>
        </is>
      </c>
      <c r="G251" t="n">
        <v>7.6</v>
      </c>
      <c r="H251" t="n">
        <v>0</v>
      </c>
      <c r="I251" t="n">
        <v>0</v>
      </c>
      <c r="J251" t="n">
        <v>0</v>
      </c>
      <c r="K251" t="n">
        <v>0</v>
      </c>
      <c r="L251" t="n">
        <v>0</v>
      </c>
      <c r="M251" t="n">
        <v>0</v>
      </c>
      <c r="N251" t="n">
        <v>0</v>
      </c>
      <c r="O251" t="n">
        <v>0</v>
      </c>
      <c r="P251" t="n">
        <v>0</v>
      </c>
      <c r="Q251" t="n">
        <v>0</v>
      </c>
      <c r="R251" s="2" t="inlineStr"/>
    </row>
    <row r="252" ht="15" customHeight="1">
      <c r="A252" t="inlineStr">
        <is>
          <t>A 51821-2025</t>
        </is>
      </c>
      <c r="B252" s="1" t="n">
        <v>45951.90053240741</v>
      </c>
      <c r="C252" s="1" t="n">
        <v>46144</v>
      </c>
      <c r="D252" t="inlineStr">
        <is>
          <t>VÄSTRA GÖTALANDS LÄN</t>
        </is>
      </c>
      <c r="E252" t="inlineStr">
        <is>
          <t>DALS-ED</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60139-2022</t>
        </is>
      </c>
      <c r="B253" s="1" t="n">
        <v>44902</v>
      </c>
      <c r="C253" s="1" t="n">
        <v>46144</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5388-2023</t>
        </is>
      </c>
      <c r="B254" s="1" t="n">
        <v>44959</v>
      </c>
      <c r="C254" s="1" t="n">
        <v>46144</v>
      </c>
      <c r="D254" t="inlineStr">
        <is>
          <t>VÄSTRA GÖTALANDS LÄN</t>
        </is>
      </c>
      <c r="E254" t="inlineStr">
        <is>
          <t>DALS-ED</t>
        </is>
      </c>
      <c r="G254" t="n">
        <v>1.9</v>
      </c>
      <c r="H254" t="n">
        <v>0</v>
      </c>
      <c r="I254" t="n">
        <v>0</v>
      </c>
      <c r="J254" t="n">
        <v>0</v>
      </c>
      <c r="K254" t="n">
        <v>0</v>
      </c>
      <c r="L254" t="n">
        <v>0</v>
      </c>
      <c r="M254" t="n">
        <v>0</v>
      </c>
      <c r="N254" t="n">
        <v>0</v>
      </c>
      <c r="O254" t="n">
        <v>0</v>
      </c>
      <c r="P254" t="n">
        <v>0</v>
      </c>
      <c r="Q254" t="n">
        <v>0</v>
      </c>
      <c r="R254" s="2" t="inlineStr"/>
    </row>
    <row r="255" ht="15" customHeight="1">
      <c r="A255" t="inlineStr">
        <is>
          <t>A 28449-2023</t>
        </is>
      </c>
      <c r="B255" s="1" t="n">
        <v>45103</v>
      </c>
      <c r="C255" s="1" t="n">
        <v>46144</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32672-2023</t>
        </is>
      </c>
      <c r="B256" s="1" t="n">
        <v>45121</v>
      </c>
      <c r="C256" s="1" t="n">
        <v>46144</v>
      </c>
      <c r="D256" t="inlineStr">
        <is>
          <t>VÄSTRA GÖTALANDS LÄN</t>
        </is>
      </c>
      <c r="E256" t="inlineStr">
        <is>
          <t>DALS-ED</t>
        </is>
      </c>
      <c r="G256" t="n">
        <v>1.2</v>
      </c>
      <c r="H256" t="n">
        <v>0</v>
      </c>
      <c r="I256" t="n">
        <v>0</v>
      </c>
      <c r="J256" t="n">
        <v>0</v>
      </c>
      <c r="K256" t="n">
        <v>0</v>
      </c>
      <c r="L256" t="n">
        <v>0</v>
      </c>
      <c r="M256" t="n">
        <v>0</v>
      </c>
      <c r="N256" t="n">
        <v>0</v>
      </c>
      <c r="O256" t="n">
        <v>0</v>
      </c>
      <c r="P256" t="n">
        <v>0</v>
      </c>
      <c r="Q256" t="n">
        <v>0</v>
      </c>
      <c r="R256" s="2" t="inlineStr"/>
    </row>
    <row r="257" ht="15" customHeight="1">
      <c r="A257" t="inlineStr">
        <is>
          <t>A 51816-2025</t>
        </is>
      </c>
      <c r="B257" s="1" t="n">
        <v>45951.85037037037</v>
      </c>
      <c r="C257" s="1" t="n">
        <v>46144</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51818-2025</t>
        </is>
      </c>
      <c r="B258" s="1" t="n">
        <v>45951.88065972222</v>
      </c>
      <c r="C258" s="1" t="n">
        <v>46144</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72456-2021</t>
        </is>
      </c>
      <c r="B259" s="1" t="n">
        <v>44545.71697916667</v>
      </c>
      <c r="C259" s="1" t="n">
        <v>46144</v>
      </c>
      <c r="D259" t="inlineStr">
        <is>
          <t>VÄSTRA GÖTALANDS LÄN</t>
        </is>
      </c>
      <c r="E259" t="inlineStr">
        <is>
          <t>DALS-ED</t>
        </is>
      </c>
      <c r="G259" t="n">
        <v>1.6</v>
      </c>
      <c r="H259" t="n">
        <v>0</v>
      </c>
      <c r="I259" t="n">
        <v>0</v>
      </c>
      <c r="J259" t="n">
        <v>0</v>
      </c>
      <c r="K259" t="n">
        <v>0</v>
      </c>
      <c r="L259" t="n">
        <v>0</v>
      </c>
      <c r="M259" t="n">
        <v>0</v>
      </c>
      <c r="N259" t="n">
        <v>0</v>
      </c>
      <c r="O259" t="n">
        <v>0</v>
      </c>
      <c r="P259" t="n">
        <v>0</v>
      </c>
      <c r="Q259" t="n">
        <v>0</v>
      </c>
      <c r="R259" s="2" t="inlineStr"/>
    </row>
    <row r="260" ht="15" customHeight="1">
      <c r="A260" t="inlineStr">
        <is>
          <t>A 23859-2023</t>
        </is>
      </c>
      <c r="B260" s="1" t="n">
        <v>45075</v>
      </c>
      <c r="C260" s="1" t="n">
        <v>46144</v>
      </c>
      <c r="D260" t="inlineStr">
        <is>
          <t>VÄSTRA GÖTALANDS LÄN</t>
        </is>
      </c>
      <c r="E260" t="inlineStr">
        <is>
          <t>DALS-ED</t>
        </is>
      </c>
      <c r="G260" t="n">
        <v>2</v>
      </c>
      <c r="H260" t="n">
        <v>0</v>
      </c>
      <c r="I260" t="n">
        <v>0</v>
      </c>
      <c r="J260" t="n">
        <v>0</v>
      </c>
      <c r="K260" t="n">
        <v>0</v>
      </c>
      <c r="L260" t="n">
        <v>0</v>
      </c>
      <c r="M260" t="n">
        <v>0</v>
      </c>
      <c r="N260" t="n">
        <v>0</v>
      </c>
      <c r="O260" t="n">
        <v>0</v>
      </c>
      <c r="P260" t="n">
        <v>0</v>
      </c>
      <c r="Q260" t="n">
        <v>0</v>
      </c>
      <c r="R260" s="2" t="inlineStr"/>
    </row>
    <row r="261" ht="15" customHeight="1">
      <c r="A261" t="inlineStr">
        <is>
          <t>A 51554-2025</t>
        </is>
      </c>
      <c r="B261" s="1" t="n">
        <v>45950.88504629629</v>
      </c>
      <c r="C261" s="1" t="n">
        <v>46144</v>
      </c>
      <c r="D261" t="inlineStr">
        <is>
          <t>VÄSTRA GÖTALANDS LÄN</t>
        </is>
      </c>
      <c r="E261" t="inlineStr">
        <is>
          <t>DALS-ED</t>
        </is>
      </c>
      <c r="F261" t="inlineStr">
        <is>
          <t>Kyrkan</t>
        </is>
      </c>
      <c r="G261" t="n">
        <v>5.3</v>
      </c>
      <c r="H261" t="n">
        <v>0</v>
      </c>
      <c r="I261" t="n">
        <v>0</v>
      </c>
      <c r="J261" t="n">
        <v>0</v>
      </c>
      <c r="K261" t="n">
        <v>0</v>
      </c>
      <c r="L261" t="n">
        <v>0</v>
      </c>
      <c r="M261" t="n">
        <v>0</v>
      </c>
      <c r="N261" t="n">
        <v>0</v>
      </c>
      <c r="O261" t="n">
        <v>0</v>
      </c>
      <c r="P261" t="n">
        <v>0</v>
      </c>
      <c r="Q261" t="n">
        <v>0</v>
      </c>
      <c r="R261" s="2" t="inlineStr"/>
    </row>
    <row r="262" ht="15" customHeight="1">
      <c r="A262" t="inlineStr">
        <is>
          <t>A 8621-2024</t>
        </is>
      </c>
      <c r="B262" s="1" t="n">
        <v>45355.76253472222</v>
      </c>
      <c r="C262" s="1" t="n">
        <v>46144</v>
      </c>
      <c r="D262" t="inlineStr">
        <is>
          <t>VÄSTRA GÖTALANDS LÄN</t>
        </is>
      </c>
      <c r="E262" t="inlineStr">
        <is>
          <t>DALS-ED</t>
        </is>
      </c>
      <c r="G262" t="n">
        <v>1.4</v>
      </c>
      <c r="H262" t="n">
        <v>0</v>
      </c>
      <c r="I262" t="n">
        <v>0</v>
      </c>
      <c r="J262" t="n">
        <v>0</v>
      </c>
      <c r="K262" t="n">
        <v>0</v>
      </c>
      <c r="L262" t="n">
        <v>0</v>
      </c>
      <c r="M262" t="n">
        <v>0</v>
      </c>
      <c r="N262" t="n">
        <v>0</v>
      </c>
      <c r="O262" t="n">
        <v>0</v>
      </c>
      <c r="P262" t="n">
        <v>0</v>
      </c>
      <c r="Q262" t="n">
        <v>0</v>
      </c>
      <c r="R262" s="2" t="inlineStr"/>
    </row>
    <row r="263" ht="15" customHeight="1">
      <c r="A263" t="inlineStr">
        <is>
          <t>A 3398-2023</t>
        </is>
      </c>
      <c r="B263" s="1" t="n">
        <v>44949</v>
      </c>
      <c r="C263" s="1" t="n">
        <v>46144</v>
      </c>
      <c r="D263" t="inlineStr">
        <is>
          <t>VÄSTRA GÖTALANDS LÄN</t>
        </is>
      </c>
      <c r="E263" t="inlineStr">
        <is>
          <t>DALS-ED</t>
        </is>
      </c>
      <c r="G263" t="n">
        <v>2.7</v>
      </c>
      <c r="H263" t="n">
        <v>0</v>
      </c>
      <c r="I263" t="n">
        <v>0</v>
      </c>
      <c r="J263" t="n">
        <v>0</v>
      </c>
      <c r="K263" t="n">
        <v>0</v>
      </c>
      <c r="L263" t="n">
        <v>0</v>
      </c>
      <c r="M263" t="n">
        <v>0</v>
      </c>
      <c r="N263" t="n">
        <v>0</v>
      </c>
      <c r="O263" t="n">
        <v>0</v>
      </c>
      <c r="P263" t="n">
        <v>0</v>
      </c>
      <c r="Q263" t="n">
        <v>0</v>
      </c>
      <c r="R263" s="2" t="inlineStr"/>
    </row>
    <row r="264" ht="15" customHeight="1">
      <c r="A264" t="inlineStr">
        <is>
          <t>A 53051-2025</t>
        </is>
      </c>
      <c r="B264" s="1" t="n">
        <v>45958.36256944444</v>
      </c>
      <c r="C264" s="1" t="n">
        <v>46144</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53053-2025</t>
        </is>
      </c>
      <c r="B265" s="1" t="n">
        <v>45958.36354166667</v>
      </c>
      <c r="C265" s="1" t="n">
        <v>46144</v>
      </c>
      <c r="D265" t="inlineStr">
        <is>
          <t>VÄSTRA GÖTALANDS LÄN</t>
        </is>
      </c>
      <c r="E265" t="inlineStr">
        <is>
          <t>DALS-ED</t>
        </is>
      </c>
      <c r="G265" t="n">
        <v>0.3</v>
      </c>
      <c r="H265" t="n">
        <v>0</v>
      </c>
      <c r="I265" t="n">
        <v>0</v>
      </c>
      <c r="J265" t="n">
        <v>0</v>
      </c>
      <c r="K265" t="n">
        <v>0</v>
      </c>
      <c r="L265" t="n">
        <v>0</v>
      </c>
      <c r="M265" t="n">
        <v>0</v>
      </c>
      <c r="N265" t="n">
        <v>0</v>
      </c>
      <c r="O265" t="n">
        <v>0</v>
      </c>
      <c r="P265" t="n">
        <v>0</v>
      </c>
      <c r="Q265" t="n">
        <v>0</v>
      </c>
      <c r="R265" s="2" t="inlineStr"/>
    </row>
    <row r="266" ht="15" customHeight="1">
      <c r="A266" t="inlineStr">
        <is>
          <t>A 59514-2023</t>
        </is>
      </c>
      <c r="B266" s="1" t="n">
        <v>45254.48559027778</v>
      </c>
      <c r="C266" s="1" t="n">
        <v>46144</v>
      </c>
      <c r="D266" t="inlineStr">
        <is>
          <t>VÄSTRA GÖTALANDS LÄN</t>
        </is>
      </c>
      <c r="E266" t="inlineStr">
        <is>
          <t>DALS-ED</t>
        </is>
      </c>
      <c r="G266" t="n">
        <v>1.3</v>
      </c>
      <c r="H266" t="n">
        <v>0</v>
      </c>
      <c r="I266" t="n">
        <v>0</v>
      </c>
      <c r="J266" t="n">
        <v>0</v>
      </c>
      <c r="K266" t="n">
        <v>0</v>
      </c>
      <c r="L266" t="n">
        <v>0</v>
      </c>
      <c r="M266" t="n">
        <v>0</v>
      </c>
      <c r="N266" t="n">
        <v>0</v>
      </c>
      <c r="O266" t="n">
        <v>0</v>
      </c>
      <c r="P266" t="n">
        <v>0</v>
      </c>
      <c r="Q266" t="n">
        <v>0</v>
      </c>
      <c r="R266" s="2" t="inlineStr"/>
    </row>
    <row r="267" ht="15" customHeight="1">
      <c r="A267" t="inlineStr">
        <is>
          <t>A 10095-2022</t>
        </is>
      </c>
      <c r="B267" s="1" t="n">
        <v>44621.69106481481</v>
      </c>
      <c r="C267" s="1" t="n">
        <v>46144</v>
      </c>
      <c r="D267" t="inlineStr">
        <is>
          <t>VÄSTRA GÖTALANDS LÄN</t>
        </is>
      </c>
      <c r="E267" t="inlineStr">
        <is>
          <t>DALS-ED</t>
        </is>
      </c>
      <c r="F267" t="inlineStr">
        <is>
          <t>Övriga Aktiebolag</t>
        </is>
      </c>
      <c r="G267" t="n">
        <v>1</v>
      </c>
      <c r="H267" t="n">
        <v>0</v>
      </c>
      <c r="I267" t="n">
        <v>0</v>
      </c>
      <c r="J267" t="n">
        <v>0</v>
      </c>
      <c r="K267" t="n">
        <v>0</v>
      </c>
      <c r="L267" t="n">
        <v>0</v>
      </c>
      <c r="M267" t="n">
        <v>0</v>
      </c>
      <c r="N267" t="n">
        <v>0</v>
      </c>
      <c r="O267" t="n">
        <v>0</v>
      </c>
      <c r="P267" t="n">
        <v>0</v>
      </c>
      <c r="Q267" t="n">
        <v>0</v>
      </c>
      <c r="R267" s="2" t="inlineStr"/>
    </row>
    <row r="268" ht="15" customHeight="1">
      <c r="A268" t="inlineStr">
        <is>
          <t>A 32195-2022</t>
        </is>
      </c>
      <c r="B268" s="1" t="n">
        <v>44781.39569444444</v>
      </c>
      <c r="C268" s="1" t="n">
        <v>46144</v>
      </c>
      <c r="D268" t="inlineStr">
        <is>
          <t>VÄSTRA GÖTALANDS LÄN</t>
        </is>
      </c>
      <c r="E268" t="inlineStr">
        <is>
          <t>DALS-ED</t>
        </is>
      </c>
      <c r="G268" t="n">
        <v>2.7</v>
      </c>
      <c r="H268" t="n">
        <v>0</v>
      </c>
      <c r="I268" t="n">
        <v>0</v>
      </c>
      <c r="J268" t="n">
        <v>0</v>
      </c>
      <c r="K268" t="n">
        <v>0</v>
      </c>
      <c r="L268" t="n">
        <v>0</v>
      </c>
      <c r="M268" t="n">
        <v>0</v>
      </c>
      <c r="N268" t="n">
        <v>0</v>
      </c>
      <c r="O268" t="n">
        <v>0</v>
      </c>
      <c r="P268" t="n">
        <v>0</v>
      </c>
      <c r="Q268" t="n">
        <v>0</v>
      </c>
      <c r="R268" s="2" t="inlineStr"/>
    </row>
    <row r="269" ht="15" customHeight="1">
      <c r="A269" t="inlineStr">
        <is>
          <t>A 7527-2024</t>
        </is>
      </c>
      <c r="B269" s="1" t="n">
        <v>45348</v>
      </c>
      <c r="C269" s="1" t="n">
        <v>46144</v>
      </c>
      <c r="D269" t="inlineStr">
        <is>
          <t>VÄSTRA GÖTALANDS LÄN</t>
        </is>
      </c>
      <c r="E269" t="inlineStr">
        <is>
          <t>DALS-ED</t>
        </is>
      </c>
      <c r="G269" t="n">
        <v>8.1</v>
      </c>
      <c r="H269" t="n">
        <v>0</v>
      </c>
      <c r="I269" t="n">
        <v>0</v>
      </c>
      <c r="J269" t="n">
        <v>0</v>
      </c>
      <c r="K269" t="n">
        <v>0</v>
      </c>
      <c r="L269" t="n">
        <v>0</v>
      </c>
      <c r="M269" t="n">
        <v>0</v>
      </c>
      <c r="N269" t="n">
        <v>0</v>
      </c>
      <c r="O269" t="n">
        <v>0</v>
      </c>
      <c r="P269" t="n">
        <v>0</v>
      </c>
      <c r="Q269" t="n">
        <v>0</v>
      </c>
      <c r="R269" s="2" t="inlineStr"/>
    </row>
    <row r="270" ht="15" customHeight="1">
      <c r="A270" t="inlineStr">
        <is>
          <t>A 54688-2025</t>
        </is>
      </c>
      <c r="B270" s="1" t="n">
        <v>45966.45077546296</v>
      </c>
      <c r="C270" s="1" t="n">
        <v>46144</v>
      </c>
      <c r="D270" t="inlineStr">
        <is>
          <t>VÄSTRA GÖTALANDS LÄN</t>
        </is>
      </c>
      <c r="E270" t="inlineStr">
        <is>
          <t>DALS-ED</t>
        </is>
      </c>
      <c r="G270" t="n">
        <v>5.2</v>
      </c>
      <c r="H270" t="n">
        <v>0</v>
      </c>
      <c r="I270" t="n">
        <v>0</v>
      </c>
      <c r="J270" t="n">
        <v>0</v>
      </c>
      <c r="K270" t="n">
        <v>0</v>
      </c>
      <c r="L270" t="n">
        <v>0</v>
      </c>
      <c r="M270" t="n">
        <v>0</v>
      </c>
      <c r="N270" t="n">
        <v>0</v>
      </c>
      <c r="O270" t="n">
        <v>0</v>
      </c>
      <c r="P270" t="n">
        <v>0</v>
      </c>
      <c r="Q270" t="n">
        <v>0</v>
      </c>
      <c r="R270" s="2" t="inlineStr"/>
    </row>
    <row r="271" ht="15" customHeight="1">
      <c r="A271" t="inlineStr">
        <is>
          <t>A 54695-2025</t>
        </is>
      </c>
      <c r="B271" s="1" t="n">
        <v>45966.46392361111</v>
      </c>
      <c r="C271" s="1" t="n">
        <v>46144</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54679-2025</t>
        </is>
      </c>
      <c r="B272" s="1" t="n">
        <v>45966.42574074074</v>
      </c>
      <c r="C272" s="1" t="n">
        <v>46144</v>
      </c>
      <c r="D272" t="inlineStr">
        <is>
          <t>VÄSTRA GÖTALANDS LÄN</t>
        </is>
      </c>
      <c r="E272" t="inlineStr">
        <is>
          <t>DALS-ED</t>
        </is>
      </c>
      <c r="G272" t="n">
        <v>2</v>
      </c>
      <c r="H272" t="n">
        <v>0</v>
      </c>
      <c r="I272" t="n">
        <v>0</v>
      </c>
      <c r="J272" t="n">
        <v>0</v>
      </c>
      <c r="K272" t="n">
        <v>0</v>
      </c>
      <c r="L272" t="n">
        <v>0</v>
      </c>
      <c r="M272" t="n">
        <v>0</v>
      </c>
      <c r="N272" t="n">
        <v>0</v>
      </c>
      <c r="O272" t="n">
        <v>0</v>
      </c>
      <c r="P272" t="n">
        <v>0</v>
      </c>
      <c r="Q272" t="n">
        <v>0</v>
      </c>
      <c r="R272" s="2" t="inlineStr"/>
    </row>
    <row r="273" ht="15" customHeight="1">
      <c r="A273" t="inlineStr">
        <is>
          <t>A 54686-2025</t>
        </is>
      </c>
      <c r="B273" s="1" t="n">
        <v>45966.44347222222</v>
      </c>
      <c r="C273" s="1" t="n">
        <v>46144</v>
      </c>
      <c r="D273" t="inlineStr">
        <is>
          <t>VÄSTRA GÖTALANDS LÄN</t>
        </is>
      </c>
      <c r="E273" t="inlineStr">
        <is>
          <t>DALS-ED</t>
        </is>
      </c>
      <c r="G273" t="n">
        <v>2.6</v>
      </c>
      <c r="H273" t="n">
        <v>0</v>
      </c>
      <c r="I273" t="n">
        <v>0</v>
      </c>
      <c r="J273" t="n">
        <v>0</v>
      </c>
      <c r="K273" t="n">
        <v>0</v>
      </c>
      <c r="L273" t="n">
        <v>0</v>
      </c>
      <c r="M273" t="n">
        <v>0</v>
      </c>
      <c r="N273" t="n">
        <v>0</v>
      </c>
      <c r="O273" t="n">
        <v>0</v>
      </c>
      <c r="P273" t="n">
        <v>0</v>
      </c>
      <c r="Q273" t="n">
        <v>0</v>
      </c>
      <c r="R273" s="2" t="inlineStr"/>
    </row>
    <row r="274" ht="15" customHeight="1">
      <c r="A274" t="inlineStr">
        <is>
          <t>A 12844-2024</t>
        </is>
      </c>
      <c r="B274" s="1" t="n">
        <v>45384.79944444444</v>
      </c>
      <c r="C274" s="1" t="n">
        <v>46144</v>
      </c>
      <c r="D274" t="inlineStr">
        <is>
          <t>VÄSTRA GÖTALANDS LÄN</t>
        </is>
      </c>
      <c r="E274" t="inlineStr">
        <is>
          <t>DALS-ED</t>
        </is>
      </c>
      <c r="G274" t="n">
        <v>1.9</v>
      </c>
      <c r="H274" t="n">
        <v>0</v>
      </c>
      <c r="I274" t="n">
        <v>0</v>
      </c>
      <c r="J274" t="n">
        <v>0</v>
      </c>
      <c r="K274" t="n">
        <v>0</v>
      </c>
      <c r="L274" t="n">
        <v>0</v>
      </c>
      <c r="M274" t="n">
        <v>0</v>
      </c>
      <c r="N274" t="n">
        <v>0</v>
      </c>
      <c r="O274" t="n">
        <v>0</v>
      </c>
      <c r="P274" t="n">
        <v>0</v>
      </c>
      <c r="Q274" t="n">
        <v>0</v>
      </c>
      <c r="R274" s="2" t="inlineStr"/>
    </row>
    <row r="275" ht="15" customHeight="1">
      <c r="A275" t="inlineStr">
        <is>
          <t>A 15841-2024</t>
        </is>
      </c>
      <c r="B275" s="1" t="n">
        <v>45404.72262731481</v>
      </c>
      <c r="C275" s="1" t="n">
        <v>46144</v>
      </c>
      <c r="D275" t="inlineStr">
        <is>
          <t>VÄSTRA GÖTALANDS LÄN</t>
        </is>
      </c>
      <c r="E275" t="inlineStr">
        <is>
          <t>DALS-ED</t>
        </is>
      </c>
      <c r="G275" t="n">
        <v>4.4</v>
      </c>
      <c r="H275" t="n">
        <v>0</v>
      </c>
      <c r="I275" t="n">
        <v>0</v>
      </c>
      <c r="J275" t="n">
        <v>0</v>
      </c>
      <c r="K275" t="n">
        <v>0</v>
      </c>
      <c r="L275" t="n">
        <v>0</v>
      </c>
      <c r="M275" t="n">
        <v>0</v>
      </c>
      <c r="N275" t="n">
        <v>0</v>
      </c>
      <c r="O275" t="n">
        <v>0</v>
      </c>
      <c r="P275" t="n">
        <v>0</v>
      </c>
      <c r="Q275" t="n">
        <v>0</v>
      </c>
      <c r="R275" s="2" t="inlineStr"/>
    </row>
    <row r="276" ht="15" customHeight="1">
      <c r="A276" t="inlineStr">
        <is>
          <t>A 42434-2024</t>
        </is>
      </c>
      <c r="B276" s="1" t="n">
        <v>45565.41542824074</v>
      </c>
      <c r="C276" s="1" t="n">
        <v>46144</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55418-2025</t>
        </is>
      </c>
      <c r="B277" s="1" t="n">
        <v>45971.46984953704</v>
      </c>
      <c r="C277" s="1" t="n">
        <v>46144</v>
      </c>
      <c r="D277" t="inlineStr">
        <is>
          <t>VÄSTRA GÖTALANDS LÄN</t>
        </is>
      </c>
      <c r="E277" t="inlineStr">
        <is>
          <t>DALS-ED</t>
        </is>
      </c>
      <c r="G277" t="n">
        <v>1.1</v>
      </c>
      <c r="H277" t="n">
        <v>0</v>
      </c>
      <c r="I277" t="n">
        <v>0</v>
      </c>
      <c r="J277" t="n">
        <v>0</v>
      </c>
      <c r="K277" t="n">
        <v>0</v>
      </c>
      <c r="L277" t="n">
        <v>0</v>
      </c>
      <c r="M277" t="n">
        <v>0</v>
      </c>
      <c r="N277" t="n">
        <v>0</v>
      </c>
      <c r="O277" t="n">
        <v>0</v>
      </c>
      <c r="P277" t="n">
        <v>0</v>
      </c>
      <c r="Q277" t="n">
        <v>0</v>
      </c>
      <c r="R277" s="2" t="inlineStr"/>
    </row>
    <row r="278" ht="15" customHeight="1">
      <c r="A278" t="inlineStr">
        <is>
          <t>A 29047-2023</t>
        </is>
      </c>
      <c r="B278" s="1" t="n">
        <v>45104</v>
      </c>
      <c r="C278" s="1" t="n">
        <v>46144</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42777-2024</t>
        </is>
      </c>
      <c r="B279" s="1" t="n">
        <v>45566.51762731482</v>
      </c>
      <c r="C279" s="1" t="n">
        <v>46144</v>
      </c>
      <c r="D279" t="inlineStr">
        <is>
          <t>VÄSTRA GÖTALANDS LÄN</t>
        </is>
      </c>
      <c r="E279" t="inlineStr">
        <is>
          <t>DALS-ED</t>
        </is>
      </c>
      <c r="G279" t="n">
        <v>9.4</v>
      </c>
      <c r="H279" t="n">
        <v>0</v>
      </c>
      <c r="I279" t="n">
        <v>0</v>
      </c>
      <c r="J279" t="n">
        <v>0</v>
      </c>
      <c r="K279" t="n">
        <v>0</v>
      </c>
      <c r="L279" t="n">
        <v>0</v>
      </c>
      <c r="M279" t="n">
        <v>0</v>
      </c>
      <c r="N279" t="n">
        <v>0</v>
      </c>
      <c r="O279" t="n">
        <v>0</v>
      </c>
      <c r="P279" t="n">
        <v>0</v>
      </c>
      <c r="Q279" t="n">
        <v>0</v>
      </c>
      <c r="R279" s="2" t="inlineStr"/>
    </row>
    <row r="280" ht="15" customHeight="1">
      <c r="A280" t="inlineStr">
        <is>
          <t>A 56239-2025</t>
        </is>
      </c>
      <c r="B280" s="1" t="n">
        <v>45974.54357638889</v>
      </c>
      <c r="C280" s="1" t="n">
        <v>46144</v>
      </c>
      <c r="D280" t="inlineStr">
        <is>
          <t>VÄSTRA GÖTALANDS LÄN</t>
        </is>
      </c>
      <c r="E280" t="inlineStr">
        <is>
          <t>DALS-ED</t>
        </is>
      </c>
      <c r="F280" t="inlineStr">
        <is>
          <t>Övriga Aktiebolag</t>
        </is>
      </c>
      <c r="G280" t="n">
        <v>5.9</v>
      </c>
      <c r="H280" t="n">
        <v>0</v>
      </c>
      <c r="I280" t="n">
        <v>0</v>
      </c>
      <c r="J280" t="n">
        <v>0</v>
      </c>
      <c r="K280" t="n">
        <v>0</v>
      </c>
      <c r="L280" t="n">
        <v>0</v>
      </c>
      <c r="M280" t="n">
        <v>0</v>
      </c>
      <c r="N280" t="n">
        <v>0</v>
      </c>
      <c r="O280" t="n">
        <v>0</v>
      </c>
      <c r="P280" t="n">
        <v>0</v>
      </c>
      <c r="Q280" t="n">
        <v>0</v>
      </c>
      <c r="R280" s="2" t="inlineStr"/>
    </row>
    <row r="281" ht="15" customHeight="1">
      <c r="A281" t="inlineStr">
        <is>
          <t>A 10092-2022</t>
        </is>
      </c>
      <c r="B281" s="1" t="n">
        <v>44621</v>
      </c>
      <c r="C281" s="1" t="n">
        <v>46144</v>
      </c>
      <c r="D281" t="inlineStr">
        <is>
          <t>VÄSTRA GÖTALANDS LÄN</t>
        </is>
      </c>
      <c r="E281" t="inlineStr">
        <is>
          <t>DALS-ED</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58584-2024</t>
        </is>
      </c>
      <c r="B282" s="1" t="n">
        <v>45632</v>
      </c>
      <c r="C282" s="1" t="n">
        <v>46144</v>
      </c>
      <c r="D282" t="inlineStr">
        <is>
          <t>VÄSTRA GÖTALANDS LÄN</t>
        </is>
      </c>
      <c r="E282" t="inlineStr">
        <is>
          <t>DALS-ED</t>
        </is>
      </c>
      <c r="G282" t="n">
        <v>1.5</v>
      </c>
      <c r="H282" t="n">
        <v>0</v>
      </c>
      <c r="I282" t="n">
        <v>0</v>
      </c>
      <c r="J282" t="n">
        <v>0</v>
      </c>
      <c r="K282" t="n">
        <v>0</v>
      </c>
      <c r="L282" t="n">
        <v>0</v>
      </c>
      <c r="M282" t="n">
        <v>0</v>
      </c>
      <c r="N282" t="n">
        <v>0</v>
      </c>
      <c r="O282" t="n">
        <v>0</v>
      </c>
      <c r="P282" t="n">
        <v>0</v>
      </c>
      <c r="Q282" t="n">
        <v>0</v>
      </c>
      <c r="R282" s="2" t="inlineStr"/>
    </row>
    <row r="283" ht="15" customHeight="1">
      <c r="A283" t="inlineStr">
        <is>
          <t>A 56084-2025</t>
        </is>
      </c>
      <c r="B283" s="1" t="n">
        <v>45973.66523148148</v>
      </c>
      <c r="C283" s="1" t="n">
        <v>46144</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38383-2023</t>
        </is>
      </c>
      <c r="B284" s="1" t="n">
        <v>45162.25072916667</v>
      </c>
      <c r="C284" s="1" t="n">
        <v>46144</v>
      </c>
      <c r="D284" t="inlineStr">
        <is>
          <t>VÄSTRA GÖTALANDS LÄN</t>
        </is>
      </c>
      <c r="E284" t="inlineStr">
        <is>
          <t>DALS-ED</t>
        </is>
      </c>
      <c r="G284" t="n">
        <v>2.5</v>
      </c>
      <c r="H284" t="n">
        <v>0</v>
      </c>
      <c r="I284" t="n">
        <v>0</v>
      </c>
      <c r="J284" t="n">
        <v>0</v>
      </c>
      <c r="K284" t="n">
        <v>0</v>
      </c>
      <c r="L284" t="n">
        <v>0</v>
      </c>
      <c r="M284" t="n">
        <v>0</v>
      </c>
      <c r="N284" t="n">
        <v>0</v>
      </c>
      <c r="O284" t="n">
        <v>0</v>
      </c>
      <c r="P284" t="n">
        <v>0</v>
      </c>
      <c r="Q284" t="n">
        <v>0</v>
      </c>
      <c r="R284" s="2" t="inlineStr"/>
    </row>
    <row r="285" ht="15" customHeight="1">
      <c r="A285" t="inlineStr">
        <is>
          <t>A 56169-2025</t>
        </is>
      </c>
      <c r="B285" s="1" t="n">
        <v>45974.39293981482</v>
      </c>
      <c r="C285" s="1" t="n">
        <v>46144</v>
      </c>
      <c r="D285" t="inlineStr">
        <is>
          <t>VÄSTRA GÖTALANDS LÄN</t>
        </is>
      </c>
      <c r="E285" t="inlineStr">
        <is>
          <t>DALS-ED</t>
        </is>
      </c>
      <c r="G285" t="n">
        <v>2.4</v>
      </c>
      <c r="H285" t="n">
        <v>0</v>
      </c>
      <c r="I285" t="n">
        <v>0</v>
      </c>
      <c r="J285" t="n">
        <v>0</v>
      </c>
      <c r="K285" t="n">
        <v>0</v>
      </c>
      <c r="L285" t="n">
        <v>0</v>
      </c>
      <c r="M285" t="n">
        <v>0</v>
      </c>
      <c r="N285" t="n">
        <v>0</v>
      </c>
      <c r="O285" t="n">
        <v>0</v>
      </c>
      <c r="P285" t="n">
        <v>0</v>
      </c>
      <c r="Q285" t="n">
        <v>0</v>
      </c>
      <c r="R285" s="2" t="inlineStr"/>
    </row>
    <row r="286" ht="15" customHeight="1">
      <c r="A286" t="inlineStr">
        <is>
          <t>A 56171-2025</t>
        </is>
      </c>
      <c r="B286" s="1" t="n">
        <v>45974.39509259259</v>
      </c>
      <c r="C286" s="1" t="n">
        <v>46144</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17502-2024</t>
        </is>
      </c>
      <c r="B287" s="1" t="n">
        <v>45415.55523148148</v>
      </c>
      <c r="C287" s="1" t="n">
        <v>46144</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53819-2024</t>
        </is>
      </c>
      <c r="B288" s="1" t="n">
        <v>45615.60525462963</v>
      </c>
      <c r="C288" s="1" t="n">
        <v>46144</v>
      </c>
      <c r="D288" t="inlineStr">
        <is>
          <t>VÄSTRA GÖTALANDS LÄN</t>
        </is>
      </c>
      <c r="E288" t="inlineStr">
        <is>
          <t>DALS-ED</t>
        </is>
      </c>
      <c r="G288" t="n">
        <v>1.1</v>
      </c>
      <c r="H288" t="n">
        <v>0</v>
      </c>
      <c r="I288" t="n">
        <v>0</v>
      </c>
      <c r="J288" t="n">
        <v>0</v>
      </c>
      <c r="K288" t="n">
        <v>0</v>
      </c>
      <c r="L288" t="n">
        <v>0</v>
      </c>
      <c r="M288" t="n">
        <v>0</v>
      </c>
      <c r="N288" t="n">
        <v>0</v>
      </c>
      <c r="O288" t="n">
        <v>0</v>
      </c>
      <c r="P288" t="n">
        <v>0</v>
      </c>
      <c r="Q288" t="n">
        <v>0</v>
      </c>
      <c r="R288" s="2" t="inlineStr"/>
    </row>
    <row r="289" ht="15" customHeight="1">
      <c r="A289" t="inlineStr">
        <is>
          <t>A 33616-2023</t>
        </is>
      </c>
      <c r="B289" s="1" t="n">
        <v>45132</v>
      </c>
      <c r="C289" s="1" t="n">
        <v>46144</v>
      </c>
      <c r="D289" t="inlineStr">
        <is>
          <t>VÄSTRA GÖTALANDS LÄN</t>
        </is>
      </c>
      <c r="E289" t="inlineStr">
        <is>
          <t>DALS-ED</t>
        </is>
      </c>
      <c r="G289" t="n">
        <v>26.5</v>
      </c>
      <c r="H289" t="n">
        <v>0</v>
      </c>
      <c r="I289" t="n">
        <v>0</v>
      </c>
      <c r="J289" t="n">
        <v>0</v>
      </c>
      <c r="K289" t="n">
        <v>0</v>
      </c>
      <c r="L289" t="n">
        <v>0</v>
      </c>
      <c r="M289" t="n">
        <v>0</v>
      </c>
      <c r="N289" t="n">
        <v>0</v>
      </c>
      <c r="O289" t="n">
        <v>0</v>
      </c>
      <c r="P289" t="n">
        <v>0</v>
      </c>
      <c r="Q289" t="n">
        <v>0</v>
      </c>
      <c r="R289" s="2" t="inlineStr"/>
    </row>
    <row r="290" ht="15" customHeight="1">
      <c r="A290" t="inlineStr">
        <is>
          <t>A 56050-2025</t>
        </is>
      </c>
      <c r="B290" s="1" t="n">
        <v>45973.62712962963</v>
      </c>
      <c r="C290" s="1" t="n">
        <v>46144</v>
      </c>
      <c r="D290" t="inlineStr">
        <is>
          <t>VÄSTRA GÖTALANDS LÄN</t>
        </is>
      </c>
      <c r="E290" t="inlineStr">
        <is>
          <t>DALS-ED</t>
        </is>
      </c>
      <c r="G290" t="n">
        <v>2.5</v>
      </c>
      <c r="H290" t="n">
        <v>0</v>
      </c>
      <c r="I290" t="n">
        <v>0</v>
      </c>
      <c r="J290" t="n">
        <v>0</v>
      </c>
      <c r="K290" t="n">
        <v>0</v>
      </c>
      <c r="L290" t="n">
        <v>0</v>
      </c>
      <c r="M290" t="n">
        <v>0</v>
      </c>
      <c r="N290" t="n">
        <v>0</v>
      </c>
      <c r="O290" t="n">
        <v>0</v>
      </c>
      <c r="P290" t="n">
        <v>0</v>
      </c>
      <c r="Q290" t="n">
        <v>0</v>
      </c>
      <c r="R290" s="2" t="inlineStr"/>
    </row>
    <row r="291" ht="15" customHeight="1">
      <c r="A291" t="inlineStr">
        <is>
          <t>A 56282-2025</t>
        </is>
      </c>
      <c r="B291" s="1" t="n">
        <v>45974.59179398148</v>
      </c>
      <c r="C291" s="1" t="n">
        <v>46144</v>
      </c>
      <c r="D291" t="inlineStr">
        <is>
          <t>VÄSTRA GÖTALANDS LÄN</t>
        </is>
      </c>
      <c r="E291" t="inlineStr">
        <is>
          <t>DALS-ED</t>
        </is>
      </c>
      <c r="G291" t="n">
        <v>2.5</v>
      </c>
      <c r="H291" t="n">
        <v>0</v>
      </c>
      <c r="I291" t="n">
        <v>0</v>
      </c>
      <c r="J291" t="n">
        <v>0</v>
      </c>
      <c r="K291" t="n">
        <v>0</v>
      </c>
      <c r="L291" t="n">
        <v>0</v>
      </c>
      <c r="M291" t="n">
        <v>0</v>
      </c>
      <c r="N291" t="n">
        <v>0</v>
      </c>
      <c r="O291" t="n">
        <v>0</v>
      </c>
      <c r="P291" t="n">
        <v>0</v>
      </c>
      <c r="Q291" t="n">
        <v>0</v>
      </c>
      <c r="R291" s="2" t="inlineStr"/>
    </row>
    <row r="292" ht="15" customHeight="1">
      <c r="A292" t="inlineStr">
        <is>
          <t>A 56951-2025</t>
        </is>
      </c>
      <c r="B292" s="1" t="n">
        <v>45978.65059027778</v>
      </c>
      <c r="C292" s="1" t="n">
        <v>46144</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56880-2025</t>
        </is>
      </c>
      <c r="B293" s="1" t="n">
        <v>45978.55325231481</v>
      </c>
      <c r="C293" s="1" t="n">
        <v>46144</v>
      </c>
      <c r="D293" t="inlineStr">
        <is>
          <t>VÄSTRA GÖTALANDS LÄN</t>
        </is>
      </c>
      <c r="E293" t="inlineStr">
        <is>
          <t>DALS-ED</t>
        </is>
      </c>
      <c r="G293" t="n">
        <v>2.5</v>
      </c>
      <c r="H293" t="n">
        <v>0</v>
      </c>
      <c r="I293" t="n">
        <v>0</v>
      </c>
      <c r="J293" t="n">
        <v>0</v>
      </c>
      <c r="K293" t="n">
        <v>0</v>
      </c>
      <c r="L293" t="n">
        <v>0</v>
      </c>
      <c r="M293" t="n">
        <v>0</v>
      </c>
      <c r="N293" t="n">
        <v>0</v>
      </c>
      <c r="O293" t="n">
        <v>0</v>
      </c>
      <c r="P293" t="n">
        <v>0</v>
      </c>
      <c r="Q293" t="n">
        <v>0</v>
      </c>
      <c r="R293" s="2" t="inlineStr"/>
    </row>
    <row r="294" ht="15" customHeight="1">
      <c r="A294" t="inlineStr">
        <is>
          <t>A 43841-2024</t>
        </is>
      </c>
      <c r="B294" s="1" t="n">
        <v>45572.34341435185</v>
      </c>
      <c r="C294" s="1" t="n">
        <v>46144</v>
      </c>
      <c r="D294" t="inlineStr">
        <is>
          <t>VÄSTRA GÖTALANDS LÄN</t>
        </is>
      </c>
      <c r="E294" t="inlineStr">
        <is>
          <t>DALS-ED</t>
        </is>
      </c>
      <c r="G294" t="n">
        <v>2.4</v>
      </c>
      <c r="H294" t="n">
        <v>0</v>
      </c>
      <c r="I294" t="n">
        <v>0</v>
      </c>
      <c r="J294" t="n">
        <v>0</v>
      </c>
      <c r="K294" t="n">
        <v>0</v>
      </c>
      <c r="L294" t="n">
        <v>0</v>
      </c>
      <c r="M294" t="n">
        <v>0</v>
      </c>
      <c r="N294" t="n">
        <v>0</v>
      </c>
      <c r="O294" t="n">
        <v>0</v>
      </c>
      <c r="P294" t="n">
        <v>0</v>
      </c>
      <c r="Q294" t="n">
        <v>0</v>
      </c>
      <c r="R294" s="2" t="inlineStr"/>
    </row>
    <row r="295" ht="15" customHeight="1">
      <c r="A295" t="inlineStr">
        <is>
          <t>A 55088-2024</t>
        </is>
      </c>
      <c r="B295" s="1" t="n">
        <v>45621.43332175926</v>
      </c>
      <c r="C295" s="1" t="n">
        <v>46144</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47444-2024</t>
        </is>
      </c>
      <c r="B296" s="1" t="n">
        <v>45587.53412037037</v>
      </c>
      <c r="C296" s="1" t="n">
        <v>46144</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57651-2025</t>
        </is>
      </c>
      <c r="B297" s="1" t="n">
        <v>45981.39206018519</v>
      </c>
      <c r="C297" s="1" t="n">
        <v>46144</v>
      </c>
      <c r="D297" t="inlineStr">
        <is>
          <t>VÄSTRA GÖTALANDS LÄN</t>
        </is>
      </c>
      <c r="E297" t="inlineStr">
        <is>
          <t>DALS-ED</t>
        </is>
      </c>
      <c r="G297" t="n">
        <v>0.9</v>
      </c>
      <c r="H297" t="n">
        <v>0</v>
      </c>
      <c r="I297" t="n">
        <v>0</v>
      </c>
      <c r="J297" t="n">
        <v>0</v>
      </c>
      <c r="K297" t="n">
        <v>0</v>
      </c>
      <c r="L297" t="n">
        <v>0</v>
      </c>
      <c r="M297" t="n">
        <v>0</v>
      </c>
      <c r="N297" t="n">
        <v>0</v>
      </c>
      <c r="O297" t="n">
        <v>0</v>
      </c>
      <c r="P297" t="n">
        <v>0</v>
      </c>
      <c r="Q297" t="n">
        <v>0</v>
      </c>
      <c r="R297" s="2" t="inlineStr"/>
    </row>
    <row r="298" ht="15" customHeight="1">
      <c r="A298" t="inlineStr">
        <is>
          <t>A 57768-2025</t>
        </is>
      </c>
      <c r="B298" s="1" t="n">
        <v>45981.55913194444</v>
      </c>
      <c r="C298" s="1" t="n">
        <v>46144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58597-2025</t>
        </is>
      </c>
      <c r="B299" s="1" t="n">
        <v>45986.42119212963</v>
      </c>
      <c r="C299" s="1" t="n">
        <v>46144</v>
      </c>
      <c r="D299" t="inlineStr">
        <is>
          <t>VÄSTRA GÖTALANDS LÄN</t>
        </is>
      </c>
      <c r="E299" t="inlineStr">
        <is>
          <t>DALS-ED</t>
        </is>
      </c>
      <c r="G299" t="n">
        <v>1.5</v>
      </c>
      <c r="H299" t="n">
        <v>0</v>
      </c>
      <c r="I299" t="n">
        <v>0</v>
      </c>
      <c r="J299" t="n">
        <v>0</v>
      </c>
      <c r="K299" t="n">
        <v>0</v>
      </c>
      <c r="L299" t="n">
        <v>0</v>
      </c>
      <c r="M299" t="n">
        <v>0</v>
      </c>
      <c r="N299" t="n">
        <v>0</v>
      </c>
      <c r="O299" t="n">
        <v>0</v>
      </c>
      <c r="P299" t="n">
        <v>0</v>
      </c>
      <c r="Q299" t="n">
        <v>0</v>
      </c>
      <c r="R299" s="2" t="inlineStr"/>
    </row>
    <row r="300" ht="15" customHeight="1">
      <c r="A300" t="inlineStr">
        <is>
          <t>A 54206-2024</t>
        </is>
      </c>
      <c r="B300" s="1" t="n">
        <v>45616.65384259259</v>
      </c>
      <c r="C300" s="1" t="n">
        <v>46144</v>
      </c>
      <c r="D300" t="inlineStr">
        <is>
          <t>VÄSTRA GÖTALANDS LÄN</t>
        </is>
      </c>
      <c r="E300" t="inlineStr">
        <is>
          <t>DALS-ED</t>
        </is>
      </c>
      <c r="G300" t="n">
        <v>5</v>
      </c>
      <c r="H300" t="n">
        <v>0</v>
      </c>
      <c r="I300" t="n">
        <v>0</v>
      </c>
      <c r="J300" t="n">
        <v>0</v>
      </c>
      <c r="K300" t="n">
        <v>0</v>
      </c>
      <c r="L300" t="n">
        <v>0</v>
      </c>
      <c r="M300" t="n">
        <v>0</v>
      </c>
      <c r="N300" t="n">
        <v>0</v>
      </c>
      <c r="O300" t="n">
        <v>0</v>
      </c>
      <c r="P300" t="n">
        <v>0</v>
      </c>
      <c r="Q300" t="n">
        <v>0</v>
      </c>
      <c r="R300" s="2" t="inlineStr"/>
    </row>
    <row r="301" ht="15" customHeight="1">
      <c r="A301" t="inlineStr">
        <is>
          <t>A 12996-2025</t>
        </is>
      </c>
      <c r="B301" s="1" t="n">
        <v>45734.48722222223</v>
      </c>
      <c r="C301" s="1" t="n">
        <v>46144</v>
      </c>
      <c r="D301" t="inlineStr">
        <is>
          <t>VÄSTRA GÖTALANDS LÄN</t>
        </is>
      </c>
      <c r="E301" t="inlineStr">
        <is>
          <t>DALS-ED</t>
        </is>
      </c>
      <c r="G301" t="n">
        <v>1.1</v>
      </c>
      <c r="H301" t="n">
        <v>0</v>
      </c>
      <c r="I301" t="n">
        <v>0</v>
      </c>
      <c r="J301" t="n">
        <v>0</v>
      </c>
      <c r="K301" t="n">
        <v>0</v>
      </c>
      <c r="L301" t="n">
        <v>0</v>
      </c>
      <c r="M301" t="n">
        <v>0</v>
      </c>
      <c r="N301" t="n">
        <v>0</v>
      </c>
      <c r="O301" t="n">
        <v>0</v>
      </c>
      <c r="P301" t="n">
        <v>0</v>
      </c>
      <c r="Q301" t="n">
        <v>0</v>
      </c>
      <c r="R301" s="2" t="inlineStr"/>
    </row>
    <row r="302" ht="15" customHeight="1">
      <c r="A302" t="inlineStr">
        <is>
          <t>A 58183-2025</t>
        </is>
      </c>
      <c r="B302" s="1" t="n">
        <v>45982.86425925926</v>
      </c>
      <c r="C302" s="1" t="n">
        <v>46144</v>
      </c>
      <c r="D302" t="inlineStr">
        <is>
          <t>VÄSTRA GÖTALANDS LÄN</t>
        </is>
      </c>
      <c r="E302" t="inlineStr">
        <is>
          <t>DALS-ED</t>
        </is>
      </c>
      <c r="G302" t="n">
        <v>2</v>
      </c>
      <c r="H302" t="n">
        <v>0</v>
      </c>
      <c r="I302" t="n">
        <v>0</v>
      </c>
      <c r="J302" t="n">
        <v>0</v>
      </c>
      <c r="K302" t="n">
        <v>0</v>
      </c>
      <c r="L302" t="n">
        <v>0</v>
      </c>
      <c r="M302" t="n">
        <v>0</v>
      </c>
      <c r="N302" t="n">
        <v>0</v>
      </c>
      <c r="O302" t="n">
        <v>0</v>
      </c>
      <c r="P302" t="n">
        <v>0</v>
      </c>
      <c r="Q302" t="n">
        <v>0</v>
      </c>
      <c r="R302" s="2" t="inlineStr"/>
    </row>
    <row r="303" ht="15" customHeight="1">
      <c r="A303" t="inlineStr">
        <is>
          <t>A 58590-2025</t>
        </is>
      </c>
      <c r="B303" s="1" t="n">
        <v>45986.40865740741</v>
      </c>
      <c r="C303" s="1" t="n">
        <v>46144</v>
      </c>
      <c r="D303" t="inlineStr">
        <is>
          <t>VÄSTRA GÖTALANDS LÄN</t>
        </is>
      </c>
      <c r="E303" t="inlineStr">
        <is>
          <t>DALS-ED</t>
        </is>
      </c>
      <c r="G303" t="n">
        <v>1.6</v>
      </c>
      <c r="H303" t="n">
        <v>0</v>
      </c>
      <c r="I303" t="n">
        <v>0</v>
      </c>
      <c r="J303" t="n">
        <v>0</v>
      </c>
      <c r="K303" t="n">
        <v>0</v>
      </c>
      <c r="L303" t="n">
        <v>0</v>
      </c>
      <c r="M303" t="n">
        <v>0</v>
      </c>
      <c r="N303" t="n">
        <v>0</v>
      </c>
      <c r="O303" t="n">
        <v>0</v>
      </c>
      <c r="P303" t="n">
        <v>0</v>
      </c>
      <c r="Q303" t="n">
        <v>0</v>
      </c>
      <c r="R303" s="2" t="inlineStr"/>
    </row>
    <row r="304" ht="15" customHeight="1">
      <c r="A304" t="inlineStr">
        <is>
          <t>A 58182-2025</t>
        </is>
      </c>
      <c r="B304" s="1" t="n">
        <v>45982.85844907408</v>
      </c>
      <c r="C304" s="1" t="n">
        <v>46144</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58855-2024</t>
        </is>
      </c>
      <c r="B305" s="1" t="n">
        <v>45636.39221064815</v>
      </c>
      <c r="C305" s="1" t="n">
        <v>46144</v>
      </c>
      <c r="D305" t="inlineStr">
        <is>
          <t>VÄSTRA GÖTALANDS LÄN</t>
        </is>
      </c>
      <c r="E305" t="inlineStr">
        <is>
          <t>DALS-ED</t>
        </is>
      </c>
      <c r="G305" t="n">
        <v>0.3</v>
      </c>
      <c r="H305" t="n">
        <v>0</v>
      </c>
      <c r="I305" t="n">
        <v>0</v>
      </c>
      <c r="J305" t="n">
        <v>0</v>
      </c>
      <c r="K305" t="n">
        <v>0</v>
      </c>
      <c r="L305" t="n">
        <v>0</v>
      </c>
      <c r="M305" t="n">
        <v>0</v>
      </c>
      <c r="N305" t="n">
        <v>0</v>
      </c>
      <c r="O305" t="n">
        <v>0</v>
      </c>
      <c r="P305" t="n">
        <v>0</v>
      </c>
      <c r="Q305" t="n">
        <v>0</v>
      </c>
      <c r="R305" s="2" t="inlineStr"/>
    </row>
    <row r="306" ht="15" customHeight="1">
      <c r="A306" t="inlineStr">
        <is>
          <t>A 59394-2025</t>
        </is>
      </c>
      <c r="B306" s="1" t="n">
        <v>45989.47519675926</v>
      </c>
      <c r="C306" s="1" t="n">
        <v>46144</v>
      </c>
      <c r="D306" t="inlineStr">
        <is>
          <t>VÄSTRA GÖTALANDS LÄN</t>
        </is>
      </c>
      <c r="E306" t="inlineStr">
        <is>
          <t>DALS-ED</t>
        </is>
      </c>
      <c r="G306" t="n">
        <v>1.1</v>
      </c>
      <c r="H306" t="n">
        <v>0</v>
      </c>
      <c r="I306" t="n">
        <v>0</v>
      </c>
      <c r="J306" t="n">
        <v>0</v>
      </c>
      <c r="K306" t="n">
        <v>0</v>
      </c>
      <c r="L306" t="n">
        <v>0</v>
      </c>
      <c r="M306" t="n">
        <v>0</v>
      </c>
      <c r="N306" t="n">
        <v>0</v>
      </c>
      <c r="O306" t="n">
        <v>0</v>
      </c>
      <c r="P306" t="n">
        <v>0</v>
      </c>
      <c r="Q306" t="n">
        <v>0</v>
      </c>
      <c r="R306" s="2" t="inlineStr"/>
    </row>
    <row r="307" ht="15" customHeight="1">
      <c r="A307" t="inlineStr">
        <is>
          <t>A 59878-2025</t>
        </is>
      </c>
      <c r="B307" s="1" t="n">
        <v>45993.29204861111</v>
      </c>
      <c r="C307" s="1" t="n">
        <v>46144</v>
      </c>
      <c r="D307" t="inlineStr">
        <is>
          <t>VÄSTRA GÖTALANDS LÄN</t>
        </is>
      </c>
      <c r="E307" t="inlineStr">
        <is>
          <t>DALS-ED</t>
        </is>
      </c>
      <c r="G307" t="n">
        <v>5.9</v>
      </c>
      <c r="H307" t="n">
        <v>0</v>
      </c>
      <c r="I307" t="n">
        <v>0</v>
      </c>
      <c r="J307" t="n">
        <v>0</v>
      </c>
      <c r="K307" t="n">
        <v>0</v>
      </c>
      <c r="L307" t="n">
        <v>0</v>
      </c>
      <c r="M307" t="n">
        <v>0</v>
      </c>
      <c r="N307" t="n">
        <v>0</v>
      </c>
      <c r="O307" t="n">
        <v>0</v>
      </c>
      <c r="P307" t="n">
        <v>0</v>
      </c>
      <c r="Q307" t="n">
        <v>0</v>
      </c>
      <c r="R307" s="2" t="inlineStr"/>
    </row>
    <row r="308" ht="15" customHeight="1">
      <c r="A308" t="inlineStr">
        <is>
          <t>A 59854-2024</t>
        </is>
      </c>
      <c r="B308" s="1" t="n">
        <v>45639.71099537037</v>
      </c>
      <c r="C308" s="1" t="n">
        <v>46144</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59855-2024</t>
        </is>
      </c>
      <c r="B309" s="1" t="n">
        <v>45639.71262731482</v>
      </c>
      <c r="C309" s="1" t="n">
        <v>46144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59921-2025</t>
        </is>
      </c>
      <c r="B310" s="1" t="n">
        <v>45993.38215277778</v>
      </c>
      <c r="C310" s="1" t="n">
        <v>46144</v>
      </c>
      <c r="D310" t="inlineStr">
        <is>
          <t>VÄSTRA GÖTALANDS LÄN</t>
        </is>
      </c>
      <c r="E310" t="inlineStr">
        <is>
          <t>DALS-ED</t>
        </is>
      </c>
      <c r="G310" t="n">
        <v>3</v>
      </c>
      <c r="H310" t="n">
        <v>0</v>
      </c>
      <c r="I310" t="n">
        <v>0</v>
      </c>
      <c r="J310" t="n">
        <v>0</v>
      </c>
      <c r="K310" t="n">
        <v>0</v>
      </c>
      <c r="L310" t="n">
        <v>0</v>
      </c>
      <c r="M310" t="n">
        <v>0</v>
      </c>
      <c r="N310" t="n">
        <v>0</v>
      </c>
      <c r="O310" t="n">
        <v>0</v>
      </c>
      <c r="P310" t="n">
        <v>0</v>
      </c>
      <c r="Q310" t="n">
        <v>0</v>
      </c>
      <c r="R310" s="2" t="inlineStr"/>
    </row>
    <row r="311" ht="15" customHeight="1">
      <c r="A311" t="inlineStr">
        <is>
          <t>A 38407-2023</t>
        </is>
      </c>
      <c r="B311" s="1" t="n">
        <v>45162</v>
      </c>
      <c r="C311" s="1" t="n">
        <v>46144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60177-2025</t>
        </is>
      </c>
      <c r="B312" s="1" t="n">
        <v>45994.45475694445</v>
      </c>
      <c r="C312" s="1" t="n">
        <v>46144</v>
      </c>
      <c r="D312" t="inlineStr">
        <is>
          <t>VÄSTRA GÖTALANDS LÄN</t>
        </is>
      </c>
      <c r="E312" t="inlineStr">
        <is>
          <t>DALS-ED</t>
        </is>
      </c>
      <c r="G312" t="n">
        <v>1.8</v>
      </c>
      <c r="H312" t="n">
        <v>0</v>
      </c>
      <c r="I312" t="n">
        <v>0</v>
      </c>
      <c r="J312" t="n">
        <v>0</v>
      </c>
      <c r="K312" t="n">
        <v>0</v>
      </c>
      <c r="L312" t="n">
        <v>0</v>
      </c>
      <c r="M312" t="n">
        <v>0</v>
      </c>
      <c r="N312" t="n">
        <v>0</v>
      </c>
      <c r="O312" t="n">
        <v>0</v>
      </c>
      <c r="P312" t="n">
        <v>0</v>
      </c>
      <c r="Q312" t="n">
        <v>0</v>
      </c>
      <c r="R312" s="2" t="inlineStr"/>
    </row>
    <row r="313" ht="15" customHeight="1">
      <c r="A313" t="inlineStr">
        <is>
          <t>A 60198-2025</t>
        </is>
      </c>
      <c r="B313" s="1" t="n">
        <v>45994.48840277778</v>
      </c>
      <c r="C313" s="1" t="n">
        <v>46144</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60197-2025</t>
        </is>
      </c>
      <c r="B314" s="1" t="n">
        <v>45994.48671296296</v>
      </c>
      <c r="C314" s="1" t="n">
        <v>46144</v>
      </c>
      <c r="D314" t="inlineStr">
        <is>
          <t>VÄSTRA GÖTALANDS LÄN</t>
        </is>
      </c>
      <c r="E314" t="inlineStr">
        <is>
          <t>DALS-ED</t>
        </is>
      </c>
      <c r="G314" t="n">
        <v>7.5</v>
      </c>
      <c r="H314" t="n">
        <v>0</v>
      </c>
      <c r="I314" t="n">
        <v>0</v>
      </c>
      <c r="J314" t="n">
        <v>0</v>
      </c>
      <c r="K314" t="n">
        <v>0</v>
      </c>
      <c r="L314" t="n">
        <v>0</v>
      </c>
      <c r="M314" t="n">
        <v>0</v>
      </c>
      <c r="N314" t="n">
        <v>0</v>
      </c>
      <c r="O314" t="n">
        <v>0</v>
      </c>
      <c r="P314" t="n">
        <v>0</v>
      </c>
      <c r="Q314" t="n">
        <v>0</v>
      </c>
      <c r="R314" s="2" t="inlineStr"/>
    </row>
    <row r="315" ht="15" customHeight="1">
      <c r="A315" t="inlineStr">
        <is>
          <t>A 24021-2023</t>
        </is>
      </c>
      <c r="B315" s="1" t="n">
        <v>45078</v>
      </c>
      <c r="C315" s="1" t="n">
        <v>46144</v>
      </c>
      <c r="D315" t="inlineStr">
        <is>
          <t>VÄSTRA GÖTALANDS LÄN</t>
        </is>
      </c>
      <c r="E315" t="inlineStr">
        <is>
          <t>DALS-ED</t>
        </is>
      </c>
      <c r="G315" t="n">
        <v>6</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46144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60543-2025</t>
        </is>
      </c>
      <c r="B317" s="1" t="n">
        <v>45995.68282407407</v>
      </c>
      <c r="C317" s="1" t="n">
        <v>46144</v>
      </c>
      <c r="D317" t="inlineStr">
        <is>
          <t>VÄSTRA GÖTALANDS LÄN</t>
        </is>
      </c>
      <c r="E317" t="inlineStr">
        <is>
          <t>DALS-ED</t>
        </is>
      </c>
      <c r="G317" t="n">
        <v>3.2</v>
      </c>
      <c r="H317" t="n">
        <v>0</v>
      </c>
      <c r="I317" t="n">
        <v>0</v>
      </c>
      <c r="J317" t="n">
        <v>0</v>
      </c>
      <c r="K317" t="n">
        <v>0</v>
      </c>
      <c r="L317" t="n">
        <v>0</v>
      </c>
      <c r="M317" t="n">
        <v>0</v>
      </c>
      <c r="N317" t="n">
        <v>0</v>
      </c>
      <c r="O317" t="n">
        <v>0</v>
      </c>
      <c r="P317" t="n">
        <v>0</v>
      </c>
      <c r="Q317" t="n">
        <v>0</v>
      </c>
      <c r="R317" s="2" t="inlineStr"/>
    </row>
    <row r="318" ht="15" customHeight="1">
      <c r="A318" t="inlineStr">
        <is>
          <t>A 60538-2025</t>
        </is>
      </c>
      <c r="B318" s="1" t="n">
        <v>45995.67278935185</v>
      </c>
      <c r="C318" s="1" t="n">
        <v>46144</v>
      </c>
      <c r="D318" t="inlineStr">
        <is>
          <t>VÄSTRA GÖTALANDS LÄN</t>
        </is>
      </c>
      <c r="E318" t="inlineStr">
        <is>
          <t>DALS-ED</t>
        </is>
      </c>
      <c r="G318" t="n">
        <v>14</v>
      </c>
      <c r="H318" t="n">
        <v>0</v>
      </c>
      <c r="I318" t="n">
        <v>0</v>
      </c>
      <c r="J318" t="n">
        <v>0</v>
      </c>
      <c r="K318" t="n">
        <v>0</v>
      </c>
      <c r="L318" t="n">
        <v>0</v>
      </c>
      <c r="M318" t="n">
        <v>0</v>
      </c>
      <c r="N318" t="n">
        <v>0</v>
      </c>
      <c r="O318" t="n">
        <v>0</v>
      </c>
      <c r="P318" t="n">
        <v>0</v>
      </c>
      <c r="Q318" t="n">
        <v>0</v>
      </c>
      <c r="R318" s="2" t="inlineStr"/>
    </row>
    <row r="319" ht="15" customHeight="1">
      <c r="A319" t="inlineStr">
        <is>
          <t>A 60542-2025</t>
        </is>
      </c>
      <c r="B319" s="1" t="n">
        <v>45995.68126157407</v>
      </c>
      <c r="C319" s="1" t="n">
        <v>46144</v>
      </c>
      <c r="D319" t="inlineStr">
        <is>
          <t>VÄSTRA GÖTALANDS LÄN</t>
        </is>
      </c>
      <c r="E319" t="inlineStr">
        <is>
          <t>DALS-ED</t>
        </is>
      </c>
      <c r="G319" t="n">
        <v>6.1</v>
      </c>
      <c r="H319" t="n">
        <v>0</v>
      </c>
      <c r="I319" t="n">
        <v>0</v>
      </c>
      <c r="J319" t="n">
        <v>0</v>
      </c>
      <c r="K319" t="n">
        <v>0</v>
      </c>
      <c r="L319" t="n">
        <v>0</v>
      </c>
      <c r="M319" t="n">
        <v>0</v>
      </c>
      <c r="N319" t="n">
        <v>0</v>
      </c>
      <c r="O319" t="n">
        <v>0</v>
      </c>
      <c r="P319" t="n">
        <v>0</v>
      </c>
      <c r="Q319" t="n">
        <v>0</v>
      </c>
      <c r="R319" s="2" t="inlineStr"/>
    </row>
    <row r="320" ht="15" customHeight="1">
      <c r="A320" t="inlineStr">
        <is>
          <t>A 42821-2023</t>
        </is>
      </c>
      <c r="B320" s="1" t="n">
        <v>45182.36564814814</v>
      </c>
      <c r="C320" s="1" t="n">
        <v>46144</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61307-2025</t>
        </is>
      </c>
      <c r="B321" s="1" t="n">
        <v>46000</v>
      </c>
      <c r="C321" s="1" t="n">
        <v>46144</v>
      </c>
      <c r="D321" t="inlineStr">
        <is>
          <t>VÄSTRA GÖTALANDS LÄN</t>
        </is>
      </c>
      <c r="E321" t="inlineStr">
        <is>
          <t>DALS-ED</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2452-2025</t>
        </is>
      </c>
      <c r="B322" s="1" t="n">
        <v>45674.44443287037</v>
      </c>
      <c r="C322" s="1" t="n">
        <v>46144</v>
      </c>
      <c r="D322" t="inlineStr">
        <is>
          <t>VÄSTRA GÖTALANDS LÄN</t>
        </is>
      </c>
      <c r="E322" t="inlineStr">
        <is>
          <t>DALS-ED</t>
        </is>
      </c>
      <c r="G322" t="n">
        <v>3.7</v>
      </c>
      <c r="H322" t="n">
        <v>0</v>
      </c>
      <c r="I322" t="n">
        <v>0</v>
      </c>
      <c r="J322" t="n">
        <v>0</v>
      </c>
      <c r="K322" t="n">
        <v>0</v>
      </c>
      <c r="L322" t="n">
        <v>0</v>
      </c>
      <c r="M322" t="n">
        <v>0</v>
      </c>
      <c r="N322" t="n">
        <v>0</v>
      </c>
      <c r="O322" t="n">
        <v>0</v>
      </c>
      <c r="P322" t="n">
        <v>0</v>
      </c>
      <c r="Q322" t="n">
        <v>0</v>
      </c>
      <c r="R322" s="2" t="inlineStr"/>
    </row>
    <row r="323" ht="15" customHeight="1">
      <c r="A323" t="inlineStr">
        <is>
          <t>A 61305-2025</t>
        </is>
      </c>
      <c r="B323" s="1" t="n">
        <v>46000</v>
      </c>
      <c r="C323" s="1" t="n">
        <v>46144</v>
      </c>
      <c r="D323" t="inlineStr">
        <is>
          <t>VÄSTRA GÖTALANDS LÄN</t>
        </is>
      </c>
      <c r="E323" t="inlineStr">
        <is>
          <t>DALS-ED</t>
        </is>
      </c>
      <c r="F323" t="inlineStr">
        <is>
          <t>Bergvik skog väst AB</t>
        </is>
      </c>
      <c r="G323" t="n">
        <v>6.5</v>
      </c>
      <c r="H323" t="n">
        <v>0</v>
      </c>
      <c r="I323" t="n">
        <v>0</v>
      </c>
      <c r="J323" t="n">
        <v>0</v>
      </c>
      <c r="K323" t="n">
        <v>0</v>
      </c>
      <c r="L323" t="n">
        <v>0</v>
      </c>
      <c r="M323" t="n">
        <v>0</v>
      </c>
      <c r="N323" t="n">
        <v>0</v>
      </c>
      <c r="O323" t="n">
        <v>0</v>
      </c>
      <c r="P323" t="n">
        <v>0</v>
      </c>
      <c r="Q323" t="n">
        <v>0</v>
      </c>
      <c r="R323" s="2" t="inlineStr"/>
    </row>
    <row r="324" ht="15" customHeight="1">
      <c r="A324" t="inlineStr">
        <is>
          <t>A 61306-2025</t>
        </is>
      </c>
      <c r="B324" s="1" t="n">
        <v>46000</v>
      </c>
      <c r="C324" s="1" t="n">
        <v>46144</v>
      </c>
      <c r="D324" t="inlineStr">
        <is>
          <t>VÄSTRA GÖTALANDS LÄN</t>
        </is>
      </c>
      <c r="E324" t="inlineStr">
        <is>
          <t>DALS-ED</t>
        </is>
      </c>
      <c r="F324" t="inlineStr">
        <is>
          <t>Bergvik skog väst AB</t>
        </is>
      </c>
      <c r="G324" t="n">
        <v>14.5</v>
      </c>
      <c r="H324" t="n">
        <v>0</v>
      </c>
      <c r="I324" t="n">
        <v>0</v>
      </c>
      <c r="J324" t="n">
        <v>0</v>
      </c>
      <c r="K324" t="n">
        <v>0</v>
      </c>
      <c r="L324" t="n">
        <v>0</v>
      </c>
      <c r="M324" t="n">
        <v>0</v>
      </c>
      <c r="N324" t="n">
        <v>0</v>
      </c>
      <c r="O324" t="n">
        <v>0</v>
      </c>
      <c r="P324" t="n">
        <v>0</v>
      </c>
      <c r="Q324" t="n">
        <v>0</v>
      </c>
      <c r="R324" s="2" t="inlineStr"/>
    </row>
    <row r="325" ht="15" customHeight="1">
      <c r="A325" t="inlineStr">
        <is>
          <t>A 6464-2022</t>
        </is>
      </c>
      <c r="B325" s="1" t="n">
        <v>44601.37392361111</v>
      </c>
      <c r="C325" s="1" t="n">
        <v>46144</v>
      </c>
      <c r="D325" t="inlineStr">
        <is>
          <t>VÄSTRA GÖTALANDS LÄN</t>
        </is>
      </c>
      <c r="E325" t="inlineStr">
        <is>
          <t>DALS-ED</t>
        </is>
      </c>
      <c r="G325" t="n">
        <v>2</v>
      </c>
      <c r="H325" t="n">
        <v>0</v>
      </c>
      <c r="I325" t="n">
        <v>0</v>
      </c>
      <c r="J325" t="n">
        <v>0</v>
      </c>
      <c r="K325" t="n">
        <v>0</v>
      </c>
      <c r="L325" t="n">
        <v>0</v>
      </c>
      <c r="M325" t="n">
        <v>0</v>
      </c>
      <c r="N325" t="n">
        <v>0</v>
      </c>
      <c r="O325" t="n">
        <v>0</v>
      </c>
      <c r="P325" t="n">
        <v>0</v>
      </c>
      <c r="Q325" t="n">
        <v>0</v>
      </c>
      <c r="R325" s="2" t="inlineStr"/>
    </row>
    <row r="326" ht="15" customHeight="1">
      <c r="A326" t="inlineStr">
        <is>
          <t>A 61281-2025</t>
        </is>
      </c>
      <c r="B326" s="1" t="n">
        <v>46000.70355324074</v>
      </c>
      <c r="C326" s="1" t="n">
        <v>46144</v>
      </c>
      <c r="D326" t="inlineStr">
        <is>
          <t>VÄSTRA GÖTALANDS LÄN</t>
        </is>
      </c>
      <c r="E326" t="inlineStr">
        <is>
          <t>DALS-ED</t>
        </is>
      </c>
      <c r="G326" t="n">
        <v>9.1</v>
      </c>
      <c r="H326" t="n">
        <v>0</v>
      </c>
      <c r="I326" t="n">
        <v>0</v>
      </c>
      <c r="J326" t="n">
        <v>0</v>
      </c>
      <c r="K326" t="n">
        <v>0</v>
      </c>
      <c r="L326" t="n">
        <v>0</v>
      </c>
      <c r="M326" t="n">
        <v>0</v>
      </c>
      <c r="N326" t="n">
        <v>0</v>
      </c>
      <c r="O326" t="n">
        <v>0</v>
      </c>
      <c r="P326" t="n">
        <v>0</v>
      </c>
      <c r="Q326" t="n">
        <v>0</v>
      </c>
      <c r="R326" s="2" t="inlineStr"/>
    </row>
    <row r="327" ht="15" customHeight="1">
      <c r="A327" t="inlineStr">
        <is>
          <t>A 18536-2025</t>
        </is>
      </c>
      <c r="B327" s="1" t="n">
        <v>45763.40989583333</v>
      </c>
      <c r="C327" s="1" t="n">
        <v>46144</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60185-2025</t>
        </is>
      </c>
      <c r="B328" s="1" t="n">
        <v>45994</v>
      </c>
      <c r="C328" s="1" t="n">
        <v>46144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60188-2025</t>
        </is>
      </c>
      <c r="B329" s="1" t="n">
        <v>45994</v>
      </c>
      <c r="C329" s="1" t="n">
        <v>46144</v>
      </c>
      <c r="D329" t="inlineStr">
        <is>
          <t>VÄSTRA GÖTALANDS LÄN</t>
        </is>
      </c>
      <c r="E329" t="inlineStr">
        <is>
          <t>DALS-ED</t>
        </is>
      </c>
      <c r="G329" t="n">
        <v>7.5</v>
      </c>
      <c r="H329" t="n">
        <v>0</v>
      </c>
      <c r="I329" t="n">
        <v>0</v>
      </c>
      <c r="J329" t="n">
        <v>0</v>
      </c>
      <c r="K329" t="n">
        <v>0</v>
      </c>
      <c r="L329" t="n">
        <v>0</v>
      </c>
      <c r="M329" t="n">
        <v>0</v>
      </c>
      <c r="N329" t="n">
        <v>0</v>
      </c>
      <c r="O329" t="n">
        <v>0</v>
      </c>
      <c r="P329" t="n">
        <v>0</v>
      </c>
      <c r="Q329" t="n">
        <v>0</v>
      </c>
      <c r="R329" s="2" t="inlineStr"/>
    </row>
    <row r="330" ht="15" customHeight="1">
      <c r="A330" t="inlineStr">
        <is>
          <t>A 62212-2025</t>
        </is>
      </c>
      <c r="B330" s="1" t="n">
        <v>46006.57251157407</v>
      </c>
      <c r="C330" s="1" t="n">
        <v>46144</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12988-2022</t>
        </is>
      </c>
      <c r="B331" s="1" t="n">
        <v>44643</v>
      </c>
      <c r="C331" s="1" t="n">
        <v>46144</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56781-2024</t>
        </is>
      </c>
      <c r="B332" s="1" t="n">
        <v>45628.44436342592</v>
      </c>
      <c r="C332" s="1" t="n">
        <v>46144</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62216-2025</t>
        </is>
      </c>
      <c r="B333" s="1" t="n">
        <v>46006.57706018518</v>
      </c>
      <c r="C333" s="1" t="n">
        <v>46144</v>
      </c>
      <c r="D333" t="inlineStr">
        <is>
          <t>VÄSTRA GÖTALANDS LÄN</t>
        </is>
      </c>
      <c r="E333" t="inlineStr">
        <is>
          <t>DALS-ED</t>
        </is>
      </c>
      <c r="G333" t="n">
        <v>1.7</v>
      </c>
      <c r="H333" t="n">
        <v>0</v>
      </c>
      <c r="I333" t="n">
        <v>0</v>
      </c>
      <c r="J333" t="n">
        <v>0</v>
      </c>
      <c r="K333" t="n">
        <v>0</v>
      </c>
      <c r="L333" t="n">
        <v>0</v>
      </c>
      <c r="M333" t="n">
        <v>0</v>
      </c>
      <c r="N333" t="n">
        <v>0</v>
      </c>
      <c r="O333" t="n">
        <v>0</v>
      </c>
      <c r="P333" t="n">
        <v>0</v>
      </c>
      <c r="Q333" t="n">
        <v>0</v>
      </c>
      <c r="R333" s="2" t="inlineStr"/>
    </row>
    <row r="334" ht="15" customHeight="1">
      <c r="A334" t="inlineStr">
        <is>
          <t>A 61840-2025</t>
        </is>
      </c>
      <c r="B334" s="1" t="n">
        <v>46003</v>
      </c>
      <c r="C334" s="1" t="n">
        <v>46144</v>
      </c>
      <c r="D334" t="inlineStr">
        <is>
          <t>VÄSTRA GÖTALANDS LÄN</t>
        </is>
      </c>
      <c r="E334" t="inlineStr">
        <is>
          <t>DALS-ED</t>
        </is>
      </c>
      <c r="G334" t="n">
        <v>3.5</v>
      </c>
      <c r="H334" t="n">
        <v>0</v>
      </c>
      <c r="I334" t="n">
        <v>0</v>
      </c>
      <c r="J334" t="n">
        <v>0</v>
      </c>
      <c r="K334" t="n">
        <v>0</v>
      </c>
      <c r="L334" t="n">
        <v>0</v>
      </c>
      <c r="M334" t="n">
        <v>0</v>
      </c>
      <c r="N334" t="n">
        <v>0</v>
      </c>
      <c r="O334" t="n">
        <v>0</v>
      </c>
      <c r="P334" t="n">
        <v>0</v>
      </c>
      <c r="Q334" t="n">
        <v>0</v>
      </c>
      <c r="R334" s="2" t="inlineStr"/>
    </row>
    <row r="335" ht="15" customHeight="1">
      <c r="A335" t="inlineStr">
        <is>
          <t>A 56765-2024</t>
        </is>
      </c>
      <c r="B335" s="1" t="n">
        <v>45628.4080787037</v>
      </c>
      <c r="C335" s="1" t="n">
        <v>46144</v>
      </c>
      <c r="D335" t="inlineStr">
        <is>
          <t>VÄSTRA GÖTALANDS LÄN</t>
        </is>
      </c>
      <c r="E335" t="inlineStr">
        <is>
          <t>DALS-ED</t>
        </is>
      </c>
      <c r="G335" t="n">
        <v>0.8</v>
      </c>
      <c r="H335" t="n">
        <v>0</v>
      </c>
      <c r="I335" t="n">
        <v>0</v>
      </c>
      <c r="J335" t="n">
        <v>0</v>
      </c>
      <c r="K335" t="n">
        <v>0</v>
      </c>
      <c r="L335" t="n">
        <v>0</v>
      </c>
      <c r="M335" t="n">
        <v>0</v>
      </c>
      <c r="N335" t="n">
        <v>0</v>
      </c>
      <c r="O335" t="n">
        <v>0</v>
      </c>
      <c r="P335" t="n">
        <v>0</v>
      </c>
      <c r="Q335" t="n">
        <v>0</v>
      </c>
      <c r="R335" s="2" t="inlineStr"/>
    </row>
    <row r="336" ht="15" customHeight="1">
      <c r="A336" t="inlineStr">
        <is>
          <t>A 61948-2025</t>
        </is>
      </c>
      <c r="B336" s="1" t="n">
        <v>46003.5702662037</v>
      </c>
      <c r="C336" s="1" t="n">
        <v>46144</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46050-2023</t>
        </is>
      </c>
      <c r="B337" s="1" t="n">
        <v>45196.44567129629</v>
      </c>
      <c r="C337" s="1" t="n">
        <v>46144</v>
      </c>
      <c r="D337" t="inlineStr">
        <is>
          <t>VÄSTRA GÖTALANDS LÄN</t>
        </is>
      </c>
      <c r="E337" t="inlineStr">
        <is>
          <t>DALS-ED</t>
        </is>
      </c>
      <c r="F337" t="inlineStr">
        <is>
          <t>Kommuner</t>
        </is>
      </c>
      <c r="G337" t="n">
        <v>6.5</v>
      </c>
      <c r="H337" t="n">
        <v>0</v>
      </c>
      <c r="I337" t="n">
        <v>0</v>
      </c>
      <c r="J337" t="n">
        <v>0</v>
      </c>
      <c r="K337" t="n">
        <v>0</v>
      </c>
      <c r="L337" t="n">
        <v>0</v>
      </c>
      <c r="M337" t="n">
        <v>0</v>
      </c>
      <c r="N337" t="n">
        <v>0</v>
      </c>
      <c r="O337" t="n">
        <v>0</v>
      </c>
      <c r="P337" t="n">
        <v>0</v>
      </c>
      <c r="Q337" t="n">
        <v>0</v>
      </c>
      <c r="R337" s="2" t="inlineStr"/>
    </row>
    <row r="338" ht="15" customHeight="1">
      <c r="A338" t="inlineStr">
        <is>
          <t>A 52350-2024</t>
        </is>
      </c>
      <c r="B338" s="1" t="n">
        <v>45609.35231481482</v>
      </c>
      <c r="C338" s="1" t="n">
        <v>46144</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48295-2022</t>
        </is>
      </c>
      <c r="B339" s="1" t="n">
        <v>44858.51763888889</v>
      </c>
      <c r="C339" s="1" t="n">
        <v>46144</v>
      </c>
      <c r="D339" t="inlineStr">
        <is>
          <t>VÄSTRA GÖTALANDS LÄN</t>
        </is>
      </c>
      <c r="E339" t="inlineStr">
        <is>
          <t>DALS-ED</t>
        </is>
      </c>
      <c r="G339" t="n">
        <v>2.4</v>
      </c>
      <c r="H339" t="n">
        <v>0</v>
      </c>
      <c r="I339" t="n">
        <v>0</v>
      </c>
      <c r="J339" t="n">
        <v>0</v>
      </c>
      <c r="K339" t="n">
        <v>0</v>
      </c>
      <c r="L339" t="n">
        <v>0</v>
      </c>
      <c r="M339" t="n">
        <v>0</v>
      </c>
      <c r="N339" t="n">
        <v>0</v>
      </c>
      <c r="O339" t="n">
        <v>0</v>
      </c>
      <c r="P339" t="n">
        <v>0</v>
      </c>
      <c r="Q339" t="n">
        <v>0</v>
      </c>
      <c r="R339" s="2" t="inlineStr"/>
    </row>
    <row r="340" ht="15" customHeight="1">
      <c r="A340" t="inlineStr">
        <is>
          <t>A 20889-2022</t>
        </is>
      </c>
      <c r="B340" s="1" t="n">
        <v>44701</v>
      </c>
      <c r="C340" s="1" t="n">
        <v>46144</v>
      </c>
      <c r="D340" t="inlineStr">
        <is>
          <t>VÄSTRA GÖTALANDS LÄN</t>
        </is>
      </c>
      <c r="E340" t="inlineStr">
        <is>
          <t>DALS-ED</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46144</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16952-2025</t>
        </is>
      </c>
      <c r="B342" s="1" t="n">
        <v>45755.44237268518</v>
      </c>
      <c r="C342" s="1" t="n">
        <v>46144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63865-2025</t>
        </is>
      </c>
      <c r="B343" s="1" t="n">
        <v>46020.5050462963</v>
      </c>
      <c r="C343" s="1" t="n">
        <v>46144</v>
      </c>
      <c r="D343" t="inlineStr">
        <is>
          <t>VÄSTRA GÖTALANDS LÄN</t>
        </is>
      </c>
      <c r="E343" t="inlineStr">
        <is>
          <t>DALS-ED</t>
        </is>
      </c>
      <c r="G343" t="n">
        <v>2.3</v>
      </c>
      <c r="H343" t="n">
        <v>0</v>
      </c>
      <c r="I343" t="n">
        <v>0</v>
      </c>
      <c r="J343" t="n">
        <v>0</v>
      </c>
      <c r="K343" t="n">
        <v>0</v>
      </c>
      <c r="L343" t="n">
        <v>0</v>
      </c>
      <c r="M343" t="n">
        <v>0</v>
      </c>
      <c r="N343" t="n">
        <v>0</v>
      </c>
      <c r="O343" t="n">
        <v>0</v>
      </c>
      <c r="P343" t="n">
        <v>0</v>
      </c>
      <c r="Q343" t="n">
        <v>0</v>
      </c>
      <c r="R343" s="2" t="inlineStr"/>
    </row>
    <row r="344" ht="15" customHeight="1">
      <c r="A344" t="inlineStr">
        <is>
          <t>A 7482-2024</t>
        </is>
      </c>
      <c r="B344" s="1" t="n">
        <v>45346.61512731481</v>
      </c>
      <c r="C344" s="1" t="n">
        <v>46144</v>
      </c>
      <c r="D344" t="inlineStr">
        <is>
          <t>VÄSTRA GÖTALANDS LÄN</t>
        </is>
      </c>
      <c r="E344" t="inlineStr">
        <is>
          <t>DALS-ED</t>
        </is>
      </c>
      <c r="G344" t="n">
        <v>2.6</v>
      </c>
      <c r="H344" t="n">
        <v>0</v>
      </c>
      <c r="I344" t="n">
        <v>0</v>
      </c>
      <c r="J344" t="n">
        <v>0</v>
      </c>
      <c r="K344" t="n">
        <v>0</v>
      </c>
      <c r="L344" t="n">
        <v>0</v>
      </c>
      <c r="M344" t="n">
        <v>0</v>
      </c>
      <c r="N344" t="n">
        <v>0</v>
      </c>
      <c r="O344" t="n">
        <v>0</v>
      </c>
      <c r="P344" t="n">
        <v>0</v>
      </c>
      <c r="Q344" t="n">
        <v>0</v>
      </c>
      <c r="R344" s="2" t="inlineStr"/>
    </row>
    <row r="345" ht="15" customHeight="1">
      <c r="A345" t="inlineStr">
        <is>
          <t>A 4489-2025</t>
        </is>
      </c>
      <c r="B345" s="1" t="n">
        <v>45686.6608912037</v>
      </c>
      <c r="C345" s="1" t="n">
        <v>46144</v>
      </c>
      <c r="D345" t="inlineStr">
        <is>
          <t>VÄSTRA GÖTALANDS LÄN</t>
        </is>
      </c>
      <c r="E345" t="inlineStr">
        <is>
          <t>DALS-ED</t>
        </is>
      </c>
      <c r="G345" t="n">
        <v>0.8</v>
      </c>
      <c r="H345" t="n">
        <v>0</v>
      </c>
      <c r="I345" t="n">
        <v>0</v>
      </c>
      <c r="J345" t="n">
        <v>0</v>
      </c>
      <c r="K345" t="n">
        <v>0</v>
      </c>
      <c r="L345" t="n">
        <v>0</v>
      </c>
      <c r="M345" t="n">
        <v>0</v>
      </c>
      <c r="N345" t="n">
        <v>0</v>
      </c>
      <c r="O345" t="n">
        <v>0</v>
      </c>
      <c r="P345" t="n">
        <v>0</v>
      </c>
      <c r="Q345" t="n">
        <v>0</v>
      </c>
      <c r="R345" s="2" t="inlineStr"/>
    </row>
    <row r="346" ht="15" customHeight="1">
      <c r="A346" t="inlineStr">
        <is>
          <t>A 27807-2022</t>
        </is>
      </c>
      <c r="B346" s="1" t="n">
        <v>44743.57612268518</v>
      </c>
      <c r="C346" s="1" t="n">
        <v>46144</v>
      </c>
      <c r="D346" t="inlineStr">
        <is>
          <t>VÄSTRA GÖTALANDS LÄN</t>
        </is>
      </c>
      <c r="E346" t="inlineStr">
        <is>
          <t>DALS-ED</t>
        </is>
      </c>
      <c r="G346" t="n">
        <v>3.8</v>
      </c>
      <c r="H346" t="n">
        <v>0</v>
      </c>
      <c r="I346" t="n">
        <v>0</v>
      </c>
      <c r="J346" t="n">
        <v>0</v>
      </c>
      <c r="K346" t="n">
        <v>0</v>
      </c>
      <c r="L346" t="n">
        <v>0</v>
      </c>
      <c r="M346" t="n">
        <v>0</v>
      </c>
      <c r="N346" t="n">
        <v>0</v>
      </c>
      <c r="O346" t="n">
        <v>0</v>
      </c>
      <c r="P346" t="n">
        <v>0</v>
      </c>
      <c r="Q346" t="n">
        <v>0</v>
      </c>
      <c r="R346" s="2" t="inlineStr"/>
    </row>
    <row r="347" ht="15" customHeight="1">
      <c r="A347" t="inlineStr">
        <is>
          <t>A 20268-2025</t>
        </is>
      </c>
      <c r="B347" s="1" t="n">
        <v>45773</v>
      </c>
      <c r="C347" s="1" t="n">
        <v>46144</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8892-2022</t>
        </is>
      </c>
      <c r="B348" s="1" t="n">
        <v>44614</v>
      </c>
      <c r="C348" s="1" t="n">
        <v>46144</v>
      </c>
      <c r="D348" t="inlineStr">
        <is>
          <t>VÄSTRA GÖTALANDS LÄN</t>
        </is>
      </c>
      <c r="E348" t="inlineStr">
        <is>
          <t>DALS-ED</t>
        </is>
      </c>
      <c r="G348" t="n">
        <v>0.2</v>
      </c>
      <c r="H348" t="n">
        <v>0</v>
      </c>
      <c r="I348" t="n">
        <v>0</v>
      </c>
      <c r="J348" t="n">
        <v>0</v>
      </c>
      <c r="K348" t="n">
        <v>0</v>
      </c>
      <c r="L348" t="n">
        <v>0</v>
      </c>
      <c r="M348" t="n">
        <v>0</v>
      </c>
      <c r="N348" t="n">
        <v>0</v>
      </c>
      <c r="O348" t="n">
        <v>0</v>
      </c>
      <c r="P348" t="n">
        <v>0</v>
      </c>
      <c r="Q348" t="n">
        <v>0</v>
      </c>
      <c r="R348" s="2" t="inlineStr"/>
    </row>
    <row r="349" ht="15" customHeight="1">
      <c r="A349" t="inlineStr">
        <is>
          <t>A 18529-2025</t>
        </is>
      </c>
      <c r="B349" s="1" t="n">
        <v>45763.40197916667</v>
      </c>
      <c r="C349" s="1" t="n">
        <v>46144</v>
      </c>
      <c r="D349" t="inlineStr">
        <is>
          <t>VÄSTRA GÖTALANDS LÄN</t>
        </is>
      </c>
      <c r="E349" t="inlineStr">
        <is>
          <t>DALS-ED</t>
        </is>
      </c>
      <c r="G349" t="n">
        <v>3.9</v>
      </c>
      <c r="H349" t="n">
        <v>0</v>
      </c>
      <c r="I349" t="n">
        <v>0</v>
      </c>
      <c r="J349" t="n">
        <v>0</v>
      </c>
      <c r="K349" t="n">
        <v>0</v>
      </c>
      <c r="L349" t="n">
        <v>0</v>
      </c>
      <c r="M349" t="n">
        <v>0</v>
      </c>
      <c r="N349" t="n">
        <v>0</v>
      </c>
      <c r="O349" t="n">
        <v>0</v>
      </c>
      <c r="P349" t="n">
        <v>0</v>
      </c>
      <c r="Q349" t="n">
        <v>0</v>
      </c>
      <c r="R349" s="2" t="inlineStr"/>
    </row>
    <row r="350" ht="15" customHeight="1">
      <c r="A350" t="inlineStr">
        <is>
          <t>A 24482-2024</t>
        </is>
      </c>
      <c r="B350" s="1" t="n">
        <v>45459.38876157408</v>
      </c>
      <c r="C350" s="1" t="n">
        <v>46144</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970-2026</t>
        </is>
      </c>
      <c r="B351" s="1" t="n">
        <v>46030.56324074074</v>
      </c>
      <c r="C351" s="1" t="n">
        <v>46144</v>
      </c>
      <c r="D351" t="inlineStr">
        <is>
          <t>VÄSTRA GÖTALANDS LÄN</t>
        </is>
      </c>
      <c r="E351" t="inlineStr">
        <is>
          <t>DALS-ED</t>
        </is>
      </c>
      <c r="G351" t="n">
        <v>1.5</v>
      </c>
      <c r="H351" t="n">
        <v>0</v>
      </c>
      <c r="I351" t="n">
        <v>0</v>
      </c>
      <c r="J351" t="n">
        <v>0</v>
      </c>
      <c r="K351" t="n">
        <v>0</v>
      </c>
      <c r="L351" t="n">
        <v>0</v>
      </c>
      <c r="M351" t="n">
        <v>0</v>
      </c>
      <c r="N351" t="n">
        <v>0</v>
      </c>
      <c r="O351" t="n">
        <v>0</v>
      </c>
      <c r="P351" t="n">
        <v>0</v>
      </c>
      <c r="Q351" t="n">
        <v>0</v>
      </c>
      <c r="R351" s="2" t="inlineStr"/>
    </row>
    <row r="352" ht="15" customHeight="1">
      <c r="A352" t="inlineStr">
        <is>
          <t>A 899-2026</t>
        </is>
      </c>
      <c r="B352" s="1" t="n">
        <v>46028</v>
      </c>
      <c r="C352" s="1" t="n">
        <v>46144</v>
      </c>
      <c r="D352" t="inlineStr">
        <is>
          <t>VÄSTRA GÖTALANDS LÄN</t>
        </is>
      </c>
      <c r="E352" t="inlineStr">
        <is>
          <t>DALS-ED</t>
        </is>
      </c>
      <c r="G352" t="n">
        <v>3.4</v>
      </c>
      <c r="H352" t="n">
        <v>0</v>
      </c>
      <c r="I352" t="n">
        <v>0</v>
      </c>
      <c r="J352" t="n">
        <v>0</v>
      </c>
      <c r="K352" t="n">
        <v>0</v>
      </c>
      <c r="L352" t="n">
        <v>0</v>
      </c>
      <c r="M352" t="n">
        <v>0</v>
      </c>
      <c r="N352" t="n">
        <v>0</v>
      </c>
      <c r="O352" t="n">
        <v>0</v>
      </c>
      <c r="P352" t="n">
        <v>0</v>
      </c>
      <c r="Q352" t="n">
        <v>0</v>
      </c>
      <c r="R352" s="2" t="inlineStr"/>
    </row>
    <row r="353" ht="15" customHeight="1">
      <c r="A353" t="inlineStr">
        <is>
          <t>A 926-2026</t>
        </is>
      </c>
      <c r="B353" s="1" t="n">
        <v>46030.50331018519</v>
      </c>
      <c r="C353" s="1" t="n">
        <v>46144</v>
      </c>
      <c r="D353" t="inlineStr">
        <is>
          <t>VÄSTRA GÖTALANDS LÄN</t>
        </is>
      </c>
      <c r="E353" t="inlineStr">
        <is>
          <t>DALS-ED</t>
        </is>
      </c>
      <c r="G353" t="n">
        <v>2.3</v>
      </c>
      <c r="H353" t="n">
        <v>0</v>
      </c>
      <c r="I353" t="n">
        <v>0</v>
      </c>
      <c r="J353" t="n">
        <v>0</v>
      </c>
      <c r="K353" t="n">
        <v>0</v>
      </c>
      <c r="L353" t="n">
        <v>0</v>
      </c>
      <c r="M353" t="n">
        <v>0</v>
      </c>
      <c r="N353" t="n">
        <v>0</v>
      </c>
      <c r="O353" t="n">
        <v>0</v>
      </c>
      <c r="P353" t="n">
        <v>0</v>
      </c>
      <c r="Q353" t="n">
        <v>0</v>
      </c>
      <c r="R353" s="2" t="inlineStr"/>
    </row>
    <row r="354" ht="15" customHeight="1">
      <c r="A354" t="inlineStr">
        <is>
          <t>A 15364-2022</t>
        </is>
      </c>
      <c r="B354" s="1" t="n">
        <v>44659</v>
      </c>
      <c r="C354" s="1" t="n">
        <v>46144</v>
      </c>
      <c r="D354" t="inlineStr">
        <is>
          <t>VÄSTRA GÖTALANDS LÄN</t>
        </is>
      </c>
      <c r="E354" t="inlineStr">
        <is>
          <t>DALS-ED</t>
        </is>
      </c>
      <c r="G354" t="n">
        <v>6.5</v>
      </c>
      <c r="H354" t="n">
        <v>0</v>
      </c>
      <c r="I354" t="n">
        <v>0</v>
      </c>
      <c r="J354" t="n">
        <v>0</v>
      </c>
      <c r="K354" t="n">
        <v>0</v>
      </c>
      <c r="L354" t="n">
        <v>0</v>
      </c>
      <c r="M354" t="n">
        <v>0</v>
      </c>
      <c r="N354" t="n">
        <v>0</v>
      </c>
      <c r="O354" t="n">
        <v>0</v>
      </c>
      <c r="P354" t="n">
        <v>0</v>
      </c>
      <c r="Q354" t="n">
        <v>0</v>
      </c>
      <c r="R354" s="2" t="inlineStr"/>
    </row>
    <row r="355" ht="15" customHeight="1">
      <c r="A355" t="inlineStr">
        <is>
          <t>A 40390-2022</t>
        </is>
      </c>
      <c r="B355" s="1" t="n">
        <v>44823</v>
      </c>
      <c r="C355" s="1" t="n">
        <v>46144</v>
      </c>
      <c r="D355" t="inlineStr">
        <is>
          <t>VÄSTRA GÖTALANDS LÄN</t>
        </is>
      </c>
      <c r="E355" t="inlineStr">
        <is>
          <t>DALS-ED</t>
        </is>
      </c>
      <c r="G355" t="n">
        <v>1.3</v>
      </c>
      <c r="H355" t="n">
        <v>0</v>
      </c>
      <c r="I355" t="n">
        <v>0</v>
      </c>
      <c r="J355" t="n">
        <v>0</v>
      </c>
      <c r="K355" t="n">
        <v>0</v>
      </c>
      <c r="L355" t="n">
        <v>0</v>
      </c>
      <c r="M355" t="n">
        <v>0</v>
      </c>
      <c r="N355" t="n">
        <v>0</v>
      </c>
      <c r="O355" t="n">
        <v>0</v>
      </c>
      <c r="P355" t="n">
        <v>0</v>
      </c>
      <c r="Q355" t="n">
        <v>0</v>
      </c>
      <c r="R355" s="2" t="inlineStr"/>
    </row>
    <row r="356" ht="15" customHeight="1">
      <c r="A356" t="inlineStr">
        <is>
          <t>A 7394-2025</t>
        </is>
      </c>
      <c r="B356" s="1" t="n">
        <v>45705.33614583333</v>
      </c>
      <c r="C356" s="1" t="n">
        <v>46144</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1302-2026</t>
        </is>
      </c>
      <c r="B357" s="1" t="n">
        <v>46031.52755787037</v>
      </c>
      <c r="C357" s="1" t="n">
        <v>46144</v>
      </c>
      <c r="D357" t="inlineStr">
        <is>
          <t>VÄSTRA GÖTALANDS LÄN</t>
        </is>
      </c>
      <c r="E357" t="inlineStr">
        <is>
          <t>DALS-ED</t>
        </is>
      </c>
      <c r="G357" t="n">
        <v>2.3</v>
      </c>
      <c r="H357" t="n">
        <v>0</v>
      </c>
      <c r="I357" t="n">
        <v>0</v>
      </c>
      <c r="J357" t="n">
        <v>0</v>
      </c>
      <c r="K357" t="n">
        <v>0</v>
      </c>
      <c r="L357" t="n">
        <v>0</v>
      </c>
      <c r="M357" t="n">
        <v>0</v>
      </c>
      <c r="N357" t="n">
        <v>0</v>
      </c>
      <c r="O357" t="n">
        <v>0</v>
      </c>
      <c r="P357" t="n">
        <v>0</v>
      </c>
      <c r="Q357" t="n">
        <v>0</v>
      </c>
      <c r="R357" s="2" t="inlineStr"/>
    </row>
    <row r="358" ht="15" customHeight="1">
      <c r="A358" t="inlineStr">
        <is>
          <t>A 1305-2026</t>
        </is>
      </c>
      <c r="B358" s="1" t="n">
        <v>46031.53226851852</v>
      </c>
      <c r="C358" s="1" t="n">
        <v>46144</v>
      </c>
      <c r="D358" t="inlineStr">
        <is>
          <t>VÄSTRA GÖTALANDS LÄN</t>
        </is>
      </c>
      <c r="E358" t="inlineStr">
        <is>
          <t>DALS-ED</t>
        </is>
      </c>
      <c r="G358" t="n">
        <v>0.7</v>
      </c>
      <c r="H358" t="n">
        <v>0</v>
      </c>
      <c r="I358" t="n">
        <v>0</v>
      </c>
      <c r="J358" t="n">
        <v>0</v>
      </c>
      <c r="K358" t="n">
        <v>0</v>
      </c>
      <c r="L358" t="n">
        <v>0</v>
      </c>
      <c r="M358" t="n">
        <v>0</v>
      </c>
      <c r="N358" t="n">
        <v>0</v>
      </c>
      <c r="O358" t="n">
        <v>0</v>
      </c>
      <c r="P358" t="n">
        <v>0</v>
      </c>
      <c r="Q358" t="n">
        <v>0</v>
      </c>
      <c r="R358" s="2" t="inlineStr"/>
    </row>
    <row r="359" ht="15" customHeight="1">
      <c r="A359" t="inlineStr">
        <is>
          <t>A 1309-2026</t>
        </is>
      </c>
      <c r="B359" s="1" t="n">
        <v>46031.53541666667</v>
      </c>
      <c r="C359" s="1" t="n">
        <v>46144</v>
      </c>
      <c r="D359" t="inlineStr">
        <is>
          <t>VÄSTRA GÖTALANDS LÄN</t>
        </is>
      </c>
      <c r="E359" t="inlineStr">
        <is>
          <t>DALS-ED</t>
        </is>
      </c>
      <c r="G359" t="n">
        <v>0.8</v>
      </c>
      <c r="H359" t="n">
        <v>0</v>
      </c>
      <c r="I359" t="n">
        <v>0</v>
      </c>
      <c r="J359" t="n">
        <v>0</v>
      </c>
      <c r="K359" t="n">
        <v>0</v>
      </c>
      <c r="L359" t="n">
        <v>0</v>
      </c>
      <c r="M359" t="n">
        <v>0</v>
      </c>
      <c r="N359" t="n">
        <v>0</v>
      </c>
      <c r="O359" t="n">
        <v>0</v>
      </c>
      <c r="P359" t="n">
        <v>0</v>
      </c>
      <c r="Q359" t="n">
        <v>0</v>
      </c>
      <c r="R359" s="2" t="inlineStr"/>
    </row>
    <row r="360" ht="15" customHeight="1">
      <c r="A360" t="inlineStr">
        <is>
          <t>A 1870-2026</t>
        </is>
      </c>
      <c r="B360" s="1" t="n">
        <v>46035.45893518518</v>
      </c>
      <c r="C360" s="1" t="n">
        <v>46144</v>
      </c>
      <c r="D360" t="inlineStr">
        <is>
          <t>VÄSTRA GÖTALANDS LÄN</t>
        </is>
      </c>
      <c r="E360" t="inlineStr">
        <is>
          <t>DALS-ED</t>
        </is>
      </c>
      <c r="G360" t="n">
        <v>2.9</v>
      </c>
      <c r="H360" t="n">
        <v>0</v>
      </c>
      <c r="I360" t="n">
        <v>0</v>
      </c>
      <c r="J360" t="n">
        <v>0</v>
      </c>
      <c r="K360" t="n">
        <v>0</v>
      </c>
      <c r="L360" t="n">
        <v>0</v>
      </c>
      <c r="M360" t="n">
        <v>0</v>
      </c>
      <c r="N360" t="n">
        <v>0</v>
      </c>
      <c r="O360" t="n">
        <v>0</v>
      </c>
      <c r="P360" t="n">
        <v>0</v>
      </c>
      <c r="Q360" t="n">
        <v>0</v>
      </c>
      <c r="R360" s="2" t="inlineStr"/>
    </row>
    <row r="361" ht="15" customHeight="1">
      <c r="A361" t="inlineStr">
        <is>
          <t>A 1871-2026</t>
        </is>
      </c>
      <c r="B361" s="1" t="n">
        <v>46035.46143518519</v>
      </c>
      <c r="C361" s="1" t="n">
        <v>46144</v>
      </c>
      <c r="D361" t="inlineStr">
        <is>
          <t>VÄSTRA GÖTALANDS LÄN</t>
        </is>
      </c>
      <c r="E361" t="inlineStr">
        <is>
          <t>DALS-ED</t>
        </is>
      </c>
      <c r="G361" t="n">
        <v>12.3</v>
      </c>
      <c r="H361" t="n">
        <v>0</v>
      </c>
      <c r="I361" t="n">
        <v>0</v>
      </c>
      <c r="J361" t="n">
        <v>0</v>
      </c>
      <c r="K361" t="n">
        <v>0</v>
      </c>
      <c r="L361" t="n">
        <v>0</v>
      </c>
      <c r="M361" t="n">
        <v>0</v>
      </c>
      <c r="N361" t="n">
        <v>0</v>
      </c>
      <c r="O361" t="n">
        <v>0</v>
      </c>
      <c r="P361" t="n">
        <v>0</v>
      </c>
      <c r="Q361" t="n">
        <v>0</v>
      </c>
      <c r="R361" s="2" t="inlineStr"/>
    </row>
    <row r="362" ht="15" customHeight="1">
      <c r="A362" t="inlineStr">
        <is>
          <t>A 47092-2023</t>
        </is>
      </c>
      <c r="B362" s="1" t="n">
        <v>45201</v>
      </c>
      <c r="C362" s="1" t="n">
        <v>46144</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2915-2026</t>
        </is>
      </c>
      <c r="B363" s="1" t="n">
        <v>46037</v>
      </c>
      <c r="C363" s="1" t="n">
        <v>46144</v>
      </c>
      <c r="D363" t="inlineStr">
        <is>
          <t>VÄSTRA GÖTALANDS LÄN</t>
        </is>
      </c>
      <c r="E363" t="inlineStr">
        <is>
          <t>DALS-ED</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40372-2022</t>
        </is>
      </c>
      <c r="B364" s="1" t="n">
        <v>44823</v>
      </c>
      <c r="C364" s="1" t="n">
        <v>46144</v>
      </c>
      <c r="D364" t="inlineStr">
        <is>
          <t>VÄSTRA GÖTALANDS LÄN</t>
        </is>
      </c>
      <c r="E364" t="inlineStr">
        <is>
          <t>DALS-ED</t>
        </is>
      </c>
      <c r="G364" t="n">
        <v>4.1</v>
      </c>
      <c r="H364" t="n">
        <v>0</v>
      </c>
      <c r="I364" t="n">
        <v>0</v>
      </c>
      <c r="J364" t="n">
        <v>0</v>
      </c>
      <c r="K364" t="n">
        <v>0</v>
      </c>
      <c r="L364" t="n">
        <v>0</v>
      </c>
      <c r="M364" t="n">
        <v>0</v>
      </c>
      <c r="N364" t="n">
        <v>0</v>
      </c>
      <c r="O364" t="n">
        <v>0</v>
      </c>
      <c r="P364" t="n">
        <v>0</v>
      </c>
      <c r="Q364" t="n">
        <v>0</v>
      </c>
      <c r="R364" s="2" t="inlineStr"/>
    </row>
    <row r="365" ht="15" customHeight="1">
      <c r="A365" t="inlineStr">
        <is>
          <t>A 3465-2026</t>
        </is>
      </c>
      <c r="B365" s="1" t="n">
        <v>46042.52597222223</v>
      </c>
      <c r="C365" s="1" t="n">
        <v>46144</v>
      </c>
      <c r="D365" t="inlineStr">
        <is>
          <t>VÄSTRA GÖTALANDS LÄN</t>
        </is>
      </c>
      <c r="E365" t="inlineStr">
        <is>
          <t>DALS-ED</t>
        </is>
      </c>
      <c r="F365" t="inlineStr">
        <is>
          <t>Övriga Aktiebolag</t>
        </is>
      </c>
      <c r="G365" t="n">
        <v>10.9</v>
      </c>
      <c r="H365" t="n">
        <v>0</v>
      </c>
      <c r="I365" t="n">
        <v>0</v>
      </c>
      <c r="J365" t="n">
        <v>0</v>
      </c>
      <c r="K365" t="n">
        <v>0</v>
      </c>
      <c r="L365" t="n">
        <v>0</v>
      </c>
      <c r="M365" t="n">
        <v>0</v>
      </c>
      <c r="N365" t="n">
        <v>0</v>
      </c>
      <c r="O365" t="n">
        <v>0</v>
      </c>
      <c r="P365" t="n">
        <v>0</v>
      </c>
      <c r="Q365" t="n">
        <v>0</v>
      </c>
      <c r="R365" s="2" t="inlineStr"/>
    </row>
    <row r="366" ht="15" customHeight="1">
      <c r="A366" t="inlineStr">
        <is>
          <t>A 4094-2026</t>
        </is>
      </c>
      <c r="B366" s="1" t="n">
        <v>46044.56547453703</v>
      </c>
      <c r="C366" s="1" t="n">
        <v>46144</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62996-2023</t>
        </is>
      </c>
      <c r="B367" s="1" t="n">
        <v>45272.63121527778</v>
      </c>
      <c r="C367" s="1" t="n">
        <v>46144</v>
      </c>
      <c r="D367" t="inlineStr">
        <is>
          <t>VÄSTRA GÖTALANDS LÄN</t>
        </is>
      </c>
      <c r="E367" t="inlineStr">
        <is>
          <t>DALS-ED</t>
        </is>
      </c>
      <c r="G367" t="n">
        <v>3.6</v>
      </c>
      <c r="H367" t="n">
        <v>0</v>
      </c>
      <c r="I367" t="n">
        <v>0</v>
      </c>
      <c r="J367" t="n">
        <v>0</v>
      </c>
      <c r="K367" t="n">
        <v>0</v>
      </c>
      <c r="L367" t="n">
        <v>0</v>
      </c>
      <c r="M367" t="n">
        <v>0</v>
      </c>
      <c r="N367" t="n">
        <v>0</v>
      </c>
      <c r="O367" t="n">
        <v>0</v>
      </c>
      <c r="P367" t="n">
        <v>0</v>
      </c>
      <c r="Q367" t="n">
        <v>0</v>
      </c>
      <c r="R367" s="2" t="inlineStr"/>
    </row>
    <row r="368" ht="15" customHeight="1">
      <c r="A368" t="inlineStr">
        <is>
          <t>A 4653-2026</t>
        </is>
      </c>
      <c r="B368" s="1" t="n">
        <v>46048</v>
      </c>
      <c r="C368" s="1" t="n">
        <v>46144</v>
      </c>
      <c r="D368" t="inlineStr">
        <is>
          <t>VÄSTRA GÖTALANDS LÄN</t>
        </is>
      </c>
      <c r="E368" t="inlineStr">
        <is>
          <t>DALS-ED</t>
        </is>
      </c>
      <c r="G368" t="n">
        <v>1.1</v>
      </c>
      <c r="H368" t="n">
        <v>0</v>
      </c>
      <c r="I368" t="n">
        <v>0</v>
      </c>
      <c r="J368" t="n">
        <v>0</v>
      </c>
      <c r="K368" t="n">
        <v>0</v>
      </c>
      <c r="L368" t="n">
        <v>0</v>
      </c>
      <c r="M368" t="n">
        <v>0</v>
      </c>
      <c r="N368" t="n">
        <v>0</v>
      </c>
      <c r="O368" t="n">
        <v>0</v>
      </c>
      <c r="P368" t="n">
        <v>0</v>
      </c>
      <c r="Q368" t="n">
        <v>0</v>
      </c>
      <c r="R368" s="2" t="inlineStr"/>
    </row>
    <row r="369" ht="15" customHeight="1">
      <c r="A369" t="inlineStr">
        <is>
          <t>A 4574-2026</t>
        </is>
      </c>
      <c r="B369" s="1" t="n">
        <v>46048.31030092593</v>
      </c>
      <c r="C369" s="1" t="n">
        <v>46144</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27308-2022</t>
        </is>
      </c>
      <c r="B370" s="1" t="n">
        <v>44742.33100694444</v>
      </c>
      <c r="C370" s="1" t="n">
        <v>46144</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4666-2026</t>
        </is>
      </c>
      <c r="B371" s="1" t="n">
        <v>46048.41366898148</v>
      </c>
      <c r="C371" s="1" t="n">
        <v>46144</v>
      </c>
      <c r="D371" t="inlineStr">
        <is>
          <t>VÄSTRA GÖTALANDS LÄN</t>
        </is>
      </c>
      <c r="E371" t="inlineStr">
        <is>
          <t>DALS-ED</t>
        </is>
      </c>
      <c r="G371" t="n">
        <v>0.4</v>
      </c>
      <c r="H371" t="n">
        <v>0</v>
      </c>
      <c r="I371" t="n">
        <v>0</v>
      </c>
      <c r="J371" t="n">
        <v>0</v>
      </c>
      <c r="K371" t="n">
        <v>0</v>
      </c>
      <c r="L371" t="n">
        <v>0</v>
      </c>
      <c r="M371" t="n">
        <v>0</v>
      </c>
      <c r="N371" t="n">
        <v>0</v>
      </c>
      <c r="O371" t="n">
        <v>0</v>
      </c>
      <c r="P371" t="n">
        <v>0</v>
      </c>
      <c r="Q371" t="n">
        <v>0</v>
      </c>
      <c r="R371" s="2" t="inlineStr"/>
    </row>
    <row r="372" ht="15" customHeight="1">
      <c r="A372" t="inlineStr">
        <is>
          <t>A 35948-2021</t>
        </is>
      </c>
      <c r="B372" s="1" t="n">
        <v>44388</v>
      </c>
      <c r="C372" s="1" t="n">
        <v>46144</v>
      </c>
      <c r="D372" t="inlineStr">
        <is>
          <t>VÄSTRA GÖTALANDS LÄN</t>
        </is>
      </c>
      <c r="E372" t="inlineStr">
        <is>
          <t>DALS-ED</t>
        </is>
      </c>
      <c r="G372" t="n">
        <v>2.2</v>
      </c>
      <c r="H372" t="n">
        <v>0</v>
      </c>
      <c r="I372" t="n">
        <v>0</v>
      </c>
      <c r="J372" t="n">
        <v>0</v>
      </c>
      <c r="K372" t="n">
        <v>0</v>
      </c>
      <c r="L372" t="n">
        <v>0</v>
      </c>
      <c r="M372" t="n">
        <v>0</v>
      </c>
      <c r="N372" t="n">
        <v>0</v>
      </c>
      <c r="O372" t="n">
        <v>0</v>
      </c>
      <c r="P372" t="n">
        <v>0</v>
      </c>
      <c r="Q372" t="n">
        <v>0</v>
      </c>
      <c r="R372" s="2" t="inlineStr"/>
    </row>
    <row r="373" ht="15" customHeight="1">
      <c r="A373" t="inlineStr">
        <is>
          <t>A 50665-2021</t>
        </is>
      </c>
      <c r="B373" s="1" t="n">
        <v>44460</v>
      </c>
      <c r="C373" s="1" t="n">
        <v>46144</v>
      </c>
      <c r="D373" t="inlineStr">
        <is>
          <t>VÄSTRA GÖTALANDS LÄN</t>
        </is>
      </c>
      <c r="E373" t="inlineStr">
        <is>
          <t>DALS-ED</t>
        </is>
      </c>
      <c r="G373" t="n">
        <v>0.6</v>
      </c>
      <c r="H373" t="n">
        <v>0</v>
      </c>
      <c r="I373" t="n">
        <v>0</v>
      </c>
      <c r="J373" t="n">
        <v>0</v>
      </c>
      <c r="K373" t="n">
        <v>0</v>
      </c>
      <c r="L373" t="n">
        <v>0</v>
      </c>
      <c r="M373" t="n">
        <v>0</v>
      </c>
      <c r="N373" t="n">
        <v>0</v>
      </c>
      <c r="O373" t="n">
        <v>0</v>
      </c>
      <c r="P373" t="n">
        <v>0</v>
      </c>
      <c r="Q373" t="n">
        <v>0</v>
      </c>
      <c r="R373" s="2" t="inlineStr"/>
    </row>
    <row r="374" ht="15" customHeight="1">
      <c r="A374" t="inlineStr">
        <is>
          <t>A 46306-2021</t>
        </is>
      </c>
      <c r="B374" s="1" t="n">
        <v>44442</v>
      </c>
      <c r="C374" s="1" t="n">
        <v>46144</v>
      </c>
      <c r="D374" t="inlineStr">
        <is>
          <t>VÄSTRA GÖTALANDS LÄN</t>
        </is>
      </c>
      <c r="E374" t="inlineStr">
        <is>
          <t>DALS-ED</t>
        </is>
      </c>
      <c r="G374" t="n">
        <v>0.8</v>
      </c>
      <c r="H374" t="n">
        <v>0</v>
      </c>
      <c r="I374" t="n">
        <v>0</v>
      </c>
      <c r="J374" t="n">
        <v>0</v>
      </c>
      <c r="K374" t="n">
        <v>0</v>
      </c>
      <c r="L374" t="n">
        <v>0</v>
      </c>
      <c r="M374" t="n">
        <v>0</v>
      </c>
      <c r="N374" t="n">
        <v>0</v>
      </c>
      <c r="O374" t="n">
        <v>0</v>
      </c>
      <c r="P374" t="n">
        <v>0</v>
      </c>
      <c r="Q374" t="n">
        <v>0</v>
      </c>
      <c r="R374" s="2" t="inlineStr"/>
    </row>
    <row r="375" ht="15" customHeight="1">
      <c r="A375" t="inlineStr">
        <is>
          <t>A 18520-2025</t>
        </is>
      </c>
      <c r="B375" s="1" t="n">
        <v>45763.39306712963</v>
      </c>
      <c r="C375" s="1" t="n">
        <v>46144</v>
      </c>
      <c r="D375" t="inlineStr">
        <is>
          <t>VÄSTRA GÖTALANDS LÄN</t>
        </is>
      </c>
      <c r="E375" t="inlineStr">
        <is>
          <t>DALS-ED</t>
        </is>
      </c>
      <c r="G375" t="n">
        <v>1.8</v>
      </c>
      <c r="H375" t="n">
        <v>0</v>
      </c>
      <c r="I375" t="n">
        <v>0</v>
      </c>
      <c r="J375" t="n">
        <v>0</v>
      </c>
      <c r="K375" t="n">
        <v>0</v>
      </c>
      <c r="L375" t="n">
        <v>0</v>
      </c>
      <c r="M375" t="n">
        <v>0</v>
      </c>
      <c r="N375" t="n">
        <v>0</v>
      </c>
      <c r="O375" t="n">
        <v>0</v>
      </c>
      <c r="P375" t="n">
        <v>0</v>
      </c>
      <c r="Q375" t="n">
        <v>0</v>
      </c>
      <c r="R375" s="2" t="inlineStr"/>
    </row>
    <row r="376" ht="15" customHeight="1">
      <c r="A376" t="inlineStr">
        <is>
          <t>A 18523-2025</t>
        </is>
      </c>
      <c r="B376" s="1" t="n">
        <v>45763.39765046296</v>
      </c>
      <c r="C376" s="1" t="n">
        <v>46144</v>
      </c>
      <c r="D376" t="inlineStr">
        <is>
          <t>VÄSTRA GÖTALANDS LÄN</t>
        </is>
      </c>
      <c r="E376" t="inlineStr">
        <is>
          <t>DALS-ED</t>
        </is>
      </c>
      <c r="G376" t="n">
        <v>2.1</v>
      </c>
      <c r="H376" t="n">
        <v>0</v>
      </c>
      <c r="I376" t="n">
        <v>0</v>
      </c>
      <c r="J376" t="n">
        <v>0</v>
      </c>
      <c r="K376" t="n">
        <v>0</v>
      </c>
      <c r="L376" t="n">
        <v>0</v>
      </c>
      <c r="M376" t="n">
        <v>0</v>
      </c>
      <c r="N376" t="n">
        <v>0</v>
      </c>
      <c r="O376" t="n">
        <v>0</v>
      </c>
      <c r="P376" t="n">
        <v>0</v>
      </c>
      <c r="Q376" t="n">
        <v>0</v>
      </c>
      <c r="R376" s="2" t="inlineStr"/>
    </row>
    <row r="377" ht="15" customHeight="1">
      <c r="A377" t="inlineStr">
        <is>
          <t>A 4107-2023</t>
        </is>
      </c>
      <c r="B377" s="1" t="n">
        <v>44952</v>
      </c>
      <c r="C377" s="1" t="n">
        <v>46144</v>
      </c>
      <c r="D377" t="inlineStr">
        <is>
          <t>VÄSTRA GÖTALANDS LÄN</t>
        </is>
      </c>
      <c r="E377" t="inlineStr">
        <is>
          <t>DALS-ED</t>
        </is>
      </c>
      <c r="G377" t="n">
        <v>9.199999999999999</v>
      </c>
      <c r="H377" t="n">
        <v>0</v>
      </c>
      <c r="I377" t="n">
        <v>0</v>
      </c>
      <c r="J377" t="n">
        <v>0</v>
      </c>
      <c r="K377" t="n">
        <v>0</v>
      </c>
      <c r="L377" t="n">
        <v>0</v>
      </c>
      <c r="M377" t="n">
        <v>0</v>
      </c>
      <c r="N377" t="n">
        <v>0</v>
      </c>
      <c r="O377" t="n">
        <v>0</v>
      </c>
      <c r="P377" t="n">
        <v>0</v>
      </c>
      <c r="Q377" t="n">
        <v>0</v>
      </c>
      <c r="R377" s="2" t="inlineStr"/>
    </row>
    <row r="378" ht="15" customHeight="1">
      <c r="A378" t="inlineStr">
        <is>
          <t>A 4110-2023</t>
        </is>
      </c>
      <c r="B378" s="1" t="n">
        <v>44952</v>
      </c>
      <c r="C378" s="1" t="n">
        <v>46144</v>
      </c>
      <c r="D378" t="inlineStr">
        <is>
          <t>VÄSTRA GÖTALANDS LÄN</t>
        </is>
      </c>
      <c r="E378" t="inlineStr">
        <is>
          <t>DALS-ED</t>
        </is>
      </c>
      <c r="G378" t="n">
        <v>27.4</v>
      </c>
      <c r="H378" t="n">
        <v>0</v>
      </c>
      <c r="I378" t="n">
        <v>0</v>
      </c>
      <c r="J378" t="n">
        <v>0</v>
      </c>
      <c r="K378" t="n">
        <v>0</v>
      </c>
      <c r="L378" t="n">
        <v>0</v>
      </c>
      <c r="M378" t="n">
        <v>0</v>
      </c>
      <c r="N378" t="n">
        <v>0</v>
      </c>
      <c r="O378" t="n">
        <v>0</v>
      </c>
      <c r="P378" t="n">
        <v>0</v>
      </c>
      <c r="Q378" t="n">
        <v>0</v>
      </c>
      <c r="R378" s="2" t="inlineStr"/>
    </row>
    <row r="379" ht="15" customHeight="1">
      <c r="A379" t="inlineStr">
        <is>
          <t>A 4112-2023</t>
        </is>
      </c>
      <c r="B379" s="1" t="n">
        <v>44952</v>
      </c>
      <c r="C379" s="1" t="n">
        <v>46144</v>
      </c>
      <c r="D379" t="inlineStr">
        <is>
          <t>VÄSTRA GÖTALANDS LÄN</t>
        </is>
      </c>
      <c r="E379" t="inlineStr">
        <is>
          <t>DALS-ED</t>
        </is>
      </c>
      <c r="G379" t="n">
        <v>7.4</v>
      </c>
      <c r="H379" t="n">
        <v>0</v>
      </c>
      <c r="I379" t="n">
        <v>0</v>
      </c>
      <c r="J379" t="n">
        <v>0</v>
      </c>
      <c r="K379" t="n">
        <v>0</v>
      </c>
      <c r="L379" t="n">
        <v>0</v>
      </c>
      <c r="M379" t="n">
        <v>0</v>
      </c>
      <c r="N379" t="n">
        <v>0</v>
      </c>
      <c r="O379" t="n">
        <v>0</v>
      </c>
      <c r="P379" t="n">
        <v>0</v>
      </c>
      <c r="Q379" t="n">
        <v>0</v>
      </c>
      <c r="R379" s="2" t="inlineStr"/>
    </row>
    <row r="380" ht="15" customHeight="1">
      <c r="A380" t="inlineStr">
        <is>
          <t>A 4368-2024</t>
        </is>
      </c>
      <c r="B380" s="1" t="n">
        <v>45326.61966435185</v>
      </c>
      <c r="C380" s="1" t="n">
        <v>46144</v>
      </c>
      <c r="D380" t="inlineStr">
        <is>
          <t>VÄSTRA GÖTALANDS LÄN</t>
        </is>
      </c>
      <c r="E380" t="inlineStr">
        <is>
          <t>DALS-ED</t>
        </is>
      </c>
      <c r="G380" t="n">
        <v>0.9</v>
      </c>
      <c r="H380" t="n">
        <v>0</v>
      </c>
      <c r="I380" t="n">
        <v>0</v>
      </c>
      <c r="J380" t="n">
        <v>0</v>
      </c>
      <c r="K380" t="n">
        <v>0</v>
      </c>
      <c r="L380" t="n">
        <v>0</v>
      </c>
      <c r="M380" t="n">
        <v>0</v>
      </c>
      <c r="N380" t="n">
        <v>0</v>
      </c>
      <c r="O380" t="n">
        <v>0</v>
      </c>
      <c r="P380" t="n">
        <v>0</v>
      </c>
      <c r="Q380" t="n">
        <v>0</v>
      </c>
      <c r="R380" s="2" t="inlineStr"/>
    </row>
    <row r="381" ht="15" customHeight="1">
      <c r="A381" t="inlineStr">
        <is>
          <t>A 6551-2026</t>
        </is>
      </c>
      <c r="B381" s="1" t="n">
        <v>46056.42912037037</v>
      </c>
      <c r="C381" s="1" t="n">
        <v>46144</v>
      </c>
      <c r="D381" t="inlineStr">
        <is>
          <t>VÄSTRA GÖTALANDS LÄN</t>
        </is>
      </c>
      <c r="E381" t="inlineStr">
        <is>
          <t>DALS-ED</t>
        </is>
      </c>
      <c r="G381" t="n">
        <v>1.8</v>
      </c>
      <c r="H381" t="n">
        <v>0</v>
      </c>
      <c r="I381" t="n">
        <v>0</v>
      </c>
      <c r="J381" t="n">
        <v>0</v>
      </c>
      <c r="K381" t="n">
        <v>0</v>
      </c>
      <c r="L381" t="n">
        <v>0</v>
      </c>
      <c r="M381" t="n">
        <v>0</v>
      </c>
      <c r="N381" t="n">
        <v>0</v>
      </c>
      <c r="O381" t="n">
        <v>0</v>
      </c>
      <c r="P381" t="n">
        <v>0</v>
      </c>
      <c r="Q381" t="n">
        <v>0</v>
      </c>
      <c r="R381" s="2" t="inlineStr"/>
    </row>
    <row r="382" ht="15" customHeight="1">
      <c r="A382" t="inlineStr">
        <is>
          <t>A 5114-2023</t>
        </is>
      </c>
      <c r="B382" s="1" t="n">
        <v>44958.66506944445</v>
      </c>
      <c r="C382" s="1" t="n">
        <v>46144</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6413-2026</t>
        </is>
      </c>
      <c r="B383" s="1" t="n">
        <v>46055.68174768519</v>
      </c>
      <c r="C383" s="1" t="n">
        <v>46144</v>
      </c>
      <c r="D383" t="inlineStr">
        <is>
          <t>VÄSTRA GÖTALANDS LÄN</t>
        </is>
      </c>
      <c r="E383" t="inlineStr">
        <is>
          <t>DALS-ED</t>
        </is>
      </c>
      <c r="G383" t="n">
        <v>4.2</v>
      </c>
      <c r="H383" t="n">
        <v>0</v>
      </c>
      <c r="I383" t="n">
        <v>0</v>
      </c>
      <c r="J383" t="n">
        <v>0</v>
      </c>
      <c r="K383" t="n">
        <v>0</v>
      </c>
      <c r="L383" t="n">
        <v>0</v>
      </c>
      <c r="M383" t="n">
        <v>0</v>
      </c>
      <c r="N383" t="n">
        <v>0</v>
      </c>
      <c r="O383" t="n">
        <v>0</v>
      </c>
      <c r="P383" t="n">
        <v>0</v>
      </c>
      <c r="Q383" t="n">
        <v>0</v>
      </c>
      <c r="R383" s="2" t="inlineStr"/>
    </row>
    <row r="384" ht="15" customHeight="1">
      <c r="A384" t="inlineStr">
        <is>
          <t>A 6558-2026</t>
        </is>
      </c>
      <c r="B384" s="1" t="n">
        <v>46056.43436342593</v>
      </c>
      <c r="C384" s="1" t="n">
        <v>46144</v>
      </c>
      <c r="D384" t="inlineStr">
        <is>
          <t>VÄSTRA GÖTALANDS LÄN</t>
        </is>
      </c>
      <c r="E384" t="inlineStr">
        <is>
          <t>DALS-ED</t>
        </is>
      </c>
      <c r="G384" t="n">
        <v>1.9</v>
      </c>
      <c r="H384" t="n">
        <v>0</v>
      </c>
      <c r="I384" t="n">
        <v>0</v>
      </c>
      <c r="J384" t="n">
        <v>0</v>
      </c>
      <c r="K384" t="n">
        <v>0</v>
      </c>
      <c r="L384" t="n">
        <v>0</v>
      </c>
      <c r="M384" t="n">
        <v>0</v>
      </c>
      <c r="N384" t="n">
        <v>0</v>
      </c>
      <c r="O384" t="n">
        <v>0</v>
      </c>
      <c r="P384" t="n">
        <v>0</v>
      </c>
      <c r="Q384" t="n">
        <v>0</v>
      </c>
      <c r="R384" s="2" t="inlineStr"/>
    </row>
    <row r="385" ht="15" customHeight="1">
      <c r="A385" t="inlineStr">
        <is>
          <t>A 52373-2024</t>
        </is>
      </c>
      <c r="B385" s="1" t="n">
        <v>45609.39646990741</v>
      </c>
      <c r="C385" s="1" t="n">
        <v>46144</v>
      </c>
      <c r="D385" t="inlineStr">
        <is>
          <t>VÄSTRA GÖTALANDS LÄN</t>
        </is>
      </c>
      <c r="E385" t="inlineStr">
        <is>
          <t>DALS-ED</t>
        </is>
      </c>
      <c r="G385" t="n">
        <v>4.5</v>
      </c>
      <c r="H385" t="n">
        <v>0</v>
      </c>
      <c r="I385" t="n">
        <v>0</v>
      </c>
      <c r="J385" t="n">
        <v>0</v>
      </c>
      <c r="K385" t="n">
        <v>0</v>
      </c>
      <c r="L385" t="n">
        <v>0</v>
      </c>
      <c r="M385" t="n">
        <v>0</v>
      </c>
      <c r="N385" t="n">
        <v>0</v>
      </c>
      <c r="O385" t="n">
        <v>0</v>
      </c>
      <c r="P385" t="n">
        <v>0</v>
      </c>
      <c r="Q385" t="n">
        <v>0</v>
      </c>
      <c r="R385" s="2" t="inlineStr"/>
    </row>
    <row r="386" ht="15" customHeight="1">
      <c r="A386" t="inlineStr">
        <is>
          <t>A 62849-2021</t>
        </is>
      </c>
      <c r="B386" s="1" t="n">
        <v>44504</v>
      </c>
      <c r="C386" s="1" t="n">
        <v>46144</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7507-2026</t>
        </is>
      </c>
      <c r="B387" s="1" t="n">
        <v>46059.57670138889</v>
      </c>
      <c r="C387" s="1" t="n">
        <v>46144</v>
      </c>
      <c r="D387" t="inlineStr">
        <is>
          <t>VÄSTRA GÖTALANDS LÄN</t>
        </is>
      </c>
      <c r="E387" t="inlineStr">
        <is>
          <t>DALS-ED</t>
        </is>
      </c>
      <c r="G387" t="n">
        <v>1.6</v>
      </c>
      <c r="H387" t="n">
        <v>0</v>
      </c>
      <c r="I387" t="n">
        <v>0</v>
      </c>
      <c r="J387" t="n">
        <v>0</v>
      </c>
      <c r="K387" t="n">
        <v>0</v>
      </c>
      <c r="L387" t="n">
        <v>0</v>
      </c>
      <c r="M387" t="n">
        <v>0</v>
      </c>
      <c r="N387" t="n">
        <v>0</v>
      </c>
      <c r="O387" t="n">
        <v>0</v>
      </c>
      <c r="P387" t="n">
        <v>0</v>
      </c>
      <c r="Q387" t="n">
        <v>0</v>
      </c>
      <c r="R387" s="2" t="inlineStr"/>
    </row>
    <row r="388" ht="15" customHeight="1">
      <c r="A388" t="inlineStr">
        <is>
          <t>A 7561-2026</t>
        </is>
      </c>
      <c r="B388" s="1" t="n">
        <v>46060.41461805555</v>
      </c>
      <c r="C388" s="1" t="n">
        <v>46144</v>
      </c>
      <c r="D388" t="inlineStr">
        <is>
          <t>VÄSTRA GÖTALANDS LÄN</t>
        </is>
      </c>
      <c r="E388" t="inlineStr">
        <is>
          <t>DALS-ED</t>
        </is>
      </c>
      <c r="G388" t="n">
        <v>0.7</v>
      </c>
      <c r="H388" t="n">
        <v>0</v>
      </c>
      <c r="I388" t="n">
        <v>0</v>
      </c>
      <c r="J388" t="n">
        <v>0</v>
      </c>
      <c r="K388" t="n">
        <v>0</v>
      </c>
      <c r="L388" t="n">
        <v>0</v>
      </c>
      <c r="M388" t="n">
        <v>0</v>
      </c>
      <c r="N388" t="n">
        <v>0</v>
      </c>
      <c r="O388" t="n">
        <v>0</v>
      </c>
      <c r="P388" t="n">
        <v>0</v>
      </c>
      <c r="Q388" t="n">
        <v>0</v>
      </c>
      <c r="R388" s="2" t="inlineStr"/>
    </row>
    <row r="389" ht="15" customHeight="1">
      <c r="A389" t="inlineStr">
        <is>
          <t>A 36803-2024</t>
        </is>
      </c>
      <c r="B389" s="1" t="n">
        <v>45538.46005787037</v>
      </c>
      <c r="C389" s="1" t="n">
        <v>46144</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43380-2021</t>
        </is>
      </c>
      <c r="B390" s="1" t="n">
        <v>44432.57885416667</v>
      </c>
      <c r="C390" s="1" t="n">
        <v>46144</v>
      </c>
      <c r="D390" t="inlineStr">
        <is>
          <t>VÄSTRA GÖTALANDS LÄN</t>
        </is>
      </c>
      <c r="E390" t="inlineStr">
        <is>
          <t>DALS-ED</t>
        </is>
      </c>
      <c r="G390" t="n">
        <v>3.2</v>
      </c>
      <c r="H390" t="n">
        <v>0</v>
      </c>
      <c r="I390" t="n">
        <v>0</v>
      </c>
      <c r="J390" t="n">
        <v>0</v>
      </c>
      <c r="K390" t="n">
        <v>0</v>
      </c>
      <c r="L390" t="n">
        <v>0</v>
      </c>
      <c r="M390" t="n">
        <v>0</v>
      </c>
      <c r="N390" t="n">
        <v>0</v>
      </c>
      <c r="O390" t="n">
        <v>0</v>
      </c>
      <c r="P390" t="n">
        <v>0</v>
      </c>
      <c r="Q390" t="n">
        <v>0</v>
      </c>
      <c r="R390" s="2" t="inlineStr"/>
    </row>
    <row r="391" ht="15" customHeight="1">
      <c r="A391" t="inlineStr">
        <is>
          <t>A 22448-2024</t>
        </is>
      </c>
      <c r="B391" s="1" t="n">
        <v>45446.94362268518</v>
      </c>
      <c r="C391" s="1" t="n">
        <v>46144</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36095-2024</t>
        </is>
      </c>
      <c r="B392" s="1" t="n">
        <v>45533</v>
      </c>
      <c r="C392" s="1" t="n">
        <v>46144</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55912-2024</t>
        </is>
      </c>
      <c r="B393" s="1" t="n">
        <v>45623.59274305555</v>
      </c>
      <c r="C393" s="1" t="n">
        <v>46144</v>
      </c>
      <c r="D393" t="inlineStr">
        <is>
          <t>VÄSTRA GÖTALANDS LÄN</t>
        </is>
      </c>
      <c r="E393" t="inlineStr">
        <is>
          <t>DALS-ED</t>
        </is>
      </c>
      <c r="G393" t="n">
        <v>7.7</v>
      </c>
      <c r="H393" t="n">
        <v>0</v>
      </c>
      <c r="I393" t="n">
        <v>0</v>
      </c>
      <c r="J393" t="n">
        <v>0</v>
      </c>
      <c r="K393" t="n">
        <v>0</v>
      </c>
      <c r="L393" t="n">
        <v>0</v>
      </c>
      <c r="M393" t="n">
        <v>0</v>
      </c>
      <c r="N393" t="n">
        <v>0</v>
      </c>
      <c r="O393" t="n">
        <v>0</v>
      </c>
      <c r="P393" t="n">
        <v>0</v>
      </c>
      <c r="Q393" t="n">
        <v>0</v>
      </c>
      <c r="R393" s="2" t="inlineStr"/>
    </row>
    <row r="394" ht="15" customHeight="1">
      <c r="A394" t="inlineStr">
        <is>
          <t>A 6515-2023</t>
        </is>
      </c>
      <c r="B394" s="1" t="n">
        <v>44966.38423611111</v>
      </c>
      <c r="C394" s="1" t="n">
        <v>46144</v>
      </c>
      <c r="D394" t="inlineStr">
        <is>
          <t>VÄSTRA GÖTALANDS LÄN</t>
        </is>
      </c>
      <c r="E394" t="inlineStr">
        <is>
          <t>DALS-ED</t>
        </is>
      </c>
      <c r="G394" t="n">
        <v>6.4</v>
      </c>
      <c r="H394" t="n">
        <v>0</v>
      </c>
      <c r="I394" t="n">
        <v>0</v>
      </c>
      <c r="J394" t="n">
        <v>0</v>
      </c>
      <c r="K394" t="n">
        <v>0</v>
      </c>
      <c r="L394" t="n">
        <v>0</v>
      </c>
      <c r="M394" t="n">
        <v>0</v>
      </c>
      <c r="N394" t="n">
        <v>0</v>
      </c>
      <c r="O394" t="n">
        <v>0</v>
      </c>
      <c r="P394" t="n">
        <v>0</v>
      </c>
      <c r="Q394" t="n">
        <v>0</v>
      </c>
      <c r="R394" s="2" t="inlineStr"/>
    </row>
    <row r="395" ht="15" customHeight="1">
      <c r="A395" t="inlineStr">
        <is>
          <t>A 42341-2021</t>
        </is>
      </c>
      <c r="B395" s="1" t="n">
        <v>44427</v>
      </c>
      <c r="C395" s="1" t="n">
        <v>46144</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10749-2022</t>
        </is>
      </c>
      <c r="B396" s="1" t="n">
        <v>44627.37660879629</v>
      </c>
      <c r="C396" s="1" t="n">
        <v>46144</v>
      </c>
      <c r="D396" t="inlineStr">
        <is>
          <t>VÄSTRA GÖTALANDS LÄN</t>
        </is>
      </c>
      <c r="E396" t="inlineStr">
        <is>
          <t>DALS-ED</t>
        </is>
      </c>
      <c r="G396" t="n">
        <v>4.8</v>
      </c>
      <c r="H396" t="n">
        <v>0</v>
      </c>
      <c r="I396" t="n">
        <v>0</v>
      </c>
      <c r="J396" t="n">
        <v>0</v>
      </c>
      <c r="K396" t="n">
        <v>0</v>
      </c>
      <c r="L396" t="n">
        <v>0</v>
      </c>
      <c r="M396" t="n">
        <v>0</v>
      </c>
      <c r="N396" t="n">
        <v>0</v>
      </c>
      <c r="O396" t="n">
        <v>0</v>
      </c>
      <c r="P396" t="n">
        <v>0</v>
      </c>
      <c r="Q396" t="n">
        <v>0</v>
      </c>
      <c r="R396" s="2" t="inlineStr"/>
    </row>
    <row r="397" ht="15" customHeight="1">
      <c r="A397" t="inlineStr">
        <is>
          <t>A 4025-2023</t>
        </is>
      </c>
      <c r="B397" s="1" t="n">
        <v>44952</v>
      </c>
      <c r="C397" s="1" t="n">
        <v>46144</v>
      </c>
      <c r="D397" t="inlineStr">
        <is>
          <t>VÄSTRA GÖTALANDS LÄN</t>
        </is>
      </c>
      <c r="E397" t="inlineStr">
        <is>
          <t>DALS-ED</t>
        </is>
      </c>
      <c r="G397" t="n">
        <v>4.1</v>
      </c>
      <c r="H397" t="n">
        <v>0</v>
      </c>
      <c r="I397" t="n">
        <v>0</v>
      </c>
      <c r="J397" t="n">
        <v>0</v>
      </c>
      <c r="K397" t="n">
        <v>0</v>
      </c>
      <c r="L397" t="n">
        <v>0</v>
      </c>
      <c r="M397" t="n">
        <v>0</v>
      </c>
      <c r="N397" t="n">
        <v>0</v>
      </c>
      <c r="O397" t="n">
        <v>0</v>
      </c>
      <c r="P397" t="n">
        <v>0</v>
      </c>
      <c r="Q397" t="n">
        <v>0</v>
      </c>
      <c r="R397" s="2" t="inlineStr"/>
    </row>
    <row r="398" ht="15" customHeight="1">
      <c r="A398" t="inlineStr">
        <is>
          <t>A 41799-2024</t>
        </is>
      </c>
      <c r="B398" s="1" t="n">
        <v>45561.36438657407</v>
      </c>
      <c r="C398" s="1" t="n">
        <v>46144</v>
      </c>
      <c r="D398" t="inlineStr">
        <is>
          <t>VÄSTRA GÖTALANDS LÄN</t>
        </is>
      </c>
      <c r="E398" t="inlineStr">
        <is>
          <t>DALS-ED</t>
        </is>
      </c>
      <c r="G398" t="n">
        <v>2.9</v>
      </c>
      <c r="H398" t="n">
        <v>0</v>
      </c>
      <c r="I398" t="n">
        <v>0</v>
      </c>
      <c r="J398" t="n">
        <v>0</v>
      </c>
      <c r="K398" t="n">
        <v>0</v>
      </c>
      <c r="L398" t="n">
        <v>0</v>
      </c>
      <c r="M398" t="n">
        <v>0</v>
      </c>
      <c r="N398" t="n">
        <v>0</v>
      </c>
      <c r="O398" t="n">
        <v>0</v>
      </c>
      <c r="P398" t="n">
        <v>0</v>
      </c>
      <c r="Q398" t="n">
        <v>0</v>
      </c>
      <c r="R398" s="2" t="inlineStr"/>
    </row>
    <row r="399" ht="15" customHeight="1">
      <c r="A399" t="inlineStr">
        <is>
          <t>A 21915-2024</t>
        </is>
      </c>
      <c r="B399" s="1" t="n">
        <v>45443</v>
      </c>
      <c r="C399" s="1" t="n">
        <v>46144</v>
      </c>
      <c r="D399" t="inlineStr">
        <is>
          <t>VÄSTRA GÖTALANDS LÄN</t>
        </is>
      </c>
      <c r="E399" t="inlineStr">
        <is>
          <t>DALS-ED</t>
        </is>
      </c>
      <c r="F399" t="inlineStr">
        <is>
          <t>Kyrkan</t>
        </is>
      </c>
      <c r="G399" t="n">
        <v>2.2</v>
      </c>
      <c r="H399" t="n">
        <v>0</v>
      </c>
      <c r="I399" t="n">
        <v>0</v>
      </c>
      <c r="J399" t="n">
        <v>0</v>
      </c>
      <c r="K399" t="n">
        <v>0</v>
      </c>
      <c r="L399" t="n">
        <v>0</v>
      </c>
      <c r="M399" t="n">
        <v>0</v>
      </c>
      <c r="N399" t="n">
        <v>0</v>
      </c>
      <c r="O399" t="n">
        <v>0</v>
      </c>
      <c r="P399" t="n">
        <v>0</v>
      </c>
      <c r="Q399" t="n">
        <v>0</v>
      </c>
      <c r="R399" s="2" t="inlineStr"/>
    </row>
    <row r="400" ht="15" customHeight="1">
      <c r="A400" t="inlineStr">
        <is>
          <t>A 4731-2022</t>
        </is>
      </c>
      <c r="B400" s="1" t="n">
        <v>44592</v>
      </c>
      <c r="C400" s="1" t="n">
        <v>46144</v>
      </c>
      <c r="D400" t="inlineStr">
        <is>
          <t>VÄSTRA GÖTALANDS LÄN</t>
        </is>
      </c>
      <c r="E400" t="inlineStr">
        <is>
          <t>DALS-ED</t>
        </is>
      </c>
      <c r="G400" t="n">
        <v>2.6</v>
      </c>
      <c r="H400" t="n">
        <v>0</v>
      </c>
      <c r="I400" t="n">
        <v>0</v>
      </c>
      <c r="J400" t="n">
        <v>0</v>
      </c>
      <c r="K400" t="n">
        <v>0</v>
      </c>
      <c r="L400" t="n">
        <v>0</v>
      </c>
      <c r="M400" t="n">
        <v>0</v>
      </c>
      <c r="N400" t="n">
        <v>0</v>
      </c>
      <c r="O400" t="n">
        <v>0</v>
      </c>
      <c r="P400" t="n">
        <v>0</v>
      </c>
      <c r="Q400" t="n">
        <v>0</v>
      </c>
      <c r="R400" s="2" t="inlineStr"/>
    </row>
    <row r="401" ht="15" customHeight="1">
      <c r="A401" t="inlineStr">
        <is>
          <t>A 13491-2024</t>
        </is>
      </c>
      <c r="B401" s="1" t="n">
        <v>45387.6203587963</v>
      </c>
      <c r="C401" s="1" t="n">
        <v>46144</v>
      </c>
      <c r="D401" t="inlineStr">
        <is>
          <t>VÄSTRA GÖTALANDS LÄN</t>
        </is>
      </c>
      <c r="E401" t="inlineStr">
        <is>
          <t>DALS-ED</t>
        </is>
      </c>
      <c r="G401" t="n">
        <v>2</v>
      </c>
      <c r="H401" t="n">
        <v>0</v>
      </c>
      <c r="I401" t="n">
        <v>0</v>
      </c>
      <c r="J401" t="n">
        <v>0</v>
      </c>
      <c r="K401" t="n">
        <v>0</v>
      </c>
      <c r="L401" t="n">
        <v>0</v>
      </c>
      <c r="M401" t="n">
        <v>0</v>
      </c>
      <c r="N401" t="n">
        <v>0</v>
      </c>
      <c r="O401" t="n">
        <v>0</v>
      </c>
      <c r="P401" t="n">
        <v>0</v>
      </c>
      <c r="Q401" t="n">
        <v>0</v>
      </c>
      <c r="R401" s="2" t="inlineStr"/>
    </row>
    <row r="402" ht="15" customHeight="1">
      <c r="A402" t="inlineStr">
        <is>
          <t>A 16817-2026</t>
        </is>
      </c>
      <c r="B402" s="1" t="n">
        <v>46113.50232638889</v>
      </c>
      <c r="C402" s="1" t="n">
        <v>46144</v>
      </c>
      <c r="D402" t="inlineStr">
        <is>
          <t>VÄSTRA GÖTALANDS LÄN</t>
        </is>
      </c>
      <c r="E402" t="inlineStr">
        <is>
          <t>DALS-ED</t>
        </is>
      </c>
      <c r="G402" t="n">
        <v>2.3</v>
      </c>
      <c r="H402" t="n">
        <v>0</v>
      </c>
      <c r="I402" t="n">
        <v>0</v>
      </c>
      <c r="J402" t="n">
        <v>0</v>
      </c>
      <c r="K402" t="n">
        <v>0</v>
      </c>
      <c r="L402" t="n">
        <v>0</v>
      </c>
      <c r="M402" t="n">
        <v>0</v>
      </c>
      <c r="N402" t="n">
        <v>0</v>
      </c>
      <c r="O402" t="n">
        <v>0</v>
      </c>
      <c r="P402" t="n">
        <v>0</v>
      </c>
      <c r="Q402" t="n">
        <v>0</v>
      </c>
      <c r="R402" s="2" t="inlineStr"/>
    </row>
    <row r="403" ht="15" customHeight="1">
      <c r="A403" t="inlineStr">
        <is>
          <t>A 9423-2026</t>
        </is>
      </c>
      <c r="B403" s="1" t="n">
        <v>46071.44307870371</v>
      </c>
      <c r="C403" s="1" t="n">
        <v>46144</v>
      </c>
      <c r="D403" t="inlineStr">
        <is>
          <t>VÄSTRA GÖTALANDS LÄN</t>
        </is>
      </c>
      <c r="E403" t="inlineStr">
        <is>
          <t>DALS-ED</t>
        </is>
      </c>
      <c r="G403" t="n">
        <v>1.7</v>
      </c>
      <c r="H403" t="n">
        <v>0</v>
      </c>
      <c r="I403" t="n">
        <v>0</v>
      </c>
      <c r="J403" t="n">
        <v>0</v>
      </c>
      <c r="K403" t="n">
        <v>0</v>
      </c>
      <c r="L403" t="n">
        <v>0</v>
      </c>
      <c r="M403" t="n">
        <v>0</v>
      </c>
      <c r="N403" t="n">
        <v>0</v>
      </c>
      <c r="O403" t="n">
        <v>0</v>
      </c>
      <c r="P403" t="n">
        <v>0</v>
      </c>
      <c r="Q403" t="n">
        <v>0</v>
      </c>
      <c r="R403" s="2" t="inlineStr"/>
    </row>
    <row r="404" ht="15" customHeight="1">
      <c r="A404" t="inlineStr">
        <is>
          <t>A 7986-2023</t>
        </is>
      </c>
      <c r="B404" s="1" t="n">
        <v>44970</v>
      </c>
      <c r="C404" s="1" t="n">
        <v>46144</v>
      </c>
      <c r="D404" t="inlineStr">
        <is>
          <t>VÄSTRA GÖTALANDS LÄN</t>
        </is>
      </c>
      <c r="E404" t="inlineStr">
        <is>
          <t>DALS-ED</t>
        </is>
      </c>
      <c r="F404" t="inlineStr">
        <is>
          <t>Kyrkan</t>
        </is>
      </c>
      <c r="G404" t="n">
        <v>1.2</v>
      </c>
      <c r="H404" t="n">
        <v>0</v>
      </c>
      <c r="I404" t="n">
        <v>0</v>
      </c>
      <c r="J404" t="n">
        <v>0</v>
      </c>
      <c r="K404" t="n">
        <v>0</v>
      </c>
      <c r="L404" t="n">
        <v>0</v>
      </c>
      <c r="M404" t="n">
        <v>0</v>
      </c>
      <c r="N404" t="n">
        <v>0</v>
      </c>
      <c r="O404" t="n">
        <v>0</v>
      </c>
      <c r="P404" t="n">
        <v>0</v>
      </c>
      <c r="Q404" t="n">
        <v>0</v>
      </c>
      <c r="R404" s="2" t="inlineStr"/>
    </row>
    <row r="405" ht="15" customHeight="1">
      <c r="A405" t="inlineStr">
        <is>
          <t>A 15626-2024</t>
        </is>
      </c>
      <c r="B405" s="1" t="n">
        <v>45402.46005787037</v>
      </c>
      <c r="C405" s="1" t="n">
        <v>46144</v>
      </c>
      <c r="D405" t="inlineStr">
        <is>
          <t>VÄSTRA GÖTALANDS LÄN</t>
        </is>
      </c>
      <c r="E405" t="inlineStr">
        <is>
          <t>DALS-ED</t>
        </is>
      </c>
      <c r="G405" t="n">
        <v>9.9</v>
      </c>
      <c r="H405" t="n">
        <v>0</v>
      </c>
      <c r="I405" t="n">
        <v>0</v>
      </c>
      <c r="J405" t="n">
        <v>0</v>
      </c>
      <c r="K405" t="n">
        <v>0</v>
      </c>
      <c r="L405" t="n">
        <v>0</v>
      </c>
      <c r="M405" t="n">
        <v>0</v>
      </c>
      <c r="N405" t="n">
        <v>0</v>
      </c>
      <c r="O405" t="n">
        <v>0</v>
      </c>
      <c r="P405" t="n">
        <v>0</v>
      </c>
      <c r="Q405" t="n">
        <v>0</v>
      </c>
      <c r="R405" s="2" t="inlineStr"/>
    </row>
    <row r="406" ht="15" customHeight="1">
      <c r="A406" t="inlineStr">
        <is>
          <t>A 48574-2024</t>
        </is>
      </c>
      <c r="B406" s="1" t="n">
        <v>45593.41086805556</v>
      </c>
      <c r="C406" s="1" t="n">
        <v>46144</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61626-2022</t>
        </is>
      </c>
      <c r="B407" s="1" t="n">
        <v>44916.6887037037</v>
      </c>
      <c r="C407" s="1" t="n">
        <v>46144</v>
      </c>
      <c r="D407" t="inlineStr">
        <is>
          <t>VÄSTRA GÖTALANDS LÄN</t>
        </is>
      </c>
      <c r="E407" t="inlineStr">
        <is>
          <t>DALS-ED</t>
        </is>
      </c>
      <c r="G407" t="n">
        <v>0.5</v>
      </c>
      <c r="H407" t="n">
        <v>0</v>
      </c>
      <c r="I407" t="n">
        <v>0</v>
      </c>
      <c r="J407" t="n">
        <v>0</v>
      </c>
      <c r="K407" t="n">
        <v>0</v>
      </c>
      <c r="L407" t="n">
        <v>0</v>
      </c>
      <c r="M407" t="n">
        <v>0</v>
      </c>
      <c r="N407" t="n">
        <v>0</v>
      </c>
      <c r="O407" t="n">
        <v>0</v>
      </c>
      <c r="P407" t="n">
        <v>0</v>
      </c>
      <c r="Q407" t="n">
        <v>0</v>
      </c>
      <c r="R407" s="2" t="inlineStr"/>
    </row>
    <row r="408" ht="15" customHeight="1">
      <c r="A408" t="inlineStr">
        <is>
          <t>A 22847-2021</t>
        </is>
      </c>
      <c r="B408" s="1" t="n">
        <v>44328</v>
      </c>
      <c r="C408" s="1" t="n">
        <v>46144</v>
      </c>
      <c r="D408" t="inlineStr">
        <is>
          <t>VÄSTRA GÖTALANDS LÄN</t>
        </is>
      </c>
      <c r="E408" t="inlineStr">
        <is>
          <t>DALS-ED</t>
        </is>
      </c>
      <c r="G408" t="n">
        <v>0.9</v>
      </c>
      <c r="H408" t="n">
        <v>0</v>
      </c>
      <c r="I408" t="n">
        <v>0</v>
      </c>
      <c r="J408" t="n">
        <v>0</v>
      </c>
      <c r="K408" t="n">
        <v>0</v>
      </c>
      <c r="L408" t="n">
        <v>0</v>
      </c>
      <c r="M408" t="n">
        <v>0</v>
      </c>
      <c r="N408" t="n">
        <v>0</v>
      </c>
      <c r="O408" t="n">
        <v>0</v>
      </c>
      <c r="P408" t="n">
        <v>0</v>
      </c>
      <c r="Q408" t="n">
        <v>0</v>
      </c>
      <c r="R408" s="2" t="inlineStr"/>
    </row>
    <row r="409" ht="15" customHeight="1">
      <c r="A409" t="inlineStr">
        <is>
          <t>A 16830-2026</t>
        </is>
      </c>
      <c r="B409" s="1" t="n">
        <v>46113.52150462963</v>
      </c>
      <c r="C409" s="1" t="n">
        <v>46144</v>
      </c>
      <c r="D409" t="inlineStr">
        <is>
          <t>VÄSTRA GÖTALANDS LÄN</t>
        </is>
      </c>
      <c r="E409" t="inlineStr">
        <is>
          <t>DALS-ED</t>
        </is>
      </c>
      <c r="G409" t="n">
        <v>7.5</v>
      </c>
      <c r="H409" t="n">
        <v>0</v>
      </c>
      <c r="I409" t="n">
        <v>0</v>
      </c>
      <c r="J409" t="n">
        <v>0</v>
      </c>
      <c r="K409" t="n">
        <v>0</v>
      </c>
      <c r="L409" t="n">
        <v>0</v>
      </c>
      <c r="M409" t="n">
        <v>0</v>
      </c>
      <c r="N409" t="n">
        <v>0</v>
      </c>
      <c r="O409" t="n">
        <v>0</v>
      </c>
      <c r="P409" t="n">
        <v>0</v>
      </c>
      <c r="Q409" t="n">
        <v>0</v>
      </c>
      <c r="R409" s="2" t="inlineStr"/>
    </row>
    <row r="410" ht="15" customHeight="1">
      <c r="A410" t="inlineStr">
        <is>
          <t>A 40380-2022</t>
        </is>
      </c>
      <c r="B410" s="1" t="n">
        <v>44823.40733796296</v>
      </c>
      <c r="C410" s="1" t="n">
        <v>46144</v>
      </c>
      <c r="D410" t="inlineStr">
        <is>
          <t>VÄSTRA GÖTALANDS LÄN</t>
        </is>
      </c>
      <c r="E410" t="inlineStr">
        <is>
          <t>DALS-ED</t>
        </is>
      </c>
      <c r="G410" t="n">
        <v>5.1</v>
      </c>
      <c r="H410" t="n">
        <v>0</v>
      </c>
      <c r="I410" t="n">
        <v>0</v>
      </c>
      <c r="J410" t="n">
        <v>0</v>
      </c>
      <c r="K410" t="n">
        <v>0</v>
      </c>
      <c r="L410" t="n">
        <v>0</v>
      </c>
      <c r="M410" t="n">
        <v>0</v>
      </c>
      <c r="N410" t="n">
        <v>0</v>
      </c>
      <c r="O410" t="n">
        <v>0</v>
      </c>
      <c r="P410" t="n">
        <v>0</v>
      </c>
      <c r="Q410" t="n">
        <v>0</v>
      </c>
      <c r="R410" s="2" t="inlineStr"/>
    </row>
    <row r="411" ht="15" customHeight="1">
      <c r="A411" t="inlineStr">
        <is>
          <t>A 9886-2026</t>
        </is>
      </c>
      <c r="B411" s="1" t="n">
        <v>46073.35717592593</v>
      </c>
      <c r="C411" s="1" t="n">
        <v>46144</v>
      </c>
      <c r="D411" t="inlineStr">
        <is>
          <t>VÄSTRA GÖTALANDS LÄN</t>
        </is>
      </c>
      <c r="E411" t="inlineStr">
        <is>
          <t>DALS-ED</t>
        </is>
      </c>
      <c r="G411" t="n">
        <v>1.6</v>
      </c>
      <c r="H411" t="n">
        <v>0</v>
      </c>
      <c r="I411" t="n">
        <v>0</v>
      </c>
      <c r="J411" t="n">
        <v>0</v>
      </c>
      <c r="K411" t="n">
        <v>0</v>
      </c>
      <c r="L411" t="n">
        <v>0</v>
      </c>
      <c r="M411" t="n">
        <v>0</v>
      </c>
      <c r="N411" t="n">
        <v>0</v>
      </c>
      <c r="O411" t="n">
        <v>0</v>
      </c>
      <c r="P411" t="n">
        <v>0</v>
      </c>
      <c r="Q411" t="n">
        <v>0</v>
      </c>
      <c r="R411" s="2" t="inlineStr"/>
    </row>
    <row r="412" ht="15" customHeight="1">
      <c r="A412" t="inlineStr">
        <is>
          <t>A 9884-2026</t>
        </is>
      </c>
      <c r="B412" s="1" t="n">
        <v>46073.34993055555</v>
      </c>
      <c r="C412" s="1" t="n">
        <v>46144</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9888-2026</t>
        </is>
      </c>
      <c r="B413" s="1" t="n">
        <v>46073.35965277778</v>
      </c>
      <c r="C413" s="1" t="n">
        <v>46144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50298-2024</t>
        </is>
      </c>
      <c r="B414" s="1" t="n">
        <v>45600.62725694444</v>
      </c>
      <c r="C414" s="1" t="n">
        <v>46144</v>
      </c>
      <c r="D414" t="inlineStr">
        <is>
          <t>VÄSTRA GÖTALANDS LÄN</t>
        </is>
      </c>
      <c r="E414" t="inlineStr">
        <is>
          <t>DALS-ED</t>
        </is>
      </c>
      <c r="G414" t="n">
        <v>2.5</v>
      </c>
      <c r="H414" t="n">
        <v>0</v>
      </c>
      <c r="I414" t="n">
        <v>0</v>
      </c>
      <c r="J414" t="n">
        <v>0</v>
      </c>
      <c r="K414" t="n">
        <v>0</v>
      </c>
      <c r="L414" t="n">
        <v>0</v>
      </c>
      <c r="M414" t="n">
        <v>0</v>
      </c>
      <c r="N414" t="n">
        <v>0</v>
      </c>
      <c r="O414" t="n">
        <v>0</v>
      </c>
      <c r="P414" t="n">
        <v>0</v>
      </c>
      <c r="Q414" t="n">
        <v>0</v>
      </c>
      <c r="R414" s="2" t="inlineStr"/>
    </row>
    <row r="415" ht="15" customHeight="1">
      <c r="A415" t="inlineStr">
        <is>
          <t>A 50303-2024</t>
        </is>
      </c>
      <c r="B415" s="1" t="n">
        <v>45600.63454861111</v>
      </c>
      <c r="C415" s="1" t="n">
        <v>46144</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9885-2026</t>
        </is>
      </c>
      <c r="B416" s="1" t="n">
        <v>46073.35402777778</v>
      </c>
      <c r="C416" s="1" t="n">
        <v>46144</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42588-2021</t>
        </is>
      </c>
      <c r="B417" s="1" t="n">
        <v>44428</v>
      </c>
      <c r="C417" s="1" t="n">
        <v>46144</v>
      </c>
      <c r="D417" t="inlineStr">
        <is>
          <t>VÄSTRA GÖTALANDS LÄN</t>
        </is>
      </c>
      <c r="E417" t="inlineStr">
        <is>
          <t>DALS-ED</t>
        </is>
      </c>
      <c r="G417" t="n">
        <v>5.7</v>
      </c>
      <c r="H417" t="n">
        <v>0</v>
      </c>
      <c r="I417" t="n">
        <v>0</v>
      </c>
      <c r="J417" t="n">
        <v>0</v>
      </c>
      <c r="K417" t="n">
        <v>0</v>
      </c>
      <c r="L417" t="n">
        <v>0</v>
      </c>
      <c r="M417" t="n">
        <v>0</v>
      </c>
      <c r="N417" t="n">
        <v>0</v>
      </c>
      <c r="O417" t="n">
        <v>0</v>
      </c>
      <c r="P417" t="n">
        <v>0</v>
      </c>
      <c r="Q417" t="n">
        <v>0</v>
      </c>
      <c r="R417" s="2" t="inlineStr"/>
    </row>
    <row r="418" ht="15" customHeight="1">
      <c r="A418" t="inlineStr">
        <is>
          <t>A 18360-2022</t>
        </is>
      </c>
      <c r="B418" s="1" t="n">
        <v>44685</v>
      </c>
      <c r="C418" s="1" t="n">
        <v>46144</v>
      </c>
      <c r="D418" t="inlineStr">
        <is>
          <t>VÄSTRA GÖTALANDS LÄN</t>
        </is>
      </c>
      <c r="E418" t="inlineStr">
        <is>
          <t>DALS-ED</t>
        </is>
      </c>
      <c r="G418" t="n">
        <v>1.5</v>
      </c>
      <c r="H418" t="n">
        <v>0</v>
      </c>
      <c r="I418" t="n">
        <v>0</v>
      </c>
      <c r="J418" t="n">
        <v>0</v>
      </c>
      <c r="K418" t="n">
        <v>0</v>
      </c>
      <c r="L418" t="n">
        <v>0</v>
      </c>
      <c r="M418" t="n">
        <v>0</v>
      </c>
      <c r="N418" t="n">
        <v>0</v>
      </c>
      <c r="O418" t="n">
        <v>0</v>
      </c>
      <c r="P418" t="n">
        <v>0</v>
      </c>
      <c r="Q418" t="n">
        <v>0</v>
      </c>
      <c r="R418" s="2" t="inlineStr"/>
    </row>
    <row r="419" ht="15" customHeight="1">
      <c r="A419" t="inlineStr">
        <is>
          <t>A 17472-2026</t>
        </is>
      </c>
      <c r="B419" s="1" t="n">
        <v>46120.51908564815</v>
      </c>
      <c r="C419" s="1" t="n">
        <v>46144</v>
      </c>
      <c r="D419" t="inlineStr">
        <is>
          <t>VÄSTRA GÖTALANDS LÄN</t>
        </is>
      </c>
      <c r="E419" t="inlineStr">
        <is>
          <t>DALS-ED</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36456-2023</t>
        </is>
      </c>
      <c r="B420" s="1" t="n">
        <v>45151</v>
      </c>
      <c r="C420" s="1" t="n">
        <v>46144</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11252-2026</t>
        </is>
      </c>
      <c r="B421" s="1" t="n">
        <v>46080.54673611111</v>
      </c>
      <c r="C421" s="1" t="n">
        <v>46144</v>
      </c>
      <c r="D421" t="inlineStr">
        <is>
          <t>VÄSTRA GÖTALANDS LÄN</t>
        </is>
      </c>
      <c r="E421" t="inlineStr">
        <is>
          <t>DALS-ED</t>
        </is>
      </c>
      <c r="F421" t="inlineStr">
        <is>
          <t>Övriga Aktiebolag</t>
        </is>
      </c>
      <c r="G421" t="n">
        <v>7</v>
      </c>
      <c r="H421" t="n">
        <v>0</v>
      </c>
      <c r="I421" t="n">
        <v>0</v>
      </c>
      <c r="J421" t="n">
        <v>0</v>
      </c>
      <c r="K421" t="n">
        <v>0</v>
      </c>
      <c r="L421" t="n">
        <v>0</v>
      </c>
      <c r="M421" t="n">
        <v>0</v>
      </c>
      <c r="N421" t="n">
        <v>0</v>
      </c>
      <c r="O421" t="n">
        <v>0</v>
      </c>
      <c r="P421" t="n">
        <v>0</v>
      </c>
      <c r="Q421" t="n">
        <v>0</v>
      </c>
      <c r="R421" s="2" t="inlineStr"/>
    </row>
    <row r="422" ht="15" customHeight="1">
      <c r="A422" t="inlineStr">
        <is>
          <t>A 11268-2026</t>
        </is>
      </c>
      <c r="B422" s="1" t="n">
        <v>46080.57310185185</v>
      </c>
      <c r="C422" s="1" t="n">
        <v>46144</v>
      </c>
      <c r="D422" t="inlineStr">
        <is>
          <t>VÄSTRA GÖTALANDS LÄN</t>
        </is>
      </c>
      <c r="E422" t="inlineStr">
        <is>
          <t>DALS-ED</t>
        </is>
      </c>
      <c r="F422" t="inlineStr">
        <is>
          <t>Övriga Aktiebolag</t>
        </is>
      </c>
      <c r="G422" t="n">
        <v>1.1</v>
      </c>
      <c r="H422" t="n">
        <v>0</v>
      </c>
      <c r="I422" t="n">
        <v>0</v>
      </c>
      <c r="J422" t="n">
        <v>0</v>
      </c>
      <c r="K422" t="n">
        <v>0</v>
      </c>
      <c r="L422" t="n">
        <v>0</v>
      </c>
      <c r="M422" t="n">
        <v>0</v>
      </c>
      <c r="N422" t="n">
        <v>0</v>
      </c>
      <c r="O422" t="n">
        <v>0</v>
      </c>
      <c r="P422" t="n">
        <v>0</v>
      </c>
      <c r="Q422" t="n">
        <v>0</v>
      </c>
      <c r="R422" s="2" t="inlineStr"/>
    </row>
    <row r="423" ht="15" customHeight="1">
      <c r="A423" t="inlineStr">
        <is>
          <t>A 11264-2026</t>
        </is>
      </c>
      <c r="B423" s="1" t="n">
        <v>46080.56409722222</v>
      </c>
      <c r="C423" s="1" t="n">
        <v>46144</v>
      </c>
      <c r="D423" t="inlineStr">
        <is>
          <t>VÄSTRA GÖTALANDS LÄN</t>
        </is>
      </c>
      <c r="E423" t="inlineStr">
        <is>
          <t>DALS-ED</t>
        </is>
      </c>
      <c r="F423" t="inlineStr">
        <is>
          <t>Övriga Aktiebolag</t>
        </is>
      </c>
      <c r="G423" t="n">
        <v>2.8</v>
      </c>
      <c r="H423" t="n">
        <v>0</v>
      </c>
      <c r="I423" t="n">
        <v>0</v>
      </c>
      <c r="J423" t="n">
        <v>0</v>
      </c>
      <c r="K423" t="n">
        <v>0</v>
      </c>
      <c r="L423" t="n">
        <v>0</v>
      </c>
      <c r="M423" t="n">
        <v>0</v>
      </c>
      <c r="N423" t="n">
        <v>0</v>
      </c>
      <c r="O423" t="n">
        <v>0</v>
      </c>
      <c r="P423" t="n">
        <v>0</v>
      </c>
      <c r="Q423" t="n">
        <v>0</v>
      </c>
      <c r="R423" s="2" t="inlineStr"/>
    </row>
    <row r="424" ht="15" customHeight="1">
      <c r="A424" t="inlineStr">
        <is>
          <t>A 11508-2026</t>
        </is>
      </c>
      <c r="B424" s="1" t="n">
        <v>46083.65574074074</v>
      </c>
      <c r="C424" s="1" t="n">
        <v>46144</v>
      </c>
      <c r="D424" t="inlineStr">
        <is>
          <t>VÄSTRA GÖTALANDS LÄN</t>
        </is>
      </c>
      <c r="E424" t="inlineStr">
        <is>
          <t>DALS-ED</t>
        </is>
      </c>
      <c r="G424" t="n">
        <v>8.1</v>
      </c>
      <c r="H424" t="n">
        <v>0</v>
      </c>
      <c r="I424" t="n">
        <v>0</v>
      </c>
      <c r="J424" t="n">
        <v>0</v>
      </c>
      <c r="K424" t="n">
        <v>0</v>
      </c>
      <c r="L424" t="n">
        <v>0</v>
      </c>
      <c r="M424" t="n">
        <v>0</v>
      </c>
      <c r="N424" t="n">
        <v>0</v>
      </c>
      <c r="O424" t="n">
        <v>0</v>
      </c>
      <c r="P424" t="n">
        <v>0</v>
      </c>
      <c r="Q424" t="n">
        <v>0</v>
      </c>
      <c r="R424" s="2" t="inlineStr"/>
    </row>
    <row r="425" ht="15" customHeight="1">
      <c r="A425" t="inlineStr">
        <is>
          <t>A 6268-2025</t>
        </is>
      </c>
      <c r="B425" s="1" t="n">
        <v>45698.60086805555</v>
      </c>
      <c r="C425" s="1" t="n">
        <v>46144</v>
      </c>
      <c r="D425" t="inlineStr">
        <is>
          <t>VÄSTRA GÖTALANDS LÄN</t>
        </is>
      </c>
      <c r="E425" t="inlineStr">
        <is>
          <t>DALS-ED</t>
        </is>
      </c>
      <c r="G425" t="n">
        <v>6.3</v>
      </c>
      <c r="H425" t="n">
        <v>0</v>
      </c>
      <c r="I425" t="n">
        <v>0</v>
      </c>
      <c r="J425" t="n">
        <v>0</v>
      </c>
      <c r="K425" t="n">
        <v>0</v>
      </c>
      <c r="L425" t="n">
        <v>0</v>
      </c>
      <c r="M425" t="n">
        <v>0</v>
      </c>
      <c r="N425" t="n">
        <v>0</v>
      </c>
      <c r="O425" t="n">
        <v>0</v>
      </c>
      <c r="P425" t="n">
        <v>0</v>
      </c>
      <c r="Q425" t="n">
        <v>0</v>
      </c>
      <c r="R425" s="2" t="inlineStr"/>
    </row>
    <row r="426" ht="15" customHeight="1">
      <c r="A426" t="inlineStr">
        <is>
          <t>A 19382-2023</t>
        </is>
      </c>
      <c r="B426" s="1" t="n">
        <v>45049</v>
      </c>
      <c r="C426" s="1" t="n">
        <v>46144</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18216-2026</t>
        </is>
      </c>
      <c r="B427" s="1" t="n">
        <v>46126.29630787037</v>
      </c>
      <c r="C427" s="1" t="n">
        <v>46144</v>
      </c>
      <c r="D427" t="inlineStr">
        <is>
          <t>VÄSTRA GÖTALANDS LÄN</t>
        </is>
      </c>
      <c r="E427" t="inlineStr">
        <is>
          <t>DALS-ED</t>
        </is>
      </c>
      <c r="G427" t="n">
        <v>1.7</v>
      </c>
      <c r="H427" t="n">
        <v>0</v>
      </c>
      <c r="I427" t="n">
        <v>0</v>
      </c>
      <c r="J427" t="n">
        <v>0</v>
      </c>
      <c r="K427" t="n">
        <v>0</v>
      </c>
      <c r="L427" t="n">
        <v>0</v>
      </c>
      <c r="M427" t="n">
        <v>0</v>
      </c>
      <c r="N427" t="n">
        <v>0</v>
      </c>
      <c r="O427" t="n">
        <v>0</v>
      </c>
      <c r="P427" t="n">
        <v>0</v>
      </c>
      <c r="Q427" t="n">
        <v>0</v>
      </c>
      <c r="R427" s="2" t="inlineStr"/>
    </row>
    <row r="428" ht="15" customHeight="1">
      <c r="A428" t="inlineStr">
        <is>
          <t>A 56442-2023</t>
        </is>
      </c>
      <c r="B428" s="1" t="n">
        <v>45237</v>
      </c>
      <c r="C428" s="1" t="n">
        <v>46144</v>
      </c>
      <c r="D428" t="inlineStr">
        <is>
          <t>VÄSTRA GÖTALANDS LÄN</t>
        </is>
      </c>
      <c r="E428" t="inlineStr">
        <is>
          <t>DALS-ED</t>
        </is>
      </c>
      <c r="F428" t="inlineStr">
        <is>
          <t>Kyrkan</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18372-2026</t>
        </is>
      </c>
      <c r="B429" s="1" t="n">
        <v>46126.61650462963</v>
      </c>
      <c r="C429" s="1" t="n">
        <v>46144</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64338-2021</t>
        </is>
      </c>
      <c r="B430" s="1" t="n">
        <v>44511</v>
      </c>
      <c r="C430" s="1" t="n">
        <v>46144</v>
      </c>
      <c r="D430" t="inlineStr">
        <is>
          <t>VÄSTRA GÖTALANDS LÄN</t>
        </is>
      </c>
      <c r="E430" t="inlineStr">
        <is>
          <t>DALS-ED</t>
        </is>
      </c>
      <c r="G430" t="n">
        <v>5.6</v>
      </c>
      <c r="H430" t="n">
        <v>0</v>
      </c>
      <c r="I430" t="n">
        <v>0</v>
      </c>
      <c r="J430" t="n">
        <v>0</v>
      </c>
      <c r="K430" t="n">
        <v>0</v>
      </c>
      <c r="L430" t="n">
        <v>0</v>
      </c>
      <c r="M430" t="n">
        <v>0</v>
      </c>
      <c r="N430" t="n">
        <v>0</v>
      </c>
      <c r="O430" t="n">
        <v>0</v>
      </c>
      <c r="P430" t="n">
        <v>0</v>
      </c>
      <c r="Q430" t="n">
        <v>0</v>
      </c>
      <c r="R430" s="2" t="inlineStr"/>
    </row>
    <row r="431" ht="15" customHeight="1">
      <c r="A431" t="inlineStr">
        <is>
          <t>A 12319-2026</t>
        </is>
      </c>
      <c r="B431" s="1" t="n">
        <v>46087.60050925926</v>
      </c>
      <c r="C431" s="1" t="n">
        <v>46144</v>
      </c>
      <c r="D431" t="inlineStr">
        <is>
          <t>VÄSTRA GÖTALANDS LÄN</t>
        </is>
      </c>
      <c r="E431" t="inlineStr">
        <is>
          <t>DALS-ED</t>
        </is>
      </c>
      <c r="G431" t="n">
        <v>0.7</v>
      </c>
      <c r="H431" t="n">
        <v>0</v>
      </c>
      <c r="I431" t="n">
        <v>0</v>
      </c>
      <c r="J431" t="n">
        <v>0</v>
      </c>
      <c r="K431" t="n">
        <v>0</v>
      </c>
      <c r="L431" t="n">
        <v>0</v>
      </c>
      <c r="M431" t="n">
        <v>0</v>
      </c>
      <c r="N431" t="n">
        <v>0</v>
      </c>
      <c r="O431" t="n">
        <v>0</v>
      </c>
      <c r="P431" t="n">
        <v>0</v>
      </c>
      <c r="Q431" t="n">
        <v>0</v>
      </c>
      <c r="R431" s="2" t="inlineStr"/>
    </row>
    <row r="432" ht="15" customHeight="1">
      <c r="A432" t="inlineStr">
        <is>
          <t>A 2284-2023</t>
        </is>
      </c>
      <c r="B432" s="1" t="n">
        <v>44942.52454861111</v>
      </c>
      <c r="C432" s="1" t="n">
        <v>46144</v>
      </c>
      <c r="D432" t="inlineStr">
        <is>
          <t>VÄSTRA GÖTALANDS LÄN</t>
        </is>
      </c>
      <c r="E432" t="inlineStr">
        <is>
          <t>DALS-ED</t>
        </is>
      </c>
      <c r="G432" t="n">
        <v>6.9</v>
      </c>
      <c r="H432" t="n">
        <v>0</v>
      </c>
      <c r="I432" t="n">
        <v>0</v>
      </c>
      <c r="J432" t="n">
        <v>0</v>
      </c>
      <c r="K432" t="n">
        <v>0</v>
      </c>
      <c r="L432" t="n">
        <v>0</v>
      </c>
      <c r="M432" t="n">
        <v>0</v>
      </c>
      <c r="N432" t="n">
        <v>0</v>
      </c>
      <c r="O432" t="n">
        <v>0</v>
      </c>
      <c r="P432" t="n">
        <v>0</v>
      </c>
      <c r="Q432" t="n">
        <v>0</v>
      </c>
      <c r="R432" s="2" t="inlineStr"/>
    </row>
    <row r="433" ht="15" customHeight="1">
      <c r="A433" t="inlineStr">
        <is>
          <t>A 4499-2024</t>
        </is>
      </c>
      <c r="B433" s="1" t="n">
        <v>45327.61145833333</v>
      </c>
      <c r="C433" s="1" t="n">
        <v>46144</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8180-2024</t>
        </is>
      </c>
      <c r="B434" s="1" t="n">
        <v>45351.63478009259</v>
      </c>
      <c r="C434" s="1" t="n">
        <v>46144</v>
      </c>
      <c r="D434" t="inlineStr">
        <is>
          <t>VÄSTRA GÖTALANDS LÄN</t>
        </is>
      </c>
      <c r="E434" t="inlineStr">
        <is>
          <t>DALS-ED</t>
        </is>
      </c>
      <c r="F434" t="inlineStr">
        <is>
          <t>Övriga Aktiebolag</t>
        </is>
      </c>
      <c r="G434" t="n">
        <v>3.2</v>
      </c>
      <c r="H434" t="n">
        <v>0</v>
      </c>
      <c r="I434" t="n">
        <v>0</v>
      </c>
      <c r="J434" t="n">
        <v>0</v>
      </c>
      <c r="K434" t="n">
        <v>0</v>
      </c>
      <c r="L434" t="n">
        <v>0</v>
      </c>
      <c r="M434" t="n">
        <v>0</v>
      </c>
      <c r="N434" t="n">
        <v>0</v>
      </c>
      <c r="O434" t="n">
        <v>0</v>
      </c>
      <c r="P434" t="n">
        <v>0</v>
      </c>
      <c r="Q434" t="n">
        <v>0</v>
      </c>
      <c r="R434" s="2" t="inlineStr"/>
    </row>
    <row r="435" ht="15" customHeight="1">
      <c r="A435" t="inlineStr">
        <is>
          <t>A 18437-2025</t>
        </is>
      </c>
      <c r="B435" s="1" t="n">
        <v>45762.65144675926</v>
      </c>
      <c r="C435" s="1" t="n">
        <v>46144</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15849-2024</t>
        </is>
      </c>
      <c r="B436" s="1" t="n">
        <v>45404</v>
      </c>
      <c r="C436" s="1" t="n">
        <v>46144</v>
      </c>
      <c r="D436" t="inlineStr">
        <is>
          <t>VÄSTRA GÖTALANDS LÄN</t>
        </is>
      </c>
      <c r="E436" t="inlineStr">
        <is>
          <t>DALS-ED</t>
        </is>
      </c>
      <c r="G436" t="n">
        <v>1.3</v>
      </c>
      <c r="H436" t="n">
        <v>0</v>
      </c>
      <c r="I436" t="n">
        <v>0</v>
      </c>
      <c r="J436" t="n">
        <v>0</v>
      </c>
      <c r="K436" t="n">
        <v>0</v>
      </c>
      <c r="L436" t="n">
        <v>0</v>
      </c>
      <c r="M436" t="n">
        <v>0</v>
      </c>
      <c r="N436" t="n">
        <v>0</v>
      </c>
      <c r="O436" t="n">
        <v>0</v>
      </c>
      <c r="P436" t="n">
        <v>0</v>
      </c>
      <c r="Q436" t="n">
        <v>0</v>
      </c>
      <c r="R436" s="2" t="inlineStr"/>
    </row>
    <row r="437" ht="15" customHeight="1">
      <c r="A437" t="inlineStr">
        <is>
          <t>A 52349-2024</t>
        </is>
      </c>
      <c r="B437" s="1" t="n">
        <v>45609.34872685185</v>
      </c>
      <c r="C437" s="1" t="n">
        <v>46144</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40972-2023</t>
        </is>
      </c>
      <c r="B438" s="1" t="n">
        <v>45173.48878472222</v>
      </c>
      <c r="C438" s="1" t="n">
        <v>46144</v>
      </c>
      <c r="D438" t="inlineStr">
        <is>
          <t>VÄSTRA GÖTALANDS LÄN</t>
        </is>
      </c>
      <c r="E438" t="inlineStr">
        <is>
          <t>DALS-ED</t>
        </is>
      </c>
      <c r="G438" t="n">
        <v>4.7</v>
      </c>
      <c r="H438" t="n">
        <v>0</v>
      </c>
      <c r="I438" t="n">
        <v>0</v>
      </c>
      <c r="J438" t="n">
        <v>0</v>
      </c>
      <c r="K438" t="n">
        <v>0</v>
      </c>
      <c r="L438" t="n">
        <v>0</v>
      </c>
      <c r="M438" t="n">
        <v>0</v>
      </c>
      <c r="N438" t="n">
        <v>0</v>
      </c>
      <c r="O438" t="n">
        <v>0</v>
      </c>
      <c r="P438" t="n">
        <v>0</v>
      </c>
      <c r="Q438" t="n">
        <v>0</v>
      </c>
      <c r="R438" s="2" t="inlineStr"/>
    </row>
    <row r="439" ht="15" customHeight="1">
      <c r="A439" t="inlineStr">
        <is>
          <t>A 4105-2023</t>
        </is>
      </c>
      <c r="B439" s="1" t="n">
        <v>44952</v>
      </c>
      <c r="C439" s="1" t="n">
        <v>46144</v>
      </c>
      <c r="D439" t="inlineStr">
        <is>
          <t>VÄSTRA GÖTALANDS LÄN</t>
        </is>
      </c>
      <c r="E439" t="inlineStr">
        <is>
          <t>DALS-ED</t>
        </is>
      </c>
      <c r="G439" t="n">
        <v>3.9</v>
      </c>
      <c r="H439" t="n">
        <v>0</v>
      </c>
      <c r="I439" t="n">
        <v>0</v>
      </c>
      <c r="J439" t="n">
        <v>0</v>
      </c>
      <c r="K439" t="n">
        <v>0</v>
      </c>
      <c r="L439" t="n">
        <v>0</v>
      </c>
      <c r="M439" t="n">
        <v>0</v>
      </c>
      <c r="N439" t="n">
        <v>0</v>
      </c>
      <c r="O439" t="n">
        <v>0</v>
      </c>
      <c r="P439" t="n">
        <v>0</v>
      </c>
      <c r="Q439" t="n">
        <v>0</v>
      </c>
      <c r="R439" s="2" t="inlineStr"/>
    </row>
    <row r="440" ht="15" customHeight="1">
      <c r="A440" t="inlineStr">
        <is>
          <t>A 4108-2023</t>
        </is>
      </c>
      <c r="B440" s="1" t="n">
        <v>44952</v>
      </c>
      <c r="C440" s="1" t="n">
        <v>46144</v>
      </c>
      <c r="D440" t="inlineStr">
        <is>
          <t>VÄSTRA GÖTALANDS LÄN</t>
        </is>
      </c>
      <c r="E440" t="inlineStr">
        <is>
          <t>DALS-ED</t>
        </is>
      </c>
      <c r="G440" t="n">
        <v>4</v>
      </c>
      <c r="H440" t="n">
        <v>0</v>
      </c>
      <c r="I440" t="n">
        <v>0</v>
      </c>
      <c r="J440" t="n">
        <v>0</v>
      </c>
      <c r="K440" t="n">
        <v>0</v>
      </c>
      <c r="L440" t="n">
        <v>0</v>
      </c>
      <c r="M440" t="n">
        <v>0</v>
      </c>
      <c r="N440" t="n">
        <v>0</v>
      </c>
      <c r="O440" t="n">
        <v>0</v>
      </c>
      <c r="P440" t="n">
        <v>0</v>
      </c>
      <c r="Q440" t="n">
        <v>0</v>
      </c>
      <c r="R440" s="2" t="inlineStr"/>
    </row>
    <row r="441" ht="15" customHeight="1">
      <c r="A441" t="inlineStr">
        <is>
          <t>A 2632-2025</t>
        </is>
      </c>
      <c r="B441" s="1" t="n">
        <v>45675.8675</v>
      </c>
      <c r="C441" s="1" t="n">
        <v>46144</v>
      </c>
      <c r="D441" t="inlineStr">
        <is>
          <t>VÄSTRA GÖTALANDS LÄN</t>
        </is>
      </c>
      <c r="E441" t="inlineStr">
        <is>
          <t>DALS-ED</t>
        </is>
      </c>
      <c r="G441" t="n">
        <v>1.4</v>
      </c>
      <c r="H441" t="n">
        <v>0</v>
      </c>
      <c r="I441" t="n">
        <v>0</v>
      </c>
      <c r="J441" t="n">
        <v>0</v>
      </c>
      <c r="K441" t="n">
        <v>0</v>
      </c>
      <c r="L441" t="n">
        <v>0</v>
      </c>
      <c r="M441" t="n">
        <v>0</v>
      </c>
      <c r="N441" t="n">
        <v>0</v>
      </c>
      <c r="O441" t="n">
        <v>0</v>
      </c>
      <c r="P441" t="n">
        <v>0</v>
      </c>
      <c r="Q441" t="n">
        <v>0</v>
      </c>
      <c r="R441" s="2" t="inlineStr"/>
    </row>
    <row r="442" ht="15" customHeight="1">
      <c r="A442" t="inlineStr">
        <is>
          <t>A 23679-2024</t>
        </is>
      </c>
      <c r="B442" s="1" t="n">
        <v>45454.6241087963</v>
      </c>
      <c r="C442" s="1" t="n">
        <v>46144</v>
      </c>
      <c r="D442" t="inlineStr">
        <is>
          <t>VÄSTRA GÖTALANDS LÄN</t>
        </is>
      </c>
      <c r="E442" t="inlineStr">
        <is>
          <t>DALS-ED</t>
        </is>
      </c>
      <c r="F442" t="inlineStr">
        <is>
          <t>Kyrkan</t>
        </is>
      </c>
      <c r="G442" t="n">
        <v>2.6</v>
      </c>
      <c r="H442" t="n">
        <v>0</v>
      </c>
      <c r="I442" t="n">
        <v>0</v>
      </c>
      <c r="J442" t="n">
        <v>0</v>
      </c>
      <c r="K442" t="n">
        <v>0</v>
      </c>
      <c r="L442" t="n">
        <v>0</v>
      </c>
      <c r="M442" t="n">
        <v>0</v>
      </c>
      <c r="N442" t="n">
        <v>0</v>
      </c>
      <c r="O442" t="n">
        <v>0</v>
      </c>
      <c r="P442" t="n">
        <v>0</v>
      </c>
      <c r="Q442" t="n">
        <v>0</v>
      </c>
      <c r="R442" s="2" t="inlineStr"/>
    </row>
    <row r="443" ht="15" customHeight="1">
      <c r="A443" t="inlineStr">
        <is>
          <t>A 13165-2026</t>
        </is>
      </c>
      <c r="B443" s="1" t="n">
        <v>46093.55673611111</v>
      </c>
      <c r="C443" s="1" t="n">
        <v>46144</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2082-2025</t>
        </is>
      </c>
      <c r="B444" s="1" t="n">
        <v>45672.58420138889</v>
      </c>
      <c r="C444" s="1" t="n">
        <v>46144</v>
      </c>
      <c r="D444" t="inlineStr">
        <is>
          <t>VÄSTRA GÖTALANDS LÄN</t>
        </is>
      </c>
      <c r="E444" t="inlineStr">
        <is>
          <t>DALS-ED</t>
        </is>
      </c>
      <c r="G444" t="n">
        <v>0.6</v>
      </c>
      <c r="H444" t="n">
        <v>0</v>
      </c>
      <c r="I444" t="n">
        <v>0</v>
      </c>
      <c r="J444" t="n">
        <v>0</v>
      </c>
      <c r="K444" t="n">
        <v>0</v>
      </c>
      <c r="L444" t="n">
        <v>0</v>
      </c>
      <c r="M444" t="n">
        <v>0</v>
      </c>
      <c r="N444" t="n">
        <v>0</v>
      </c>
      <c r="O444" t="n">
        <v>0</v>
      </c>
      <c r="P444" t="n">
        <v>0</v>
      </c>
      <c r="Q444" t="n">
        <v>0</v>
      </c>
      <c r="R444" s="2" t="inlineStr"/>
    </row>
    <row r="445" ht="15" customHeight="1">
      <c r="A445" t="inlineStr">
        <is>
          <t>A 41804-2024</t>
        </is>
      </c>
      <c r="B445" s="1" t="n">
        <v>45561.36818287037</v>
      </c>
      <c r="C445" s="1" t="n">
        <v>46144</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36342-2023</t>
        </is>
      </c>
      <c r="B446" s="1" t="n">
        <v>45152.45721064815</v>
      </c>
      <c r="C446" s="1" t="n">
        <v>46144</v>
      </c>
      <c r="D446" t="inlineStr">
        <is>
          <t>VÄSTRA GÖTALANDS LÄN</t>
        </is>
      </c>
      <c r="E446" t="inlineStr">
        <is>
          <t>DALS-ED</t>
        </is>
      </c>
      <c r="G446" t="n">
        <v>5.2</v>
      </c>
      <c r="H446" t="n">
        <v>0</v>
      </c>
      <c r="I446" t="n">
        <v>0</v>
      </c>
      <c r="J446" t="n">
        <v>0</v>
      </c>
      <c r="K446" t="n">
        <v>0</v>
      </c>
      <c r="L446" t="n">
        <v>0</v>
      </c>
      <c r="M446" t="n">
        <v>0</v>
      </c>
      <c r="N446" t="n">
        <v>0</v>
      </c>
      <c r="O446" t="n">
        <v>0</v>
      </c>
      <c r="P446" t="n">
        <v>0</v>
      </c>
      <c r="Q446" t="n">
        <v>0</v>
      </c>
      <c r="R446" s="2" t="inlineStr"/>
    </row>
    <row r="447" ht="15" customHeight="1">
      <c r="A447" t="inlineStr">
        <is>
          <t>A 25007-2023</t>
        </is>
      </c>
      <c r="B447" s="1" t="n">
        <v>45085.67021990741</v>
      </c>
      <c r="C447" s="1" t="n">
        <v>46144</v>
      </c>
      <c r="D447" t="inlineStr">
        <is>
          <t>VÄSTRA GÖTALANDS LÄN</t>
        </is>
      </c>
      <c r="E447" t="inlineStr">
        <is>
          <t>DALS-ED</t>
        </is>
      </c>
      <c r="G447" t="n">
        <v>4.3</v>
      </c>
      <c r="H447" t="n">
        <v>0</v>
      </c>
      <c r="I447" t="n">
        <v>0</v>
      </c>
      <c r="J447" t="n">
        <v>0</v>
      </c>
      <c r="K447" t="n">
        <v>0</v>
      </c>
      <c r="L447" t="n">
        <v>0</v>
      </c>
      <c r="M447" t="n">
        <v>0</v>
      </c>
      <c r="N447" t="n">
        <v>0</v>
      </c>
      <c r="O447" t="n">
        <v>0</v>
      </c>
      <c r="P447" t="n">
        <v>0</v>
      </c>
      <c r="Q447" t="n">
        <v>0</v>
      </c>
      <c r="R447" s="2" t="inlineStr"/>
    </row>
    <row r="448" ht="15" customHeight="1">
      <c r="A448" t="inlineStr">
        <is>
          <t>A 17503-2024</t>
        </is>
      </c>
      <c r="B448" s="1" t="n">
        <v>45415.5575925926</v>
      </c>
      <c r="C448" s="1" t="n">
        <v>46144</v>
      </c>
      <c r="D448" t="inlineStr">
        <is>
          <t>VÄSTRA GÖTALANDS LÄN</t>
        </is>
      </c>
      <c r="E448" t="inlineStr">
        <is>
          <t>DALS-ED</t>
        </is>
      </c>
      <c r="G448" t="n">
        <v>1.9</v>
      </c>
      <c r="H448" t="n">
        <v>0</v>
      </c>
      <c r="I448" t="n">
        <v>0</v>
      </c>
      <c r="J448" t="n">
        <v>0</v>
      </c>
      <c r="K448" t="n">
        <v>0</v>
      </c>
      <c r="L448" t="n">
        <v>0</v>
      </c>
      <c r="M448" t="n">
        <v>0</v>
      </c>
      <c r="N448" t="n">
        <v>0</v>
      </c>
      <c r="O448" t="n">
        <v>0</v>
      </c>
      <c r="P448" t="n">
        <v>0</v>
      </c>
      <c r="Q448" t="n">
        <v>0</v>
      </c>
      <c r="R448" s="2" t="inlineStr"/>
    </row>
    <row r="449" ht="15" customHeight="1">
      <c r="A449" t="inlineStr">
        <is>
          <t>A 58206-2022</t>
        </is>
      </c>
      <c r="B449" s="1" t="n">
        <v>44901</v>
      </c>
      <c r="C449" s="1" t="n">
        <v>46144</v>
      </c>
      <c r="D449" t="inlineStr">
        <is>
          <t>VÄSTRA GÖTALANDS LÄN</t>
        </is>
      </c>
      <c r="E449" t="inlineStr">
        <is>
          <t>DALS-ED</t>
        </is>
      </c>
      <c r="G449" t="n">
        <v>5.3</v>
      </c>
      <c r="H449" t="n">
        <v>0</v>
      </c>
      <c r="I449" t="n">
        <v>0</v>
      </c>
      <c r="J449" t="n">
        <v>0</v>
      </c>
      <c r="K449" t="n">
        <v>0</v>
      </c>
      <c r="L449" t="n">
        <v>0</v>
      </c>
      <c r="M449" t="n">
        <v>0</v>
      </c>
      <c r="N449" t="n">
        <v>0</v>
      </c>
      <c r="O449" t="n">
        <v>0</v>
      </c>
      <c r="P449" t="n">
        <v>0</v>
      </c>
      <c r="Q449" t="n">
        <v>0</v>
      </c>
      <c r="R449" s="2" t="inlineStr"/>
    </row>
    <row r="450" ht="15" customHeight="1">
      <c r="A450" t="inlineStr">
        <is>
          <t>A 4369-2024</t>
        </is>
      </c>
      <c r="B450" s="1" t="n">
        <v>45326.67398148148</v>
      </c>
      <c r="C450" s="1" t="n">
        <v>46144</v>
      </c>
      <c r="D450" t="inlineStr">
        <is>
          <t>VÄSTRA GÖTALANDS LÄN</t>
        </is>
      </c>
      <c r="E450" t="inlineStr">
        <is>
          <t>DALS-ED</t>
        </is>
      </c>
      <c r="G450" t="n">
        <v>4.2</v>
      </c>
      <c r="H450" t="n">
        <v>0</v>
      </c>
      <c r="I450" t="n">
        <v>0</v>
      </c>
      <c r="J450" t="n">
        <v>0</v>
      </c>
      <c r="K450" t="n">
        <v>0</v>
      </c>
      <c r="L450" t="n">
        <v>0</v>
      </c>
      <c r="M450" t="n">
        <v>0</v>
      </c>
      <c r="N450" t="n">
        <v>0</v>
      </c>
      <c r="O450" t="n">
        <v>0</v>
      </c>
      <c r="P450" t="n">
        <v>0</v>
      </c>
      <c r="Q450" t="n">
        <v>0</v>
      </c>
      <c r="R450" s="2" t="inlineStr"/>
    </row>
    <row r="451" ht="15" customHeight="1">
      <c r="A451" t="inlineStr">
        <is>
          <t>A 9164-2025</t>
        </is>
      </c>
      <c r="B451" s="1" t="n">
        <v>45714.36677083333</v>
      </c>
      <c r="C451" s="1" t="n">
        <v>46144</v>
      </c>
      <c r="D451" t="inlineStr">
        <is>
          <t>VÄSTRA GÖTALANDS LÄN</t>
        </is>
      </c>
      <c r="E451" t="inlineStr">
        <is>
          <t>DALS-ED</t>
        </is>
      </c>
      <c r="G451" t="n">
        <v>0.8</v>
      </c>
      <c r="H451" t="n">
        <v>0</v>
      </c>
      <c r="I451" t="n">
        <v>0</v>
      </c>
      <c r="J451" t="n">
        <v>0</v>
      </c>
      <c r="K451" t="n">
        <v>0</v>
      </c>
      <c r="L451" t="n">
        <v>0</v>
      </c>
      <c r="M451" t="n">
        <v>0</v>
      </c>
      <c r="N451" t="n">
        <v>0</v>
      </c>
      <c r="O451" t="n">
        <v>0</v>
      </c>
      <c r="P451" t="n">
        <v>0</v>
      </c>
      <c r="Q451" t="n">
        <v>0</v>
      </c>
      <c r="R451" s="2" t="inlineStr"/>
    </row>
    <row r="452" ht="15" customHeight="1">
      <c r="A452" t="inlineStr">
        <is>
          <t>A 2283-2025</t>
        </is>
      </c>
      <c r="B452" s="1" t="n">
        <v>45673.57033564815</v>
      </c>
      <c r="C452" s="1" t="n">
        <v>46144</v>
      </c>
      <c r="D452" t="inlineStr">
        <is>
          <t>VÄSTRA GÖTALANDS LÄN</t>
        </is>
      </c>
      <c r="E452" t="inlineStr">
        <is>
          <t>DALS-ED</t>
        </is>
      </c>
      <c r="G452" t="n">
        <v>2.2</v>
      </c>
      <c r="H452" t="n">
        <v>0</v>
      </c>
      <c r="I452" t="n">
        <v>0</v>
      </c>
      <c r="J452" t="n">
        <v>0</v>
      </c>
      <c r="K452" t="n">
        <v>0</v>
      </c>
      <c r="L452" t="n">
        <v>0</v>
      </c>
      <c r="M452" t="n">
        <v>0</v>
      </c>
      <c r="N452" t="n">
        <v>0</v>
      </c>
      <c r="O452" t="n">
        <v>0</v>
      </c>
      <c r="P452" t="n">
        <v>0</v>
      </c>
      <c r="Q452" t="n">
        <v>0</v>
      </c>
      <c r="R452" s="2" t="inlineStr"/>
    </row>
    <row r="453" ht="15" customHeight="1">
      <c r="A453" t="inlineStr">
        <is>
          <t>A 21865-2023</t>
        </is>
      </c>
      <c r="B453" s="1" t="n">
        <v>45068.46453703703</v>
      </c>
      <c r="C453" s="1" t="n">
        <v>46144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34467-2023</t>
        </is>
      </c>
      <c r="B454" s="1" t="n">
        <v>45139.73614583333</v>
      </c>
      <c r="C454" s="1" t="n">
        <v>46144</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32683-2023</t>
        </is>
      </c>
      <c r="B455" s="1" t="n">
        <v>45112</v>
      </c>
      <c r="C455" s="1" t="n">
        <v>46144</v>
      </c>
      <c r="D455" t="inlineStr">
        <is>
          <t>VÄSTRA GÖTALANDS LÄN</t>
        </is>
      </c>
      <c r="E455" t="inlineStr">
        <is>
          <t>DALS-ED</t>
        </is>
      </c>
      <c r="G455" t="n">
        <v>0.9</v>
      </c>
      <c r="H455" t="n">
        <v>0</v>
      </c>
      <c r="I455" t="n">
        <v>0</v>
      </c>
      <c r="J455" t="n">
        <v>0</v>
      </c>
      <c r="K455" t="n">
        <v>0</v>
      </c>
      <c r="L455" t="n">
        <v>0</v>
      </c>
      <c r="M455" t="n">
        <v>0</v>
      </c>
      <c r="N455" t="n">
        <v>0</v>
      </c>
      <c r="O455" t="n">
        <v>0</v>
      </c>
      <c r="P455" t="n">
        <v>0</v>
      </c>
      <c r="Q455" t="n">
        <v>0</v>
      </c>
      <c r="R455" s="2" t="inlineStr"/>
    </row>
    <row r="456" ht="15" customHeight="1">
      <c r="A456" t="inlineStr">
        <is>
          <t>A 4724-2022</t>
        </is>
      </c>
      <c r="B456" s="1" t="n">
        <v>44592</v>
      </c>
      <c r="C456" s="1" t="n">
        <v>46144</v>
      </c>
      <c r="D456" t="inlineStr">
        <is>
          <t>VÄSTRA GÖTALANDS LÄN</t>
        </is>
      </c>
      <c r="E456" t="inlineStr">
        <is>
          <t>DALS-ED</t>
        </is>
      </c>
      <c r="G456" t="n">
        <v>3.5</v>
      </c>
      <c r="H456" t="n">
        <v>0</v>
      </c>
      <c r="I456" t="n">
        <v>0</v>
      </c>
      <c r="J456" t="n">
        <v>0</v>
      </c>
      <c r="K456" t="n">
        <v>0</v>
      </c>
      <c r="L456" t="n">
        <v>0</v>
      </c>
      <c r="M456" t="n">
        <v>0</v>
      </c>
      <c r="N456" t="n">
        <v>0</v>
      </c>
      <c r="O456" t="n">
        <v>0</v>
      </c>
      <c r="P456" t="n">
        <v>0</v>
      </c>
      <c r="Q456" t="n">
        <v>0</v>
      </c>
      <c r="R456" s="2" t="inlineStr"/>
    </row>
    <row r="457" ht="15" customHeight="1">
      <c r="A457" t="inlineStr">
        <is>
          <t>A 5569-2023</t>
        </is>
      </c>
      <c r="B457" s="1" t="n">
        <v>44960.48239583334</v>
      </c>
      <c r="C457" s="1" t="n">
        <v>46144</v>
      </c>
      <c r="D457" t="inlineStr">
        <is>
          <t>VÄSTRA GÖTALANDS LÄN</t>
        </is>
      </c>
      <c r="E457" t="inlineStr">
        <is>
          <t>DALS-ED</t>
        </is>
      </c>
      <c r="G457" t="n">
        <v>10.4</v>
      </c>
      <c r="H457" t="n">
        <v>0</v>
      </c>
      <c r="I457" t="n">
        <v>0</v>
      </c>
      <c r="J457" t="n">
        <v>0</v>
      </c>
      <c r="K457" t="n">
        <v>0</v>
      </c>
      <c r="L457" t="n">
        <v>0</v>
      </c>
      <c r="M457" t="n">
        <v>0</v>
      </c>
      <c r="N457" t="n">
        <v>0</v>
      </c>
      <c r="O457" t="n">
        <v>0</v>
      </c>
      <c r="P457" t="n">
        <v>0</v>
      </c>
      <c r="Q457" t="n">
        <v>0</v>
      </c>
      <c r="R457" s="2" t="inlineStr"/>
    </row>
    <row r="458" ht="15" customHeight="1">
      <c r="A458" t="inlineStr">
        <is>
          <t>A 62303-2021</t>
        </is>
      </c>
      <c r="B458" s="1" t="n">
        <v>44503</v>
      </c>
      <c r="C458" s="1" t="n">
        <v>46144</v>
      </c>
      <c r="D458" t="inlineStr">
        <is>
          <t>VÄSTRA GÖTALANDS LÄN</t>
        </is>
      </c>
      <c r="E458" t="inlineStr">
        <is>
          <t>DALS-ED</t>
        </is>
      </c>
      <c r="F458" t="inlineStr">
        <is>
          <t>Kyrkan</t>
        </is>
      </c>
      <c r="G458" t="n">
        <v>0.5</v>
      </c>
      <c r="H458" t="n">
        <v>0</v>
      </c>
      <c r="I458" t="n">
        <v>0</v>
      </c>
      <c r="J458" t="n">
        <v>0</v>
      </c>
      <c r="K458" t="n">
        <v>0</v>
      </c>
      <c r="L458" t="n">
        <v>0</v>
      </c>
      <c r="M458" t="n">
        <v>0</v>
      </c>
      <c r="N458" t="n">
        <v>0</v>
      </c>
      <c r="O458" t="n">
        <v>0</v>
      </c>
      <c r="P458" t="n">
        <v>0</v>
      </c>
      <c r="Q458" t="n">
        <v>0</v>
      </c>
      <c r="R458" s="2" t="inlineStr"/>
    </row>
    <row r="459" ht="15" customHeight="1">
      <c r="A459" t="inlineStr">
        <is>
          <t>A 6278-2025</t>
        </is>
      </c>
      <c r="B459" s="1" t="n">
        <v>45698.61976851852</v>
      </c>
      <c r="C459" s="1" t="n">
        <v>46144</v>
      </c>
      <c r="D459" t="inlineStr">
        <is>
          <t>VÄSTRA GÖTALANDS LÄN</t>
        </is>
      </c>
      <c r="E459" t="inlineStr">
        <is>
          <t>DALS-ED</t>
        </is>
      </c>
      <c r="G459" t="n">
        <v>39</v>
      </c>
      <c r="H459" t="n">
        <v>0</v>
      </c>
      <c r="I459" t="n">
        <v>0</v>
      </c>
      <c r="J459" t="n">
        <v>0</v>
      </c>
      <c r="K459" t="n">
        <v>0</v>
      </c>
      <c r="L459" t="n">
        <v>0</v>
      </c>
      <c r="M459" t="n">
        <v>0</v>
      </c>
      <c r="N459" t="n">
        <v>0</v>
      </c>
      <c r="O459" t="n">
        <v>0</v>
      </c>
      <c r="P459" t="n">
        <v>0</v>
      </c>
      <c r="Q459" t="n">
        <v>0</v>
      </c>
      <c r="R459" s="2" t="inlineStr"/>
    </row>
    <row r="460" ht="15" customHeight="1">
      <c r="A460" t="inlineStr">
        <is>
          <t>A 15999-2026</t>
        </is>
      </c>
      <c r="B460" s="1" t="n">
        <v>46108</v>
      </c>
      <c r="C460" s="1" t="n">
        <v>46144</v>
      </c>
      <c r="D460" t="inlineStr">
        <is>
          <t>VÄSTRA GÖTALANDS LÄN</t>
        </is>
      </c>
      <c r="E460" t="inlineStr">
        <is>
          <t>DALS-ED</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14732-2026</t>
        </is>
      </c>
      <c r="B461" s="1" t="n">
        <v>46101.58512731481</v>
      </c>
      <c r="C461" s="1" t="n">
        <v>46144</v>
      </c>
      <c r="D461" t="inlineStr">
        <is>
          <t>VÄSTRA GÖTALANDS LÄN</t>
        </is>
      </c>
      <c r="E461" t="inlineStr">
        <is>
          <t>DALS-ED</t>
        </is>
      </c>
      <c r="G461" t="n">
        <v>2</v>
      </c>
      <c r="H461" t="n">
        <v>0</v>
      </c>
      <c r="I461" t="n">
        <v>0</v>
      </c>
      <c r="J461" t="n">
        <v>0</v>
      </c>
      <c r="K461" t="n">
        <v>0</v>
      </c>
      <c r="L461" t="n">
        <v>0</v>
      </c>
      <c r="M461" t="n">
        <v>0</v>
      </c>
      <c r="N461" t="n">
        <v>0</v>
      </c>
      <c r="O461" t="n">
        <v>0</v>
      </c>
      <c r="P461" t="n">
        <v>0</v>
      </c>
      <c r="Q461" t="n">
        <v>0</v>
      </c>
      <c r="R461" s="2" t="inlineStr"/>
    </row>
    <row r="462" ht="15" customHeight="1">
      <c r="A462" t="inlineStr">
        <is>
          <t>A 14304-2026</t>
        </is>
      </c>
      <c r="B462" s="1" t="n">
        <v>46099.78741898148</v>
      </c>
      <c r="C462" s="1" t="n">
        <v>46144</v>
      </c>
      <c r="D462" t="inlineStr">
        <is>
          <t>VÄSTRA GÖTALANDS LÄN</t>
        </is>
      </c>
      <c r="E462" t="inlineStr">
        <is>
          <t>DALS-ED</t>
        </is>
      </c>
      <c r="F462" t="inlineStr">
        <is>
          <t>Övriga Aktiebolag</t>
        </is>
      </c>
      <c r="G462" t="n">
        <v>7.7</v>
      </c>
      <c r="H462" t="n">
        <v>0</v>
      </c>
      <c r="I462" t="n">
        <v>0</v>
      </c>
      <c r="J462" t="n">
        <v>0</v>
      </c>
      <c r="K462" t="n">
        <v>0</v>
      </c>
      <c r="L462" t="n">
        <v>0</v>
      </c>
      <c r="M462" t="n">
        <v>0</v>
      </c>
      <c r="N462" t="n">
        <v>0</v>
      </c>
      <c r="O462" t="n">
        <v>0</v>
      </c>
      <c r="P462" t="n">
        <v>0</v>
      </c>
      <c r="Q462" t="n">
        <v>0</v>
      </c>
      <c r="R462" s="2" t="inlineStr"/>
    </row>
    <row r="463" ht="15" customHeight="1">
      <c r="A463" t="inlineStr">
        <is>
          <t>A 14306-2026</t>
        </is>
      </c>
      <c r="B463" s="1" t="n">
        <v>46099.8021875</v>
      </c>
      <c r="C463" s="1" t="n">
        <v>46144</v>
      </c>
      <c r="D463" t="inlineStr">
        <is>
          <t>VÄSTRA GÖTALANDS LÄN</t>
        </is>
      </c>
      <c r="E463" t="inlineStr">
        <is>
          <t>DALS-ED</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14012-2023</t>
        </is>
      </c>
      <c r="B464" s="1" t="n">
        <v>45008</v>
      </c>
      <c r="C464" s="1" t="n">
        <v>46144</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14461-2026</t>
        </is>
      </c>
      <c r="B465" s="1" t="n">
        <v>46100.55090277778</v>
      </c>
      <c r="C465" s="1" t="n">
        <v>46144</v>
      </c>
      <c r="D465" t="inlineStr">
        <is>
          <t>VÄSTRA GÖTALANDS LÄN</t>
        </is>
      </c>
      <c r="E465" t="inlineStr">
        <is>
          <t>DALS-ED</t>
        </is>
      </c>
      <c r="G465" t="n">
        <v>1.4</v>
      </c>
      <c r="H465" t="n">
        <v>0</v>
      </c>
      <c r="I465" t="n">
        <v>0</v>
      </c>
      <c r="J465" t="n">
        <v>0</v>
      </c>
      <c r="K465" t="n">
        <v>0</v>
      </c>
      <c r="L465" t="n">
        <v>0</v>
      </c>
      <c r="M465" t="n">
        <v>0</v>
      </c>
      <c r="N465" t="n">
        <v>0</v>
      </c>
      <c r="O465" t="n">
        <v>0</v>
      </c>
      <c r="P465" t="n">
        <v>0</v>
      </c>
      <c r="Q465" t="n">
        <v>0</v>
      </c>
      <c r="R465" s="2" t="inlineStr"/>
    </row>
    <row r="466" ht="15" customHeight="1">
      <c r="A466" t="inlineStr">
        <is>
          <t>A 42823-2023</t>
        </is>
      </c>
      <c r="B466" s="1" t="n">
        <v>45182.36677083333</v>
      </c>
      <c r="C466" s="1" t="n">
        <v>46144</v>
      </c>
      <c r="D466" t="inlineStr">
        <is>
          <t>VÄSTRA GÖTALANDS LÄN</t>
        </is>
      </c>
      <c r="E466" t="inlineStr">
        <is>
          <t>DALS-ED</t>
        </is>
      </c>
      <c r="G466" t="n">
        <v>1.8</v>
      </c>
      <c r="H466" t="n">
        <v>0</v>
      </c>
      <c r="I466" t="n">
        <v>0</v>
      </c>
      <c r="J466" t="n">
        <v>0</v>
      </c>
      <c r="K466" t="n">
        <v>0</v>
      </c>
      <c r="L466" t="n">
        <v>0</v>
      </c>
      <c r="M466" t="n">
        <v>0</v>
      </c>
      <c r="N466" t="n">
        <v>0</v>
      </c>
      <c r="O466" t="n">
        <v>0</v>
      </c>
      <c r="P466" t="n">
        <v>0</v>
      </c>
      <c r="Q466" t="n">
        <v>0</v>
      </c>
      <c r="R466" s="2" t="inlineStr"/>
    </row>
    <row r="467" ht="15" customHeight="1">
      <c r="A467" t="inlineStr">
        <is>
          <t>A 32797-2023</t>
        </is>
      </c>
      <c r="B467" s="1" t="n">
        <v>45124.4128587963</v>
      </c>
      <c r="C467" s="1" t="n">
        <v>46144</v>
      </c>
      <c r="D467" t="inlineStr">
        <is>
          <t>VÄSTRA GÖTALANDS LÄN</t>
        </is>
      </c>
      <c r="E467" t="inlineStr">
        <is>
          <t>DALS-ED</t>
        </is>
      </c>
      <c r="G467" t="n">
        <v>2.7</v>
      </c>
      <c r="H467" t="n">
        <v>0</v>
      </c>
      <c r="I467" t="n">
        <v>0</v>
      </c>
      <c r="J467" t="n">
        <v>0</v>
      </c>
      <c r="K467" t="n">
        <v>0</v>
      </c>
      <c r="L467" t="n">
        <v>0</v>
      </c>
      <c r="M467" t="n">
        <v>0</v>
      </c>
      <c r="N467" t="n">
        <v>0</v>
      </c>
      <c r="O467" t="n">
        <v>0</v>
      </c>
      <c r="P467" t="n">
        <v>0</v>
      </c>
      <c r="Q467" t="n">
        <v>0</v>
      </c>
      <c r="R467" s="2" t="inlineStr"/>
    </row>
    <row r="468" ht="15" customHeight="1">
      <c r="A468" t="inlineStr">
        <is>
          <t>A 28702-2023</t>
        </is>
      </c>
      <c r="B468" s="1" t="n">
        <v>45103.74606481481</v>
      </c>
      <c r="C468" s="1" t="n">
        <v>46144</v>
      </c>
      <c r="D468" t="inlineStr">
        <is>
          <t>VÄSTRA GÖTALANDS LÄN</t>
        </is>
      </c>
      <c r="E468" t="inlineStr">
        <is>
          <t>DALS-ED</t>
        </is>
      </c>
      <c r="G468" t="n">
        <v>1.4</v>
      </c>
      <c r="H468" t="n">
        <v>0</v>
      </c>
      <c r="I468" t="n">
        <v>0</v>
      </c>
      <c r="J468" t="n">
        <v>0</v>
      </c>
      <c r="K468" t="n">
        <v>0</v>
      </c>
      <c r="L468" t="n">
        <v>0</v>
      </c>
      <c r="M468" t="n">
        <v>0</v>
      </c>
      <c r="N468" t="n">
        <v>0</v>
      </c>
      <c r="O468" t="n">
        <v>0</v>
      </c>
      <c r="P468" t="n">
        <v>0</v>
      </c>
      <c r="Q468" t="n">
        <v>0</v>
      </c>
      <c r="R468" s="2" t="inlineStr"/>
    </row>
    <row r="469" ht="15" customHeight="1">
      <c r="A469" t="inlineStr">
        <is>
          <t>A 37874-2024</t>
        </is>
      </c>
      <c r="B469" s="1" t="n">
        <v>45544.4146412037</v>
      </c>
      <c r="C469" s="1" t="n">
        <v>46144</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54183-2024</t>
        </is>
      </c>
      <c r="B470" s="1" t="n">
        <v>45616.63967592592</v>
      </c>
      <c r="C470" s="1" t="n">
        <v>46144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59530-2022</t>
        </is>
      </c>
      <c r="B471" s="1" t="n">
        <v>44907.55690972223</v>
      </c>
      <c r="C471" s="1" t="n">
        <v>46144</v>
      </c>
      <c r="D471" t="inlineStr">
        <is>
          <t>VÄSTRA GÖTALANDS LÄN</t>
        </is>
      </c>
      <c r="E471" t="inlineStr">
        <is>
          <t>DALS-ED</t>
        </is>
      </c>
      <c r="G471" t="n">
        <v>0.7</v>
      </c>
      <c r="H471" t="n">
        <v>0</v>
      </c>
      <c r="I471" t="n">
        <v>0</v>
      </c>
      <c r="J471" t="n">
        <v>0</v>
      </c>
      <c r="K471" t="n">
        <v>0</v>
      </c>
      <c r="L471" t="n">
        <v>0</v>
      </c>
      <c r="M471" t="n">
        <v>0</v>
      </c>
      <c r="N471" t="n">
        <v>0</v>
      </c>
      <c r="O471" t="n">
        <v>0</v>
      </c>
      <c r="P471" t="n">
        <v>0</v>
      </c>
      <c r="Q471" t="n">
        <v>0</v>
      </c>
      <c r="R471" s="2" t="inlineStr"/>
    </row>
    <row r="472" ht="15" customHeight="1">
      <c r="A472" t="inlineStr">
        <is>
          <t>A 12693-2024</t>
        </is>
      </c>
      <c r="B472" s="1" t="n">
        <v>45384.43790509259</v>
      </c>
      <c r="C472" s="1" t="n">
        <v>46144</v>
      </c>
      <c r="D472" t="inlineStr">
        <is>
          <t>VÄSTRA GÖTALANDS LÄN</t>
        </is>
      </c>
      <c r="E472" t="inlineStr">
        <is>
          <t>DALS-ED</t>
        </is>
      </c>
      <c r="G472" t="n">
        <v>2</v>
      </c>
      <c r="H472" t="n">
        <v>0</v>
      </c>
      <c r="I472" t="n">
        <v>0</v>
      </c>
      <c r="J472" t="n">
        <v>0</v>
      </c>
      <c r="K472" t="n">
        <v>0</v>
      </c>
      <c r="L472" t="n">
        <v>0</v>
      </c>
      <c r="M472" t="n">
        <v>0</v>
      </c>
      <c r="N472" t="n">
        <v>0</v>
      </c>
      <c r="O472" t="n">
        <v>0</v>
      </c>
      <c r="P472" t="n">
        <v>0</v>
      </c>
      <c r="Q472" t="n">
        <v>0</v>
      </c>
      <c r="R472" s="2" t="inlineStr"/>
    </row>
    <row r="473" ht="15" customHeight="1">
      <c r="A473" t="inlineStr">
        <is>
          <t>A 5655-2025</t>
        </is>
      </c>
      <c r="B473" s="1" t="n">
        <v>45693.72674768518</v>
      </c>
      <c r="C473" s="1" t="n">
        <v>46144</v>
      </c>
      <c r="D473" t="inlineStr">
        <is>
          <t>VÄSTRA GÖTALANDS LÄN</t>
        </is>
      </c>
      <c r="E473" t="inlineStr">
        <is>
          <t>DALS-ED</t>
        </is>
      </c>
      <c r="G473" t="n">
        <v>4.8</v>
      </c>
      <c r="H473" t="n">
        <v>0</v>
      </c>
      <c r="I473" t="n">
        <v>0</v>
      </c>
      <c r="J473" t="n">
        <v>0</v>
      </c>
      <c r="K473" t="n">
        <v>0</v>
      </c>
      <c r="L473" t="n">
        <v>0</v>
      </c>
      <c r="M473" t="n">
        <v>0</v>
      </c>
      <c r="N473" t="n">
        <v>0</v>
      </c>
      <c r="O473" t="n">
        <v>0</v>
      </c>
      <c r="P473" t="n">
        <v>0</v>
      </c>
      <c r="Q473" t="n">
        <v>0</v>
      </c>
      <c r="R473" s="2" t="inlineStr"/>
    </row>
    <row r="474" ht="15" customHeight="1">
      <c r="A474" t="inlineStr">
        <is>
          <t>A 61736-2023</t>
        </is>
      </c>
      <c r="B474" s="1" t="n">
        <v>45265</v>
      </c>
      <c r="C474" s="1" t="n">
        <v>46144</v>
      </c>
      <c r="D474" t="inlineStr">
        <is>
          <t>VÄSTRA GÖTALANDS LÄN</t>
        </is>
      </c>
      <c r="E474" t="inlineStr">
        <is>
          <t>DALS-ED</t>
        </is>
      </c>
      <c r="G474" t="n">
        <v>4.5</v>
      </c>
      <c r="H474" t="n">
        <v>0</v>
      </c>
      <c r="I474" t="n">
        <v>0</v>
      </c>
      <c r="J474" t="n">
        <v>0</v>
      </c>
      <c r="K474" t="n">
        <v>0</v>
      </c>
      <c r="L474" t="n">
        <v>0</v>
      </c>
      <c r="M474" t="n">
        <v>0</v>
      </c>
      <c r="N474" t="n">
        <v>0</v>
      </c>
      <c r="O474" t="n">
        <v>0</v>
      </c>
      <c r="P474" t="n">
        <v>0</v>
      </c>
      <c r="Q474" t="n">
        <v>0</v>
      </c>
      <c r="R474" s="2" t="inlineStr"/>
    </row>
    <row r="475" ht="15" customHeight="1">
      <c r="A475" t="inlineStr">
        <is>
          <t>A 47617-2023</t>
        </is>
      </c>
      <c r="B475" s="1" t="n">
        <v>45198</v>
      </c>
      <c r="C475" s="1" t="n">
        <v>46144</v>
      </c>
      <c r="D475" t="inlineStr">
        <is>
          <t>VÄSTRA GÖTALANDS LÄN</t>
        </is>
      </c>
      <c r="E475" t="inlineStr">
        <is>
          <t>DALS-ED</t>
        </is>
      </c>
      <c r="G475" t="n">
        <v>6</v>
      </c>
      <c r="H475" t="n">
        <v>0</v>
      </c>
      <c r="I475" t="n">
        <v>0</v>
      </c>
      <c r="J475" t="n">
        <v>0</v>
      </c>
      <c r="K475" t="n">
        <v>0</v>
      </c>
      <c r="L475" t="n">
        <v>0</v>
      </c>
      <c r="M475" t="n">
        <v>0</v>
      </c>
      <c r="N475" t="n">
        <v>0</v>
      </c>
      <c r="O475" t="n">
        <v>0</v>
      </c>
      <c r="P475" t="n">
        <v>0</v>
      </c>
      <c r="Q475" t="n">
        <v>0</v>
      </c>
      <c r="R475" s="2" t="inlineStr"/>
    </row>
    <row r="476" ht="15" customHeight="1">
      <c r="A476" t="inlineStr">
        <is>
          <t>A 38392-2022</t>
        </is>
      </c>
      <c r="B476" s="1" t="n">
        <v>44812</v>
      </c>
      <c r="C476" s="1" t="n">
        <v>46144</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36464-2023</t>
        </is>
      </c>
      <c r="B477" s="1" t="n">
        <v>45151</v>
      </c>
      <c r="C477" s="1" t="n">
        <v>46144</v>
      </c>
      <c r="D477" t="inlineStr">
        <is>
          <t>VÄSTRA GÖTALANDS LÄN</t>
        </is>
      </c>
      <c r="E477" t="inlineStr">
        <is>
          <t>DALS-ED</t>
        </is>
      </c>
      <c r="G477" t="n">
        <v>6.2</v>
      </c>
      <c r="H477" t="n">
        <v>0</v>
      </c>
      <c r="I477" t="n">
        <v>0</v>
      </c>
      <c r="J477" t="n">
        <v>0</v>
      </c>
      <c r="K477" t="n">
        <v>0</v>
      </c>
      <c r="L477" t="n">
        <v>0</v>
      </c>
      <c r="M477" t="n">
        <v>0</v>
      </c>
      <c r="N477" t="n">
        <v>0</v>
      </c>
      <c r="O477" t="n">
        <v>0</v>
      </c>
      <c r="P477" t="n">
        <v>0</v>
      </c>
      <c r="Q477" t="n">
        <v>0</v>
      </c>
      <c r="R477" s="2" t="inlineStr"/>
    </row>
    <row r="478" ht="15" customHeight="1">
      <c r="A478" t="inlineStr">
        <is>
          <t>A 2634-2025</t>
        </is>
      </c>
      <c r="B478" s="1" t="n">
        <v>45675.87553240741</v>
      </c>
      <c r="C478" s="1" t="n">
        <v>46144</v>
      </c>
      <c r="D478" t="inlineStr">
        <is>
          <t>VÄSTRA GÖTALANDS LÄN</t>
        </is>
      </c>
      <c r="E478" t="inlineStr">
        <is>
          <t>DALS-ED</t>
        </is>
      </c>
      <c r="G478" t="n">
        <v>2.4</v>
      </c>
      <c r="H478" t="n">
        <v>0</v>
      </c>
      <c r="I478" t="n">
        <v>0</v>
      </c>
      <c r="J478" t="n">
        <v>0</v>
      </c>
      <c r="K478" t="n">
        <v>0</v>
      </c>
      <c r="L478" t="n">
        <v>0</v>
      </c>
      <c r="M478" t="n">
        <v>0</v>
      </c>
      <c r="N478" t="n">
        <v>0</v>
      </c>
      <c r="O478" t="n">
        <v>0</v>
      </c>
      <c r="P478" t="n">
        <v>0</v>
      </c>
      <c r="Q478" t="n">
        <v>0</v>
      </c>
      <c r="R478" s="2" t="inlineStr"/>
    </row>
    <row r="479" ht="15" customHeight="1">
      <c r="A479" t="inlineStr">
        <is>
          <t>A 12561-2025</t>
        </is>
      </c>
      <c r="B479" s="1" t="n">
        <v>45731.49915509259</v>
      </c>
      <c r="C479" s="1" t="n">
        <v>46144</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42676-2024</t>
        </is>
      </c>
      <c r="B480" s="1" t="n">
        <v>45566.37298611111</v>
      </c>
      <c r="C480" s="1" t="n">
        <v>46144</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20948-2025</t>
        </is>
      </c>
      <c r="B481" s="1" t="n">
        <v>45777.435</v>
      </c>
      <c r="C481" s="1" t="n">
        <v>46144</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21185-2025</t>
        </is>
      </c>
      <c r="B482" s="1" t="n">
        <v>45779.45350694445</v>
      </c>
      <c r="C482" s="1" t="n">
        <v>46144</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61487-2022</t>
        </is>
      </c>
      <c r="B483" s="1" t="n">
        <v>44910</v>
      </c>
      <c r="C483" s="1" t="n">
        <v>46144</v>
      </c>
      <c r="D483" t="inlineStr">
        <is>
          <t>VÄSTRA GÖTALANDS LÄN</t>
        </is>
      </c>
      <c r="E483" t="inlineStr">
        <is>
          <t>DALS-ED</t>
        </is>
      </c>
      <c r="F483" t="inlineStr">
        <is>
          <t>Kyrkan</t>
        </is>
      </c>
      <c r="G483" t="n">
        <v>9.4</v>
      </c>
      <c r="H483" t="n">
        <v>0</v>
      </c>
      <c r="I483" t="n">
        <v>0</v>
      </c>
      <c r="J483" t="n">
        <v>0</v>
      </c>
      <c r="K483" t="n">
        <v>0</v>
      </c>
      <c r="L483" t="n">
        <v>0</v>
      </c>
      <c r="M483" t="n">
        <v>0</v>
      </c>
      <c r="N483" t="n">
        <v>0</v>
      </c>
      <c r="O483" t="n">
        <v>0</v>
      </c>
      <c r="P483" t="n">
        <v>0</v>
      </c>
      <c r="Q483" t="n">
        <v>0</v>
      </c>
      <c r="R483" s="2" t="inlineStr"/>
    </row>
    <row r="484" ht="15" customHeight="1">
      <c r="A484" t="inlineStr">
        <is>
          <t>A 21571-2025</t>
        </is>
      </c>
      <c r="B484" s="1" t="n">
        <v>45782.76021990741</v>
      </c>
      <c r="C484" s="1" t="n">
        <v>46144</v>
      </c>
      <c r="D484" t="inlineStr">
        <is>
          <t>VÄSTRA GÖTALANDS LÄN</t>
        </is>
      </c>
      <c r="E484" t="inlineStr">
        <is>
          <t>DALS-ED</t>
        </is>
      </c>
      <c r="G484" t="n">
        <v>2.2</v>
      </c>
      <c r="H484" t="n">
        <v>0</v>
      </c>
      <c r="I484" t="n">
        <v>0</v>
      </c>
      <c r="J484" t="n">
        <v>0</v>
      </c>
      <c r="K484" t="n">
        <v>0</v>
      </c>
      <c r="L484" t="n">
        <v>0</v>
      </c>
      <c r="M484" t="n">
        <v>0</v>
      </c>
      <c r="N484" t="n">
        <v>0</v>
      </c>
      <c r="O484" t="n">
        <v>0</v>
      </c>
      <c r="P484" t="n">
        <v>0</v>
      </c>
      <c r="Q484" t="n">
        <v>0</v>
      </c>
      <c r="R484" s="2" t="inlineStr"/>
    </row>
    <row r="485" ht="15" customHeight="1">
      <c r="A485" t="inlineStr">
        <is>
          <t>A 22293-2025</t>
        </is>
      </c>
      <c r="B485" s="1" t="n">
        <v>45786.34755787037</v>
      </c>
      <c r="C485" s="1" t="n">
        <v>46144</v>
      </c>
      <c r="D485" t="inlineStr">
        <is>
          <t>VÄSTRA GÖTALANDS LÄN</t>
        </is>
      </c>
      <c r="E485" t="inlineStr">
        <is>
          <t>DALS-ED</t>
        </is>
      </c>
      <c r="G485" t="n">
        <v>8</v>
      </c>
      <c r="H485" t="n">
        <v>0</v>
      </c>
      <c r="I485" t="n">
        <v>0</v>
      </c>
      <c r="J485" t="n">
        <v>0</v>
      </c>
      <c r="K485" t="n">
        <v>0</v>
      </c>
      <c r="L485" t="n">
        <v>0</v>
      </c>
      <c r="M485" t="n">
        <v>0</v>
      </c>
      <c r="N485" t="n">
        <v>0</v>
      </c>
      <c r="O485" t="n">
        <v>0</v>
      </c>
      <c r="P485" t="n">
        <v>0</v>
      </c>
      <c r="Q485" t="n">
        <v>0</v>
      </c>
      <c r="R485" s="2" t="inlineStr"/>
    </row>
    <row r="486" ht="15" customHeight="1">
      <c r="A486" t="inlineStr">
        <is>
          <t>A 12548-2023</t>
        </is>
      </c>
      <c r="B486" s="1" t="n">
        <v>45000.33078703703</v>
      </c>
      <c r="C486" s="1" t="n">
        <v>46144</v>
      </c>
      <c r="D486" t="inlineStr">
        <is>
          <t>VÄSTRA GÖTALANDS LÄN</t>
        </is>
      </c>
      <c r="E486" t="inlineStr">
        <is>
          <t>DALS-ED</t>
        </is>
      </c>
      <c r="G486" t="n">
        <v>2.7</v>
      </c>
      <c r="H486" t="n">
        <v>0</v>
      </c>
      <c r="I486" t="n">
        <v>0</v>
      </c>
      <c r="J486" t="n">
        <v>0</v>
      </c>
      <c r="K486" t="n">
        <v>0</v>
      </c>
      <c r="L486" t="n">
        <v>0</v>
      </c>
      <c r="M486" t="n">
        <v>0</v>
      </c>
      <c r="N486" t="n">
        <v>0</v>
      </c>
      <c r="O486" t="n">
        <v>0</v>
      </c>
      <c r="P486" t="n">
        <v>0</v>
      </c>
      <c r="Q486" t="n">
        <v>0</v>
      </c>
      <c r="R486" s="2" t="inlineStr"/>
    </row>
    <row r="487" ht="15" customHeight="1">
      <c r="A487" t="inlineStr">
        <is>
          <t>A 22058-2025</t>
        </is>
      </c>
      <c r="B487" s="1" t="n">
        <v>45785.37185185185</v>
      </c>
      <c r="C487" s="1" t="n">
        <v>46144</v>
      </c>
      <c r="D487" t="inlineStr">
        <is>
          <t>VÄSTRA GÖTALANDS LÄN</t>
        </is>
      </c>
      <c r="E487" t="inlineStr">
        <is>
          <t>DALS-ED</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22077-2025</t>
        </is>
      </c>
      <c r="B488" s="1" t="n">
        <v>45785.42474537037</v>
      </c>
      <c r="C488" s="1" t="n">
        <v>46144</v>
      </c>
      <c r="D488" t="inlineStr">
        <is>
          <t>VÄSTRA GÖTALANDS LÄN</t>
        </is>
      </c>
      <c r="E488" t="inlineStr">
        <is>
          <t>DALS-ED</t>
        </is>
      </c>
      <c r="G488" t="n">
        <v>10.9</v>
      </c>
      <c r="H488" t="n">
        <v>0</v>
      </c>
      <c r="I488" t="n">
        <v>0</v>
      </c>
      <c r="J488" t="n">
        <v>0</v>
      </c>
      <c r="K488" t="n">
        <v>0</v>
      </c>
      <c r="L488" t="n">
        <v>0</v>
      </c>
      <c r="M488" t="n">
        <v>0</v>
      </c>
      <c r="N488" t="n">
        <v>0</v>
      </c>
      <c r="O488" t="n">
        <v>0</v>
      </c>
      <c r="P488" t="n">
        <v>0</v>
      </c>
      <c r="Q488" t="n">
        <v>0</v>
      </c>
      <c r="R488" s="2" t="inlineStr"/>
    </row>
    <row r="489" ht="15" customHeight="1">
      <c r="A489" t="inlineStr">
        <is>
          <t>A 22068-2025</t>
        </is>
      </c>
      <c r="B489" s="1" t="n">
        <v>45785.39237268519</v>
      </c>
      <c r="C489" s="1" t="n">
        <v>46144</v>
      </c>
      <c r="D489" t="inlineStr">
        <is>
          <t>VÄSTRA GÖTALANDS LÄN</t>
        </is>
      </c>
      <c r="E489" t="inlineStr">
        <is>
          <t>DALS-ED</t>
        </is>
      </c>
      <c r="F489" t="inlineStr">
        <is>
          <t>Övriga Aktiebolag</t>
        </is>
      </c>
      <c r="G489" t="n">
        <v>2.1</v>
      </c>
      <c r="H489" t="n">
        <v>0</v>
      </c>
      <c r="I489" t="n">
        <v>0</v>
      </c>
      <c r="J489" t="n">
        <v>0</v>
      </c>
      <c r="K489" t="n">
        <v>0</v>
      </c>
      <c r="L489" t="n">
        <v>0</v>
      </c>
      <c r="M489" t="n">
        <v>0</v>
      </c>
      <c r="N489" t="n">
        <v>0</v>
      </c>
      <c r="O489" t="n">
        <v>0</v>
      </c>
      <c r="P489" t="n">
        <v>0</v>
      </c>
      <c r="Q489" t="n">
        <v>0</v>
      </c>
      <c r="R489" s="2" t="inlineStr"/>
    </row>
    <row r="490" ht="15" customHeight="1">
      <c r="A490" t="inlineStr">
        <is>
          <t>A 22069-2025</t>
        </is>
      </c>
      <c r="B490" s="1" t="n">
        <v>45785.40502314815</v>
      </c>
      <c r="C490" s="1" t="n">
        <v>46144</v>
      </c>
      <c r="D490" t="inlineStr">
        <is>
          <t>VÄSTRA GÖTALANDS LÄN</t>
        </is>
      </c>
      <c r="E490" t="inlineStr">
        <is>
          <t>DALS-ED</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22075-2025</t>
        </is>
      </c>
      <c r="B491" s="1" t="n">
        <v>45785.40935185185</v>
      </c>
      <c r="C491" s="1" t="n">
        <v>46144</v>
      </c>
      <c r="D491" t="inlineStr">
        <is>
          <t>VÄSTRA GÖTALANDS LÄN</t>
        </is>
      </c>
      <c r="E491" t="inlineStr">
        <is>
          <t>DALS-ED</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22059-2025</t>
        </is>
      </c>
      <c r="B492" s="1" t="n">
        <v>45785.37339120371</v>
      </c>
      <c r="C492" s="1" t="n">
        <v>46144</v>
      </c>
      <c r="D492" t="inlineStr">
        <is>
          <t>VÄSTRA GÖTALANDS LÄN</t>
        </is>
      </c>
      <c r="E492" t="inlineStr">
        <is>
          <t>DALS-ED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22906-2025</t>
        </is>
      </c>
      <c r="B493" s="1" t="n">
        <v>45790.41703703703</v>
      </c>
      <c r="C493" s="1" t="n">
        <v>46144</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22847-2025</t>
        </is>
      </c>
      <c r="B494" s="1" t="n">
        <v>45790.32974537037</v>
      </c>
      <c r="C494" s="1" t="n">
        <v>46144</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22901-2025</t>
        </is>
      </c>
      <c r="B495" s="1" t="n">
        <v>45790.41216435185</v>
      </c>
      <c r="C495" s="1" t="n">
        <v>46144</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8888-2025</t>
        </is>
      </c>
      <c r="B496" s="1" t="n">
        <v>45713.39502314815</v>
      </c>
      <c r="C496" s="1" t="n">
        <v>46144</v>
      </c>
      <c r="D496" t="inlineStr">
        <is>
          <t>VÄSTRA GÖTALANDS LÄN</t>
        </is>
      </c>
      <c r="E496" t="inlineStr">
        <is>
          <t>DALS-ED</t>
        </is>
      </c>
      <c r="G496" t="n">
        <v>6.8</v>
      </c>
      <c r="H496" t="n">
        <v>0</v>
      </c>
      <c r="I496" t="n">
        <v>0</v>
      </c>
      <c r="J496" t="n">
        <v>0</v>
      </c>
      <c r="K496" t="n">
        <v>0</v>
      </c>
      <c r="L496" t="n">
        <v>0</v>
      </c>
      <c r="M496" t="n">
        <v>0</v>
      </c>
      <c r="N496" t="n">
        <v>0</v>
      </c>
      <c r="O496" t="n">
        <v>0</v>
      </c>
      <c r="P496" t="n">
        <v>0</v>
      </c>
      <c r="Q496" t="n">
        <v>0</v>
      </c>
      <c r="R496" s="2" t="inlineStr"/>
    </row>
    <row r="497" ht="15" customHeight="1">
      <c r="A497" t="inlineStr">
        <is>
          <t>A 13686-2025</t>
        </is>
      </c>
      <c r="B497" s="1" t="n">
        <v>45737.31084490741</v>
      </c>
      <c r="C497" s="1" t="n">
        <v>46144</v>
      </c>
      <c r="D497" t="inlineStr">
        <is>
          <t>VÄSTRA GÖTALANDS LÄN</t>
        </is>
      </c>
      <c r="E497" t="inlineStr">
        <is>
          <t>DALS-ED</t>
        </is>
      </c>
      <c r="G497" t="n">
        <v>1.5</v>
      </c>
      <c r="H497" t="n">
        <v>0</v>
      </c>
      <c r="I497" t="n">
        <v>0</v>
      </c>
      <c r="J497" t="n">
        <v>0</v>
      </c>
      <c r="K497" t="n">
        <v>0</v>
      </c>
      <c r="L497" t="n">
        <v>0</v>
      </c>
      <c r="M497" t="n">
        <v>0</v>
      </c>
      <c r="N497" t="n">
        <v>0</v>
      </c>
      <c r="O497" t="n">
        <v>0</v>
      </c>
      <c r="P497" t="n">
        <v>0</v>
      </c>
      <c r="Q497" t="n">
        <v>0</v>
      </c>
      <c r="R497" s="2" t="inlineStr"/>
    </row>
    <row r="498" ht="15" customHeight="1">
      <c r="A498" t="inlineStr">
        <is>
          <t>A 14924-2025</t>
        </is>
      </c>
      <c r="B498" s="1" t="n">
        <v>45743.55011574074</v>
      </c>
      <c r="C498" s="1" t="n">
        <v>46144</v>
      </c>
      <c r="D498" t="inlineStr">
        <is>
          <t>VÄSTRA GÖTALANDS LÄN</t>
        </is>
      </c>
      <c r="E498" t="inlineStr">
        <is>
          <t>DALS-ED</t>
        </is>
      </c>
      <c r="G498" t="n">
        <v>0.5</v>
      </c>
      <c r="H498" t="n">
        <v>0</v>
      </c>
      <c r="I498" t="n">
        <v>0</v>
      </c>
      <c r="J498" t="n">
        <v>0</v>
      </c>
      <c r="K498" t="n">
        <v>0</v>
      </c>
      <c r="L498" t="n">
        <v>0</v>
      </c>
      <c r="M498" t="n">
        <v>0</v>
      </c>
      <c r="N498" t="n">
        <v>0</v>
      </c>
      <c r="O498" t="n">
        <v>0</v>
      </c>
      <c r="P498" t="n">
        <v>0</v>
      </c>
      <c r="Q498" t="n">
        <v>0</v>
      </c>
      <c r="R498" s="2" t="inlineStr"/>
    </row>
    <row r="499" ht="15" customHeight="1">
      <c r="A499" t="inlineStr">
        <is>
          <t>A 23375-2025</t>
        </is>
      </c>
      <c r="B499" s="1" t="n">
        <v>45791.78855324074</v>
      </c>
      <c r="C499" s="1" t="n">
        <v>46144</v>
      </c>
      <c r="D499" t="inlineStr">
        <is>
          <t>VÄSTRA GÖTALANDS LÄN</t>
        </is>
      </c>
      <c r="E499" t="inlineStr">
        <is>
          <t>DALS-ED</t>
        </is>
      </c>
      <c r="F499" t="inlineStr">
        <is>
          <t>Övriga Aktiebolag</t>
        </is>
      </c>
      <c r="G499" t="n">
        <v>2.1</v>
      </c>
      <c r="H499" t="n">
        <v>0</v>
      </c>
      <c r="I499" t="n">
        <v>0</v>
      </c>
      <c r="J499" t="n">
        <v>0</v>
      </c>
      <c r="K499" t="n">
        <v>0</v>
      </c>
      <c r="L499" t="n">
        <v>0</v>
      </c>
      <c r="M499" t="n">
        <v>0</v>
      </c>
      <c r="N499" t="n">
        <v>0</v>
      </c>
      <c r="O499" t="n">
        <v>0</v>
      </c>
      <c r="P499" t="n">
        <v>0</v>
      </c>
      <c r="Q499" t="n">
        <v>0</v>
      </c>
      <c r="R499" s="2" t="inlineStr"/>
    </row>
    <row r="500" ht="15" customHeight="1">
      <c r="A500" t="inlineStr">
        <is>
          <t>A 10976-2025</t>
        </is>
      </c>
      <c r="B500" s="1" t="n">
        <v>45723.39030092592</v>
      </c>
      <c r="C500" s="1" t="n">
        <v>46144</v>
      </c>
      <c r="D500" t="inlineStr">
        <is>
          <t>VÄSTRA GÖTALANDS LÄN</t>
        </is>
      </c>
      <c r="E500" t="inlineStr">
        <is>
          <t>DALS-ED</t>
        </is>
      </c>
      <c r="G500" t="n">
        <v>4.1</v>
      </c>
      <c r="H500" t="n">
        <v>0</v>
      </c>
      <c r="I500" t="n">
        <v>0</v>
      </c>
      <c r="J500" t="n">
        <v>0</v>
      </c>
      <c r="K500" t="n">
        <v>0</v>
      </c>
      <c r="L500" t="n">
        <v>0</v>
      </c>
      <c r="M500" t="n">
        <v>0</v>
      </c>
      <c r="N500" t="n">
        <v>0</v>
      </c>
      <c r="O500" t="n">
        <v>0</v>
      </c>
      <c r="P500" t="n">
        <v>0</v>
      </c>
      <c r="Q500" t="n">
        <v>0</v>
      </c>
      <c r="R500" s="2" t="inlineStr"/>
    </row>
    <row r="501" ht="15" customHeight="1">
      <c r="A501" t="inlineStr">
        <is>
          <t>A 10965-2025</t>
        </is>
      </c>
      <c r="B501" s="1" t="n">
        <v>45723.38274305555</v>
      </c>
      <c r="C501" s="1" t="n">
        <v>46144</v>
      </c>
      <c r="D501" t="inlineStr">
        <is>
          <t>VÄSTRA GÖTALANDS LÄN</t>
        </is>
      </c>
      <c r="E501" t="inlineStr">
        <is>
          <t>DALS-ED</t>
        </is>
      </c>
      <c r="G501" t="n">
        <v>13.8</v>
      </c>
      <c r="H501" t="n">
        <v>0</v>
      </c>
      <c r="I501" t="n">
        <v>0</v>
      </c>
      <c r="J501" t="n">
        <v>0</v>
      </c>
      <c r="K501" t="n">
        <v>0</v>
      </c>
      <c r="L501" t="n">
        <v>0</v>
      </c>
      <c r="M501" t="n">
        <v>0</v>
      </c>
      <c r="N501" t="n">
        <v>0</v>
      </c>
      <c r="O501" t="n">
        <v>0</v>
      </c>
      <c r="P501" t="n">
        <v>0</v>
      </c>
      <c r="Q501" t="n">
        <v>0</v>
      </c>
      <c r="R501" s="2" t="inlineStr"/>
    </row>
    <row r="502" ht="15" customHeight="1">
      <c r="A502" t="inlineStr">
        <is>
          <t>A 23636-2025</t>
        </is>
      </c>
      <c r="B502" s="1" t="n">
        <v>45792.67938657408</v>
      </c>
      <c r="C502" s="1" t="n">
        <v>46144</v>
      </c>
      <c r="D502" t="inlineStr">
        <is>
          <t>VÄSTRA GÖTALANDS LÄN</t>
        </is>
      </c>
      <c r="E502" t="inlineStr">
        <is>
          <t>DALS-ED</t>
        </is>
      </c>
      <c r="G502" t="n">
        <v>4.3</v>
      </c>
      <c r="H502" t="n">
        <v>0</v>
      </c>
      <c r="I502" t="n">
        <v>0</v>
      </c>
      <c r="J502" t="n">
        <v>0</v>
      </c>
      <c r="K502" t="n">
        <v>0</v>
      </c>
      <c r="L502" t="n">
        <v>0</v>
      </c>
      <c r="M502" t="n">
        <v>0</v>
      </c>
      <c r="N502" t="n">
        <v>0</v>
      </c>
      <c r="O502" t="n">
        <v>0</v>
      </c>
      <c r="P502" t="n">
        <v>0</v>
      </c>
      <c r="Q502" t="n">
        <v>0</v>
      </c>
      <c r="R502" s="2" t="inlineStr"/>
    </row>
    <row r="503" ht="15" customHeight="1">
      <c r="A503" t="inlineStr">
        <is>
          <t>A 13690-2025</t>
        </is>
      </c>
      <c r="B503" s="1" t="n">
        <v>45737.31587962963</v>
      </c>
      <c r="C503" s="1" t="n">
        <v>46144</v>
      </c>
      <c r="D503" t="inlineStr">
        <is>
          <t>VÄSTRA GÖTALANDS LÄN</t>
        </is>
      </c>
      <c r="E503" t="inlineStr">
        <is>
          <t>DALS-ED</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9975-2025</t>
        </is>
      </c>
      <c r="B504" s="1" t="n">
        <v>45719.39439814815</v>
      </c>
      <c r="C504" s="1" t="n">
        <v>46144</v>
      </c>
      <c r="D504" t="inlineStr">
        <is>
          <t>VÄSTRA GÖTALANDS LÄN</t>
        </is>
      </c>
      <c r="E504" t="inlineStr">
        <is>
          <t>DALS-ED</t>
        </is>
      </c>
      <c r="G504" t="n">
        <v>3.1</v>
      </c>
      <c r="H504" t="n">
        <v>0</v>
      </c>
      <c r="I504" t="n">
        <v>0</v>
      </c>
      <c r="J504" t="n">
        <v>0</v>
      </c>
      <c r="K504" t="n">
        <v>0</v>
      </c>
      <c r="L504" t="n">
        <v>0</v>
      </c>
      <c r="M504" t="n">
        <v>0</v>
      </c>
      <c r="N504" t="n">
        <v>0</v>
      </c>
      <c r="O504" t="n">
        <v>0</v>
      </c>
      <c r="P504" t="n">
        <v>0</v>
      </c>
      <c r="Q504" t="n">
        <v>0</v>
      </c>
      <c r="R504" s="2" t="inlineStr"/>
    </row>
    <row r="505" ht="15" customHeight="1">
      <c r="A505" t="inlineStr">
        <is>
          <t>A 8875-2025</t>
        </is>
      </c>
      <c r="B505" s="1" t="n">
        <v>45713.37586805555</v>
      </c>
      <c r="C505" s="1" t="n">
        <v>46144</v>
      </c>
      <c r="D505" t="inlineStr">
        <is>
          <t>VÄSTRA GÖTALANDS LÄN</t>
        </is>
      </c>
      <c r="E505" t="inlineStr">
        <is>
          <t>DALS-ED</t>
        </is>
      </c>
      <c r="G505" t="n">
        <v>2.7</v>
      </c>
      <c r="H505" t="n">
        <v>0</v>
      </c>
      <c r="I505" t="n">
        <v>0</v>
      </c>
      <c r="J505" t="n">
        <v>0</v>
      </c>
      <c r="K505" t="n">
        <v>0</v>
      </c>
      <c r="L505" t="n">
        <v>0</v>
      </c>
      <c r="M505" t="n">
        <v>0</v>
      </c>
      <c r="N505" t="n">
        <v>0</v>
      </c>
      <c r="O505" t="n">
        <v>0</v>
      </c>
      <c r="P505" t="n">
        <v>0</v>
      </c>
      <c r="Q505" t="n">
        <v>0</v>
      </c>
      <c r="R505" s="2" t="inlineStr"/>
    </row>
    <row r="506" ht="15" customHeight="1">
      <c r="A506" t="inlineStr">
        <is>
          <t>A 13667-2025</t>
        </is>
      </c>
      <c r="B506" s="1" t="n">
        <v>45736.84825231481</v>
      </c>
      <c r="C506" s="1" t="n">
        <v>46144</v>
      </c>
      <c r="D506" t="inlineStr">
        <is>
          <t>VÄSTRA GÖTALANDS LÄN</t>
        </is>
      </c>
      <c r="E506" t="inlineStr">
        <is>
          <t>DALS-ED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14909-2025</t>
        </is>
      </c>
      <c r="B507" s="1" t="n">
        <v>45743.52303240741</v>
      </c>
      <c r="C507" s="1" t="n">
        <v>46144</v>
      </c>
      <c r="D507" t="inlineStr">
        <is>
          <t>VÄSTRA GÖTALANDS LÄN</t>
        </is>
      </c>
      <c r="E507" t="inlineStr">
        <is>
          <t>DALS-ED</t>
        </is>
      </c>
      <c r="G507" t="n">
        <v>1.2</v>
      </c>
      <c r="H507" t="n">
        <v>0</v>
      </c>
      <c r="I507" t="n">
        <v>0</v>
      </c>
      <c r="J507" t="n">
        <v>0</v>
      </c>
      <c r="K507" t="n">
        <v>0</v>
      </c>
      <c r="L507" t="n">
        <v>0</v>
      </c>
      <c r="M507" t="n">
        <v>0</v>
      </c>
      <c r="N507" t="n">
        <v>0</v>
      </c>
      <c r="O507" t="n">
        <v>0</v>
      </c>
      <c r="P507" t="n">
        <v>0</v>
      </c>
      <c r="Q507" t="n">
        <v>0</v>
      </c>
      <c r="R507" s="2" t="inlineStr"/>
    </row>
    <row r="508" ht="15" customHeight="1">
      <c r="A508" t="inlineStr">
        <is>
          <t>A 14918-2025</t>
        </is>
      </c>
      <c r="B508" s="1" t="n">
        <v>45743.53940972222</v>
      </c>
      <c r="C508" s="1" t="n">
        <v>46144</v>
      </c>
      <c r="D508" t="inlineStr">
        <is>
          <t>VÄSTRA GÖTALANDS LÄN</t>
        </is>
      </c>
      <c r="E508" t="inlineStr">
        <is>
          <t>DALS-ED</t>
        </is>
      </c>
      <c r="G508" t="n">
        <v>1.3</v>
      </c>
      <c r="H508" t="n">
        <v>0</v>
      </c>
      <c r="I508" t="n">
        <v>0</v>
      </c>
      <c r="J508" t="n">
        <v>0</v>
      </c>
      <c r="K508" t="n">
        <v>0</v>
      </c>
      <c r="L508" t="n">
        <v>0</v>
      </c>
      <c r="M508" t="n">
        <v>0</v>
      </c>
      <c r="N508" t="n">
        <v>0</v>
      </c>
      <c r="O508" t="n">
        <v>0</v>
      </c>
      <c r="P508" t="n">
        <v>0</v>
      </c>
      <c r="Q508" t="n">
        <v>0</v>
      </c>
      <c r="R508" s="2" t="inlineStr"/>
    </row>
    <row r="509" ht="15" customHeight="1">
      <c r="A509" t="inlineStr">
        <is>
          <t>A 14934-2025</t>
        </is>
      </c>
      <c r="B509" s="1" t="n">
        <v>45743.55642361111</v>
      </c>
      <c r="C509" s="1" t="n">
        <v>46144</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14914-2025</t>
        </is>
      </c>
      <c r="B510" s="1" t="n">
        <v>45743.5306712963</v>
      </c>
      <c r="C510" s="1" t="n">
        <v>46144</v>
      </c>
      <c r="D510" t="inlineStr">
        <is>
          <t>VÄSTRA GÖTALANDS LÄN</t>
        </is>
      </c>
      <c r="E510" t="inlineStr">
        <is>
          <t>DALS-ED</t>
        </is>
      </c>
      <c r="G510" t="n">
        <v>1.6</v>
      </c>
      <c r="H510" t="n">
        <v>0</v>
      </c>
      <c r="I510" t="n">
        <v>0</v>
      </c>
      <c r="J510" t="n">
        <v>0</v>
      </c>
      <c r="K510" t="n">
        <v>0</v>
      </c>
      <c r="L510" t="n">
        <v>0</v>
      </c>
      <c r="M510" t="n">
        <v>0</v>
      </c>
      <c r="N510" t="n">
        <v>0</v>
      </c>
      <c r="O510" t="n">
        <v>0</v>
      </c>
      <c r="P510" t="n">
        <v>0</v>
      </c>
      <c r="Q510" t="n">
        <v>0</v>
      </c>
      <c r="R510" s="2" t="inlineStr"/>
    </row>
    <row r="511" ht="15" customHeight="1">
      <c r="A511" t="inlineStr">
        <is>
          <t>A 13670-2025</t>
        </is>
      </c>
      <c r="B511" s="1" t="n">
        <v>45736.8590625</v>
      </c>
      <c r="C511" s="1" t="n">
        <v>46144</v>
      </c>
      <c r="D511" t="inlineStr">
        <is>
          <t>VÄSTRA GÖTALANDS LÄN</t>
        </is>
      </c>
      <c r="E511" t="inlineStr">
        <is>
          <t>DALS-ED</t>
        </is>
      </c>
      <c r="F511" t="inlineStr">
        <is>
          <t>Övriga Aktiebolag</t>
        </is>
      </c>
      <c r="G511" t="n">
        <v>3.7</v>
      </c>
      <c r="H511" t="n">
        <v>0</v>
      </c>
      <c r="I511" t="n">
        <v>0</v>
      </c>
      <c r="J511" t="n">
        <v>0</v>
      </c>
      <c r="K511" t="n">
        <v>0</v>
      </c>
      <c r="L511" t="n">
        <v>0</v>
      </c>
      <c r="M511" t="n">
        <v>0</v>
      </c>
      <c r="N511" t="n">
        <v>0</v>
      </c>
      <c r="O511" t="n">
        <v>0</v>
      </c>
      <c r="P511" t="n">
        <v>0</v>
      </c>
      <c r="Q511" t="n">
        <v>0</v>
      </c>
      <c r="R511" s="2" t="inlineStr"/>
    </row>
    <row r="512" ht="15" customHeight="1">
      <c r="A512" t="inlineStr">
        <is>
          <t>A 13684-2025</t>
        </is>
      </c>
      <c r="B512" s="1" t="n">
        <v>45737.30388888889</v>
      </c>
      <c r="C512" s="1" t="n">
        <v>46144</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23956-2025</t>
        </is>
      </c>
      <c r="B513" s="1" t="n">
        <v>45796.36421296297</v>
      </c>
      <c r="C513" s="1" t="n">
        <v>46144</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23962-2025</t>
        </is>
      </c>
      <c r="B514" s="1" t="n">
        <v>45796.36909722222</v>
      </c>
      <c r="C514" s="1" t="n">
        <v>46144</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24466-2025</t>
        </is>
      </c>
      <c r="B515" s="1" t="n">
        <v>45798.35645833334</v>
      </c>
      <c r="C515" s="1" t="n">
        <v>46144</v>
      </c>
      <c r="D515" t="inlineStr">
        <is>
          <t>VÄSTRA GÖTALANDS LÄN</t>
        </is>
      </c>
      <c r="E515" t="inlineStr">
        <is>
          <t>DALS-ED</t>
        </is>
      </c>
      <c r="G515" t="n">
        <v>0.4</v>
      </c>
      <c r="H515" t="n">
        <v>0</v>
      </c>
      <c r="I515" t="n">
        <v>0</v>
      </c>
      <c r="J515" t="n">
        <v>0</v>
      </c>
      <c r="K515" t="n">
        <v>0</v>
      </c>
      <c r="L515" t="n">
        <v>0</v>
      </c>
      <c r="M515" t="n">
        <v>0</v>
      </c>
      <c r="N515" t="n">
        <v>0</v>
      </c>
      <c r="O515" t="n">
        <v>0</v>
      </c>
      <c r="P515" t="n">
        <v>0</v>
      </c>
      <c r="Q515" t="n">
        <v>0</v>
      </c>
      <c r="R515" s="2" t="inlineStr"/>
    </row>
    <row r="516" ht="15" customHeight="1">
      <c r="A516" t="inlineStr">
        <is>
          <t>A 981-2025</t>
        </is>
      </c>
      <c r="B516" s="1" t="n">
        <v>45666.41128472222</v>
      </c>
      <c r="C516" s="1" t="n">
        <v>46144</v>
      </c>
      <c r="D516" t="inlineStr">
        <is>
          <t>VÄSTRA GÖTALANDS LÄN</t>
        </is>
      </c>
      <c r="E516" t="inlineStr">
        <is>
          <t>DALS-ED</t>
        </is>
      </c>
      <c r="G516" t="n">
        <v>2.7</v>
      </c>
      <c r="H516" t="n">
        <v>0</v>
      </c>
      <c r="I516" t="n">
        <v>0</v>
      </c>
      <c r="J516" t="n">
        <v>0</v>
      </c>
      <c r="K516" t="n">
        <v>0</v>
      </c>
      <c r="L516" t="n">
        <v>0</v>
      </c>
      <c r="M516" t="n">
        <v>0</v>
      </c>
      <c r="N516" t="n">
        <v>0</v>
      </c>
      <c r="O516" t="n">
        <v>0</v>
      </c>
      <c r="P516" t="n">
        <v>0</v>
      </c>
      <c r="Q516" t="n">
        <v>0</v>
      </c>
      <c r="R516" s="2" t="inlineStr"/>
    </row>
    <row r="517" ht="15" customHeight="1">
      <c r="A517" t="inlineStr">
        <is>
          <t>A 24459-2025</t>
        </is>
      </c>
      <c r="B517" s="1" t="n">
        <v>45798.3478587963</v>
      </c>
      <c r="C517" s="1" t="n">
        <v>46144</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45328.46517361111</v>
      </c>
      <c r="C518" s="1" t="n">
        <v>46144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1738-2025</t>
        </is>
      </c>
      <c r="B519" s="1" t="n">
        <v>45671.39305555556</v>
      </c>
      <c r="C519" s="1" t="n">
        <v>46144</v>
      </c>
      <c r="D519" t="inlineStr">
        <is>
          <t>VÄSTRA GÖTALANDS LÄN</t>
        </is>
      </c>
      <c r="E519" t="inlineStr">
        <is>
          <t>DALS-ED</t>
        </is>
      </c>
      <c r="G519" t="n">
        <v>3.5</v>
      </c>
      <c r="H519" t="n">
        <v>0</v>
      </c>
      <c r="I519" t="n">
        <v>0</v>
      </c>
      <c r="J519" t="n">
        <v>0</v>
      </c>
      <c r="K519" t="n">
        <v>0</v>
      </c>
      <c r="L519" t="n">
        <v>0</v>
      </c>
      <c r="M519" t="n">
        <v>0</v>
      </c>
      <c r="N519" t="n">
        <v>0</v>
      </c>
      <c r="O519" t="n">
        <v>0</v>
      </c>
      <c r="P519" t="n">
        <v>0</v>
      </c>
      <c r="Q519" t="n">
        <v>0</v>
      </c>
      <c r="R519" s="2" t="inlineStr"/>
    </row>
    <row r="520" ht="15" customHeight="1">
      <c r="A520" t="inlineStr">
        <is>
          <t>A 24788-2025</t>
        </is>
      </c>
      <c r="B520" s="1" t="n">
        <v>45799.42884259259</v>
      </c>
      <c r="C520" s="1" t="n">
        <v>46144</v>
      </c>
      <c r="D520" t="inlineStr">
        <is>
          <t>VÄSTRA GÖTALANDS LÄN</t>
        </is>
      </c>
      <c r="E520" t="inlineStr">
        <is>
          <t>DALS-ED</t>
        </is>
      </c>
      <c r="G520" t="n">
        <v>4.1</v>
      </c>
      <c r="H520" t="n">
        <v>0</v>
      </c>
      <c r="I520" t="n">
        <v>0</v>
      </c>
      <c r="J520" t="n">
        <v>0</v>
      </c>
      <c r="K520" t="n">
        <v>0</v>
      </c>
      <c r="L520" t="n">
        <v>0</v>
      </c>
      <c r="M520" t="n">
        <v>0</v>
      </c>
      <c r="N520" t="n">
        <v>0</v>
      </c>
      <c r="O520" t="n">
        <v>0</v>
      </c>
      <c r="P520" t="n">
        <v>0</v>
      </c>
      <c r="Q520" t="n">
        <v>0</v>
      </c>
      <c r="R520" s="2" t="inlineStr"/>
    </row>
    <row r="521" ht="15" customHeight="1">
      <c r="A521" t="inlineStr">
        <is>
          <t>A 25633-2025</t>
        </is>
      </c>
      <c r="B521" s="1" t="n">
        <v>45803.59505787037</v>
      </c>
      <c r="C521" s="1" t="n">
        <v>46144</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25795-2025</t>
        </is>
      </c>
      <c r="B522" s="1" t="n">
        <v>45804.39546296297</v>
      </c>
      <c r="C522" s="1" t="n">
        <v>46144</v>
      </c>
      <c r="D522" t="inlineStr">
        <is>
          <t>VÄSTRA GÖTALANDS LÄN</t>
        </is>
      </c>
      <c r="E522" t="inlineStr">
        <is>
          <t>DALS-ED</t>
        </is>
      </c>
      <c r="G522" t="n">
        <v>1.6</v>
      </c>
      <c r="H522" t="n">
        <v>0</v>
      </c>
      <c r="I522" t="n">
        <v>0</v>
      </c>
      <c r="J522" t="n">
        <v>0</v>
      </c>
      <c r="K522" t="n">
        <v>0</v>
      </c>
      <c r="L522" t="n">
        <v>0</v>
      </c>
      <c r="M522" t="n">
        <v>0</v>
      </c>
      <c r="N522" t="n">
        <v>0</v>
      </c>
      <c r="O522" t="n">
        <v>0</v>
      </c>
      <c r="P522" t="n">
        <v>0</v>
      </c>
      <c r="Q522" t="n">
        <v>0</v>
      </c>
      <c r="R522" s="2" t="inlineStr"/>
    </row>
    <row r="523" ht="15" customHeight="1">
      <c r="A523" t="inlineStr">
        <is>
          <t>A 26864-2024</t>
        </is>
      </c>
      <c r="B523" s="1" t="n">
        <v>45470.60967592592</v>
      </c>
      <c r="C523" s="1" t="n">
        <v>46144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26860-2025</t>
        </is>
      </c>
      <c r="B524" s="1" t="n">
        <v>45810.68019675926</v>
      </c>
      <c r="C524" s="1" t="n">
        <v>46144</v>
      </c>
      <c r="D524" t="inlineStr">
        <is>
          <t>VÄSTRA GÖTALANDS LÄN</t>
        </is>
      </c>
      <c r="E524" t="inlineStr">
        <is>
          <t>DALS-ED</t>
        </is>
      </c>
      <c r="G524" t="n">
        <v>1.8</v>
      </c>
      <c r="H524" t="n">
        <v>0</v>
      </c>
      <c r="I524" t="n">
        <v>0</v>
      </c>
      <c r="J524" t="n">
        <v>0</v>
      </c>
      <c r="K524" t="n">
        <v>0</v>
      </c>
      <c r="L524" t="n">
        <v>0</v>
      </c>
      <c r="M524" t="n">
        <v>0</v>
      </c>
      <c r="N524" t="n">
        <v>0</v>
      </c>
      <c r="O524" t="n">
        <v>0</v>
      </c>
      <c r="P524" t="n">
        <v>0</v>
      </c>
      <c r="Q524" t="n">
        <v>0</v>
      </c>
      <c r="R524" s="2" t="inlineStr"/>
    </row>
    <row r="525" ht="15" customHeight="1">
      <c r="A525" t="inlineStr">
        <is>
          <t>A 27152-2025</t>
        </is>
      </c>
      <c r="B525" s="1" t="n">
        <v>45812.32118055555</v>
      </c>
      <c r="C525" s="1" t="n">
        <v>46144</v>
      </c>
      <c r="D525" t="inlineStr">
        <is>
          <t>VÄSTRA GÖTALANDS LÄN</t>
        </is>
      </c>
      <c r="E525" t="inlineStr">
        <is>
          <t>DALS-ED</t>
        </is>
      </c>
      <c r="G525" t="n">
        <v>0.3</v>
      </c>
      <c r="H525" t="n">
        <v>0</v>
      </c>
      <c r="I525" t="n">
        <v>0</v>
      </c>
      <c r="J525" t="n">
        <v>0</v>
      </c>
      <c r="K525" t="n">
        <v>0</v>
      </c>
      <c r="L525" t="n">
        <v>0</v>
      </c>
      <c r="M525" t="n">
        <v>0</v>
      </c>
      <c r="N525" t="n">
        <v>0</v>
      </c>
      <c r="O525" t="n">
        <v>0</v>
      </c>
      <c r="P525" t="n">
        <v>0</v>
      </c>
      <c r="Q525" t="n">
        <v>0</v>
      </c>
      <c r="R525" s="2" t="inlineStr"/>
    </row>
    <row r="526" ht="15" customHeight="1">
      <c r="A526" t="inlineStr">
        <is>
          <t>A 26899-2025</t>
        </is>
      </c>
      <c r="B526" s="1" t="n">
        <v>45811.34417824074</v>
      </c>
      <c r="C526" s="1" t="n">
        <v>46144</v>
      </c>
      <c r="D526" t="inlineStr">
        <is>
          <t>VÄSTRA GÖTALANDS LÄN</t>
        </is>
      </c>
      <c r="E526" t="inlineStr">
        <is>
          <t>DALS-ED</t>
        </is>
      </c>
      <c r="G526" t="n">
        <v>7.2</v>
      </c>
      <c r="H526" t="n">
        <v>0</v>
      </c>
      <c r="I526" t="n">
        <v>0</v>
      </c>
      <c r="J526" t="n">
        <v>0</v>
      </c>
      <c r="K526" t="n">
        <v>0</v>
      </c>
      <c r="L526" t="n">
        <v>0</v>
      </c>
      <c r="M526" t="n">
        <v>0</v>
      </c>
      <c r="N526" t="n">
        <v>0</v>
      </c>
      <c r="O526" t="n">
        <v>0</v>
      </c>
      <c r="P526" t="n">
        <v>0</v>
      </c>
      <c r="Q526" t="n">
        <v>0</v>
      </c>
      <c r="R526" s="2" t="inlineStr"/>
    </row>
    <row r="527" ht="15" customHeight="1">
      <c r="A527" t="inlineStr">
        <is>
          <t>A 27907-2025</t>
        </is>
      </c>
      <c r="B527" s="1" t="n">
        <v>45817.47203703703</v>
      </c>
      <c r="C527" s="1" t="n">
        <v>46144</v>
      </c>
      <c r="D527" t="inlineStr">
        <is>
          <t>VÄSTRA GÖTALANDS LÄN</t>
        </is>
      </c>
      <c r="E527" t="inlineStr">
        <is>
          <t>DALS-ED</t>
        </is>
      </c>
      <c r="G527" t="n">
        <v>5.2</v>
      </c>
      <c r="H527" t="n">
        <v>0</v>
      </c>
      <c r="I527" t="n">
        <v>0</v>
      </c>
      <c r="J527" t="n">
        <v>0</v>
      </c>
      <c r="K527" t="n">
        <v>0</v>
      </c>
      <c r="L527" t="n">
        <v>0</v>
      </c>
      <c r="M527" t="n">
        <v>0</v>
      </c>
      <c r="N527" t="n">
        <v>0</v>
      </c>
      <c r="O527" t="n">
        <v>0</v>
      </c>
      <c r="P527" t="n">
        <v>0</v>
      </c>
      <c r="Q527" t="n">
        <v>0</v>
      </c>
      <c r="R527" s="2" t="inlineStr"/>
    </row>
    <row r="528" ht="15" customHeight="1">
      <c r="A528" t="inlineStr">
        <is>
          <t>A 28414-2025</t>
        </is>
      </c>
      <c r="B528" s="1" t="n">
        <v>45819.35086805555</v>
      </c>
      <c r="C528" s="1" t="n">
        <v>46144</v>
      </c>
      <c r="D528" t="inlineStr">
        <is>
          <t>VÄSTRA GÖTALANDS LÄN</t>
        </is>
      </c>
      <c r="E528" t="inlineStr">
        <is>
          <t>DALS-ED</t>
        </is>
      </c>
      <c r="G528" t="n">
        <v>1.3</v>
      </c>
      <c r="H528" t="n">
        <v>0</v>
      </c>
      <c r="I528" t="n">
        <v>0</v>
      </c>
      <c r="J528" t="n">
        <v>0</v>
      </c>
      <c r="K528" t="n">
        <v>0</v>
      </c>
      <c r="L528" t="n">
        <v>0</v>
      </c>
      <c r="M528" t="n">
        <v>0</v>
      </c>
      <c r="N528" t="n">
        <v>0</v>
      </c>
      <c r="O528" t="n">
        <v>0</v>
      </c>
      <c r="P528" t="n">
        <v>0</v>
      </c>
      <c r="Q528" t="n">
        <v>0</v>
      </c>
      <c r="R528" s="2" t="inlineStr"/>
    </row>
    <row r="529" ht="15" customHeight="1">
      <c r="A529" t="inlineStr">
        <is>
          <t>A 29692-2025</t>
        </is>
      </c>
      <c r="B529" s="1" t="n">
        <v>45825.54019675926</v>
      </c>
      <c r="C529" s="1" t="n">
        <v>46144</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29686-2025</t>
        </is>
      </c>
      <c r="B530" s="1" t="n">
        <v>45825.51634259259</v>
      </c>
      <c r="C530" s="1" t="n">
        <v>46144</v>
      </c>
      <c r="D530" t="inlineStr">
        <is>
          <t>VÄSTRA GÖTALANDS LÄN</t>
        </is>
      </c>
      <c r="E530" t="inlineStr">
        <is>
          <t>DALS-ED</t>
        </is>
      </c>
      <c r="G530" t="n">
        <v>3.7</v>
      </c>
      <c r="H530" t="n">
        <v>0</v>
      </c>
      <c r="I530" t="n">
        <v>0</v>
      </c>
      <c r="J530" t="n">
        <v>0</v>
      </c>
      <c r="K530" t="n">
        <v>0</v>
      </c>
      <c r="L530" t="n">
        <v>0</v>
      </c>
      <c r="M530" t="n">
        <v>0</v>
      </c>
      <c r="N530" t="n">
        <v>0</v>
      </c>
      <c r="O530" t="n">
        <v>0</v>
      </c>
      <c r="P530" t="n">
        <v>0</v>
      </c>
      <c r="Q530" t="n">
        <v>0</v>
      </c>
      <c r="R530" s="2" t="inlineStr"/>
    </row>
    <row r="531" ht="15" customHeight="1">
      <c r="A531" t="inlineStr">
        <is>
          <t>A 29827-2025</t>
        </is>
      </c>
      <c r="B531" s="1" t="n">
        <v>45825.88684027778</v>
      </c>
      <c r="C531" s="1" t="n">
        <v>46144</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29556-2025</t>
        </is>
      </c>
      <c r="B532" s="1" t="n">
        <v>45825.35626157407</v>
      </c>
      <c r="C532" s="1" t="n">
        <v>46144</v>
      </c>
      <c r="D532" t="inlineStr">
        <is>
          <t>VÄSTRA GÖTALANDS LÄN</t>
        </is>
      </c>
      <c r="E532" t="inlineStr">
        <is>
          <t>DALS-ED</t>
        </is>
      </c>
      <c r="G532" t="n">
        <v>5.9</v>
      </c>
      <c r="H532" t="n">
        <v>0</v>
      </c>
      <c r="I532" t="n">
        <v>0</v>
      </c>
      <c r="J532" t="n">
        <v>0</v>
      </c>
      <c r="K532" t="n">
        <v>0</v>
      </c>
      <c r="L532" t="n">
        <v>0</v>
      </c>
      <c r="M532" t="n">
        <v>0</v>
      </c>
      <c r="N532" t="n">
        <v>0</v>
      </c>
      <c r="O532" t="n">
        <v>0</v>
      </c>
      <c r="P532" t="n">
        <v>0</v>
      </c>
      <c r="Q532" t="n">
        <v>0</v>
      </c>
      <c r="R532" s="2" t="inlineStr"/>
    </row>
    <row r="533" ht="15" customHeight="1">
      <c r="A533" t="inlineStr">
        <is>
          <t>A 29790-2025</t>
        </is>
      </c>
      <c r="B533" s="1" t="n">
        <v>45825.66005787037</v>
      </c>
      <c r="C533" s="1" t="n">
        <v>46144</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30708-2025</t>
        </is>
      </c>
      <c r="B534" s="1" t="n">
        <v>45831.55090277778</v>
      </c>
      <c r="C534" s="1" t="n">
        <v>46144</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31150-2025</t>
        </is>
      </c>
      <c r="B535" s="1" t="n">
        <v>45832.64126157408</v>
      </c>
      <c r="C535" s="1" t="n">
        <v>46144</v>
      </c>
      <c r="D535" t="inlineStr">
        <is>
          <t>VÄSTRA GÖTALANDS LÄN</t>
        </is>
      </c>
      <c r="E535" t="inlineStr">
        <is>
          <t>DALS-ED</t>
        </is>
      </c>
      <c r="F535" t="inlineStr">
        <is>
          <t>Övriga Aktiebolag</t>
        </is>
      </c>
      <c r="G535" t="n">
        <v>3.4</v>
      </c>
      <c r="H535" t="n">
        <v>0</v>
      </c>
      <c r="I535" t="n">
        <v>0</v>
      </c>
      <c r="J535" t="n">
        <v>0</v>
      </c>
      <c r="K535" t="n">
        <v>0</v>
      </c>
      <c r="L535" t="n">
        <v>0</v>
      </c>
      <c r="M535" t="n">
        <v>0</v>
      </c>
      <c r="N535" t="n">
        <v>0</v>
      </c>
      <c r="O535" t="n">
        <v>0</v>
      </c>
      <c r="P535" t="n">
        <v>0</v>
      </c>
      <c r="Q535" t="n">
        <v>0</v>
      </c>
      <c r="R535" s="2" t="inlineStr"/>
    </row>
    <row r="536" ht="15" customHeight="1">
      <c r="A536" t="inlineStr">
        <is>
          <t>A 31879-2025</t>
        </is>
      </c>
      <c r="B536" s="1" t="n">
        <v>45834.65471064814</v>
      </c>
      <c r="C536" s="1" t="n">
        <v>46144</v>
      </c>
      <c r="D536" t="inlineStr">
        <is>
          <t>VÄSTRA GÖTALANDS LÄN</t>
        </is>
      </c>
      <c r="E536" t="inlineStr">
        <is>
          <t>DALS-ED</t>
        </is>
      </c>
      <c r="G536" t="n">
        <v>4.3</v>
      </c>
      <c r="H536" t="n">
        <v>0</v>
      </c>
      <c r="I536" t="n">
        <v>0</v>
      </c>
      <c r="J536" t="n">
        <v>0</v>
      </c>
      <c r="K536" t="n">
        <v>0</v>
      </c>
      <c r="L536" t="n">
        <v>0</v>
      </c>
      <c r="M536" t="n">
        <v>0</v>
      </c>
      <c r="N536" t="n">
        <v>0</v>
      </c>
      <c r="O536" t="n">
        <v>0</v>
      </c>
      <c r="P536" t="n">
        <v>0</v>
      </c>
      <c r="Q536" t="n">
        <v>0</v>
      </c>
      <c r="R536" s="2" t="inlineStr"/>
    </row>
    <row r="537" ht="15" customHeight="1">
      <c r="A537" t="inlineStr">
        <is>
          <t>A 31871-2025</t>
        </is>
      </c>
      <c r="B537" s="1" t="n">
        <v>45834.64814814815</v>
      </c>
      <c r="C537" s="1" t="n">
        <v>46144</v>
      </c>
      <c r="D537" t="inlineStr">
        <is>
          <t>VÄSTRA GÖTALANDS LÄN</t>
        </is>
      </c>
      <c r="E537" t="inlineStr">
        <is>
          <t>DALS-ED</t>
        </is>
      </c>
      <c r="G537" t="n">
        <v>7.1</v>
      </c>
      <c r="H537" t="n">
        <v>0</v>
      </c>
      <c r="I537" t="n">
        <v>0</v>
      </c>
      <c r="J537" t="n">
        <v>0</v>
      </c>
      <c r="K537" t="n">
        <v>0</v>
      </c>
      <c r="L537" t="n">
        <v>0</v>
      </c>
      <c r="M537" t="n">
        <v>0</v>
      </c>
      <c r="N537" t="n">
        <v>0</v>
      </c>
      <c r="O537" t="n">
        <v>0</v>
      </c>
      <c r="P537" t="n">
        <v>0</v>
      </c>
      <c r="Q537" t="n">
        <v>0</v>
      </c>
      <c r="R537" s="2" t="inlineStr"/>
    </row>
    <row r="538" ht="15" customHeight="1">
      <c r="A538" t="inlineStr">
        <is>
          <t>A 32770-2025</t>
        </is>
      </c>
      <c r="B538" s="1" t="n">
        <v>45839.45863425926</v>
      </c>
      <c r="C538" s="1" t="n">
        <v>46144</v>
      </c>
      <c r="D538" t="inlineStr">
        <is>
          <t>VÄSTRA GÖTALANDS LÄN</t>
        </is>
      </c>
      <c r="E538" t="inlineStr">
        <is>
          <t>DALS-ED</t>
        </is>
      </c>
      <c r="F538" t="inlineStr">
        <is>
          <t>Övriga Aktiebolag</t>
        </is>
      </c>
      <c r="G538" t="n">
        <v>6.3</v>
      </c>
      <c r="H538" t="n">
        <v>0</v>
      </c>
      <c r="I538" t="n">
        <v>0</v>
      </c>
      <c r="J538" t="n">
        <v>0</v>
      </c>
      <c r="K538" t="n">
        <v>0</v>
      </c>
      <c r="L538" t="n">
        <v>0</v>
      </c>
      <c r="M538" t="n">
        <v>0</v>
      </c>
      <c r="N538" t="n">
        <v>0</v>
      </c>
      <c r="O538" t="n">
        <v>0</v>
      </c>
      <c r="P538" t="n">
        <v>0</v>
      </c>
      <c r="Q538" t="n">
        <v>0</v>
      </c>
      <c r="R538" s="2" t="inlineStr"/>
    </row>
    <row r="539" ht="15" customHeight="1">
      <c r="A539" t="inlineStr">
        <is>
          <t>A 33169-2025</t>
        </is>
      </c>
      <c r="B539" s="1" t="n">
        <v>45840.58173611111</v>
      </c>
      <c r="C539" s="1" t="n">
        <v>46144</v>
      </c>
      <c r="D539" t="inlineStr">
        <is>
          <t>VÄSTRA GÖTALANDS LÄN</t>
        </is>
      </c>
      <c r="E539" t="inlineStr">
        <is>
          <t>DALS-ED</t>
        </is>
      </c>
      <c r="G539" t="n">
        <v>4.4</v>
      </c>
      <c r="H539" t="n">
        <v>0</v>
      </c>
      <c r="I539" t="n">
        <v>0</v>
      </c>
      <c r="J539" t="n">
        <v>0</v>
      </c>
      <c r="K539" t="n">
        <v>0</v>
      </c>
      <c r="L539" t="n">
        <v>0</v>
      </c>
      <c r="M539" t="n">
        <v>0</v>
      </c>
      <c r="N539" t="n">
        <v>0</v>
      </c>
      <c r="O539" t="n">
        <v>0</v>
      </c>
      <c r="P539" t="n">
        <v>0</v>
      </c>
      <c r="Q539" t="n">
        <v>0</v>
      </c>
      <c r="R539" s="2" t="inlineStr"/>
    </row>
    <row r="540" ht="15" customHeight="1">
      <c r="A540" t="inlineStr">
        <is>
          <t>A 33172-2025</t>
        </is>
      </c>
      <c r="B540" s="1" t="n">
        <v>45840.58383101852</v>
      </c>
      <c r="C540" s="1" t="n">
        <v>46144</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34380-2025</t>
        </is>
      </c>
      <c r="B541" s="1" t="n">
        <v>45846.5428587963</v>
      </c>
      <c r="C541" s="1" t="n">
        <v>46144</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34026-2025</t>
        </is>
      </c>
      <c r="B542" s="1" t="n">
        <v>45845.35856481481</v>
      </c>
      <c r="C542" s="1" t="n">
        <v>46144</v>
      </c>
      <c r="D542" t="inlineStr">
        <is>
          <t>VÄSTRA GÖTALANDS LÄN</t>
        </is>
      </c>
      <c r="E542" t="inlineStr">
        <is>
          <t>DALS-ED</t>
        </is>
      </c>
      <c r="G542" t="n">
        <v>3.1</v>
      </c>
      <c r="H542" t="n">
        <v>0</v>
      </c>
      <c r="I542" t="n">
        <v>0</v>
      </c>
      <c r="J542" t="n">
        <v>0</v>
      </c>
      <c r="K542" t="n">
        <v>0</v>
      </c>
      <c r="L542" t="n">
        <v>0</v>
      </c>
      <c r="M542" t="n">
        <v>0</v>
      </c>
      <c r="N542" t="n">
        <v>0</v>
      </c>
      <c r="O542" t="n">
        <v>0</v>
      </c>
      <c r="P542" t="n">
        <v>0</v>
      </c>
      <c r="Q542" t="n">
        <v>0</v>
      </c>
      <c r="R542" s="2" t="inlineStr"/>
    </row>
    <row r="543" ht="15" customHeight="1">
      <c r="A543" t="inlineStr">
        <is>
          <t>A 33967-2025</t>
        </is>
      </c>
      <c r="B543" s="1" t="n">
        <v>45842.81519675926</v>
      </c>
      <c r="C543" s="1" t="n">
        <v>46144</v>
      </c>
      <c r="D543" t="inlineStr">
        <is>
          <t>VÄSTRA GÖTALANDS LÄN</t>
        </is>
      </c>
      <c r="E543" t="inlineStr">
        <is>
          <t>DALS-ED</t>
        </is>
      </c>
      <c r="G543" t="n">
        <v>3.5</v>
      </c>
      <c r="H543" t="n">
        <v>0</v>
      </c>
      <c r="I543" t="n">
        <v>0</v>
      </c>
      <c r="J543" t="n">
        <v>0</v>
      </c>
      <c r="K543" t="n">
        <v>0</v>
      </c>
      <c r="L543" t="n">
        <v>0</v>
      </c>
      <c r="M543" t="n">
        <v>0</v>
      </c>
      <c r="N543" t="n">
        <v>0</v>
      </c>
      <c r="O543" t="n">
        <v>0</v>
      </c>
      <c r="P543" t="n">
        <v>0</v>
      </c>
      <c r="Q543" t="n">
        <v>0</v>
      </c>
      <c r="R543" s="2" t="inlineStr"/>
    </row>
    <row r="544" ht="15" customHeight="1">
      <c r="A544" t="inlineStr">
        <is>
          <t>A 9039-2025</t>
        </is>
      </c>
      <c r="B544" s="1" t="n">
        <v>45713.62387731481</v>
      </c>
      <c r="C544" s="1" t="n">
        <v>46144</v>
      </c>
      <c r="D544" t="inlineStr">
        <is>
          <t>VÄSTRA GÖTALANDS LÄN</t>
        </is>
      </c>
      <c r="E544" t="inlineStr">
        <is>
          <t>DALS-ED</t>
        </is>
      </c>
      <c r="G544" t="n">
        <v>5.5</v>
      </c>
      <c r="H544" t="n">
        <v>0</v>
      </c>
      <c r="I544" t="n">
        <v>0</v>
      </c>
      <c r="J544" t="n">
        <v>0</v>
      </c>
      <c r="K544" t="n">
        <v>0</v>
      </c>
      <c r="L544" t="n">
        <v>0</v>
      </c>
      <c r="M544" t="n">
        <v>0</v>
      </c>
      <c r="N544" t="n">
        <v>0</v>
      </c>
      <c r="O544" t="n">
        <v>0</v>
      </c>
      <c r="P544" t="n">
        <v>0</v>
      </c>
      <c r="Q544" t="n">
        <v>0</v>
      </c>
      <c r="R544" s="2" t="inlineStr"/>
    </row>
    <row r="545" ht="15" customHeight="1">
      <c r="A545" t="inlineStr">
        <is>
          <t>A 21401-2025</t>
        </is>
      </c>
      <c r="B545" s="1" t="n">
        <v>45782</v>
      </c>
      <c r="C545" s="1" t="n">
        <v>46144</v>
      </c>
      <c r="D545" t="inlineStr">
        <is>
          <t>VÄSTRA GÖTALANDS LÄN</t>
        </is>
      </c>
      <c r="E545" t="inlineStr">
        <is>
          <t>DALS-ED</t>
        </is>
      </c>
      <c r="G545" t="n">
        <v>4.8</v>
      </c>
      <c r="H545" t="n">
        <v>0</v>
      </c>
      <c r="I545" t="n">
        <v>0</v>
      </c>
      <c r="J545" t="n">
        <v>0</v>
      </c>
      <c r="K545" t="n">
        <v>0</v>
      </c>
      <c r="L545" t="n">
        <v>0</v>
      </c>
      <c r="M545" t="n">
        <v>0</v>
      </c>
      <c r="N545" t="n">
        <v>0</v>
      </c>
      <c r="O545" t="n">
        <v>0</v>
      </c>
      <c r="P545" t="n">
        <v>0</v>
      </c>
      <c r="Q545" t="n">
        <v>0</v>
      </c>
      <c r="R545" s="2" t="inlineStr"/>
    </row>
    <row r="546" ht="15" customHeight="1">
      <c r="A546" t="inlineStr">
        <is>
          <t>A 34874-2025</t>
        </is>
      </c>
      <c r="B546" s="1" t="n">
        <v>45849.45528935185</v>
      </c>
      <c r="C546" s="1" t="n">
        <v>46144</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31754-2022</t>
        </is>
      </c>
      <c r="B547" s="1" t="n">
        <v>44776</v>
      </c>
      <c r="C547" s="1" t="n">
        <v>46144</v>
      </c>
      <c r="D547" t="inlineStr">
        <is>
          <t>VÄSTRA GÖTALANDS LÄN</t>
        </is>
      </c>
      <c r="E547" t="inlineStr">
        <is>
          <t>DALS-ED</t>
        </is>
      </c>
      <c r="G547" t="n">
        <v>4.2</v>
      </c>
      <c r="H547" t="n">
        <v>0</v>
      </c>
      <c r="I547" t="n">
        <v>0</v>
      </c>
      <c r="J547" t="n">
        <v>0</v>
      </c>
      <c r="K547" t="n">
        <v>0</v>
      </c>
      <c r="L547" t="n">
        <v>0</v>
      </c>
      <c r="M547" t="n">
        <v>0</v>
      </c>
      <c r="N547" t="n">
        <v>0</v>
      </c>
      <c r="O547" t="n">
        <v>0</v>
      </c>
      <c r="P547" t="n">
        <v>0</v>
      </c>
      <c r="Q547" t="n">
        <v>0</v>
      </c>
      <c r="R547" s="2" t="inlineStr"/>
    </row>
    <row r="548">
      <c r="A548" t="inlineStr">
        <is>
          <t>A 12975-2025</t>
        </is>
      </c>
      <c r="B548" s="1" t="n">
        <v>45734.45221064815</v>
      </c>
      <c r="C548" s="1" t="n">
        <v>46144</v>
      </c>
      <c r="D548" t="inlineStr">
        <is>
          <t>VÄSTRA GÖTALANDS LÄN</t>
        </is>
      </c>
      <c r="E548" t="inlineStr">
        <is>
          <t>DALS-ED</t>
        </is>
      </c>
      <c r="G548" t="n">
        <v>4.6</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2026-05-02T11:10:59Z</dcterms:created>
  <dcterms:modified xmlns:dcterms="http://purl.org/dc/terms/" xmlns:xsi="http://www.w3.org/2001/XMLSchema-instance" xsi:type="dcterms:W3CDTF">2026-05-02T11:10:59Z</dcterms:modified>
</cp:coreProperties>
</file>