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45588</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5403-2024</t>
        </is>
      </c>
      <c r="B4" s="1" t="n">
        <v>45331</v>
      </c>
      <c r="C4" s="1" t="n">
        <v>45588</v>
      </c>
      <c r="D4" t="inlineStr">
        <is>
          <t>VÄSTRA GÖTALANDS LÄN</t>
        </is>
      </c>
      <c r="E4" t="inlineStr">
        <is>
          <t>DALS-ED</t>
        </is>
      </c>
      <c r="G4" t="n">
        <v>28.3</v>
      </c>
      <c r="H4" t="n">
        <v>5</v>
      </c>
      <c r="I4" t="n">
        <v>6</v>
      </c>
      <c r="J4" t="n">
        <v>4</v>
      </c>
      <c r="K4" t="n">
        <v>0</v>
      </c>
      <c r="L4" t="n">
        <v>0</v>
      </c>
      <c r="M4" t="n">
        <v>0</v>
      </c>
      <c r="N4" t="n">
        <v>0</v>
      </c>
      <c r="O4" t="n">
        <v>4</v>
      </c>
      <c r="P4" t="n">
        <v>0</v>
      </c>
      <c r="Q4" t="n">
        <v>12</v>
      </c>
      <c r="R4" s="2" t="inlineStr">
        <is>
          <t>Spillkråka
Talltita
Tretåig hackspett
Vedskivlav
Blåmossa
Dropptaggsvamp
Mandelriska
Rödgul trumpetsvamp
Stor revmossa
Västlig hakmossa
Gröngöling
Tjäder</t>
        </is>
      </c>
      <c r="S4">
        <f>HYPERLINK("https://klasma.github.io/Logging_1438/artfynd/A 5403-2024 artfynd.xlsx", "A 5403-2024")</f>
        <v/>
      </c>
      <c r="T4">
        <f>HYPERLINK("https://klasma.github.io/Logging_1438/kartor/A 5403-2024 karta.png", "A 5403-2024")</f>
        <v/>
      </c>
      <c r="V4">
        <f>HYPERLINK("https://klasma.github.io/Logging_1438/klagomål/A 5403-2024 FSC-klagomål.docx", "A 5403-2024")</f>
        <v/>
      </c>
      <c r="W4">
        <f>HYPERLINK("https://klasma.github.io/Logging_1438/klagomålsmail/A 5403-2024 FSC-klagomål mail.docx", "A 5403-2024")</f>
        <v/>
      </c>
      <c r="X4">
        <f>HYPERLINK("https://klasma.github.io/Logging_1438/tillsyn/A 5403-2024 tillsynsbegäran.docx", "A 5403-2024")</f>
        <v/>
      </c>
      <c r="Y4">
        <f>HYPERLINK("https://klasma.github.io/Logging_1438/tillsynsmail/A 5403-2024 tillsynsbegäran mail.docx", "A 5403-2024")</f>
        <v/>
      </c>
      <c r="Z4">
        <f>HYPERLINK("https://klasma.github.io/Logging_1438/fåglar/A 5403-2024 prioriterade fågelarter.docx", "A 5403-2024")</f>
        <v/>
      </c>
    </row>
    <row r="5" ht="15" customHeight="1">
      <c r="A5" t="inlineStr">
        <is>
          <t>A 59601-2022</t>
        </is>
      </c>
      <c r="B5" s="1" t="n">
        <v>44907</v>
      </c>
      <c r="C5" s="1" t="n">
        <v>45588</v>
      </c>
      <c r="D5" t="inlineStr">
        <is>
          <t>VÄSTRA GÖTALANDS LÄN</t>
        </is>
      </c>
      <c r="E5" t="inlineStr">
        <is>
          <t>DALS-ED</t>
        </is>
      </c>
      <c r="G5" t="n">
        <v>3.8</v>
      </c>
      <c r="H5" t="n">
        <v>2</v>
      </c>
      <c r="I5" t="n">
        <v>6</v>
      </c>
      <c r="J5" t="n">
        <v>3</v>
      </c>
      <c r="K5" t="n">
        <v>1</v>
      </c>
      <c r="L5" t="n">
        <v>0</v>
      </c>
      <c r="M5" t="n">
        <v>0</v>
      </c>
      <c r="N5" t="n">
        <v>0</v>
      </c>
      <c r="O5" t="n">
        <v>4</v>
      </c>
      <c r="P5" t="n">
        <v>1</v>
      </c>
      <c r="Q5" t="n">
        <v>10</v>
      </c>
      <c r="R5" s="2" t="inlineStr">
        <is>
          <t>Knärot
Kortskaftad ärgspik
Orange taggsvamp
Spillkråka
Dropptaggsvamp
Kattfotslav
Purpurmylia
Stor revmossa
Vedticka
Västlig hakmossa</t>
        </is>
      </c>
      <c r="S5">
        <f>HYPERLINK("https://klasma.github.io/Logging_1438/artfynd/A 59601-2022 artfynd.xlsx", "A 59601-2022")</f>
        <v/>
      </c>
      <c r="T5">
        <f>HYPERLINK("https://klasma.github.io/Logging_1438/kartor/A 59601-2022 karta.png", "A 59601-2022")</f>
        <v/>
      </c>
      <c r="U5">
        <f>HYPERLINK("https://klasma.github.io/Logging_1438/knärot/A 59601-2022 karta knärot.png", "A 59601-2022")</f>
        <v/>
      </c>
      <c r="V5">
        <f>HYPERLINK("https://klasma.github.io/Logging_1438/klagomål/A 59601-2022 FSC-klagomål.docx", "A 59601-2022")</f>
        <v/>
      </c>
      <c r="W5">
        <f>HYPERLINK("https://klasma.github.io/Logging_1438/klagomålsmail/A 59601-2022 FSC-klagomål mail.docx", "A 59601-2022")</f>
        <v/>
      </c>
      <c r="X5">
        <f>HYPERLINK("https://klasma.github.io/Logging_1438/tillsyn/A 59601-2022 tillsynsbegäran.docx", "A 59601-2022")</f>
        <v/>
      </c>
      <c r="Y5">
        <f>HYPERLINK("https://klasma.github.io/Logging_1438/tillsynsmail/A 59601-2022 tillsynsbegäran mail.docx", "A 59601-2022")</f>
        <v/>
      </c>
      <c r="Z5">
        <f>HYPERLINK("https://klasma.github.io/Logging_1438/fåglar/A 59601-2022 prioriterade fågelarter.docx", "A 59601-2022")</f>
        <v/>
      </c>
    </row>
    <row r="6" ht="15" customHeight="1">
      <c r="A6" t="inlineStr">
        <is>
          <t>A 44362-2023</t>
        </is>
      </c>
      <c r="B6" s="1" t="n">
        <v>45188</v>
      </c>
      <c r="C6" s="1" t="n">
        <v>45588</v>
      </c>
      <c r="D6" t="inlineStr">
        <is>
          <t>VÄSTRA GÖTALANDS LÄN</t>
        </is>
      </c>
      <c r="E6" t="inlineStr">
        <is>
          <t>DALS-ED</t>
        </is>
      </c>
      <c r="G6" t="n">
        <v>21.3</v>
      </c>
      <c r="H6" t="n">
        <v>6</v>
      </c>
      <c r="I6" t="n">
        <v>3</v>
      </c>
      <c r="J6" t="n">
        <v>3</v>
      </c>
      <c r="K6" t="n">
        <v>0</v>
      </c>
      <c r="L6" t="n">
        <v>0</v>
      </c>
      <c r="M6" t="n">
        <v>0</v>
      </c>
      <c r="N6" t="n">
        <v>0</v>
      </c>
      <c r="O6" t="n">
        <v>3</v>
      </c>
      <c r="P6" t="n">
        <v>0</v>
      </c>
      <c r="Q6" t="n">
        <v>9</v>
      </c>
      <c r="R6" s="2" t="inlineStr">
        <is>
          <t>Mindre hackspett
Spillkråka
Tretåig hackspett
Blåmossa
Stor revmossa
Västlig hakmossa
Tjäder
Lopplummer
Revlummer</t>
        </is>
      </c>
      <c r="S6">
        <f>HYPERLINK("https://klasma.github.io/Logging_1438/artfynd/A 44362-2023 artfynd.xlsx", "A 44362-2023")</f>
        <v/>
      </c>
      <c r="T6">
        <f>HYPERLINK("https://klasma.github.io/Logging_1438/kartor/A 44362-2023 karta.png", "A 44362-2023")</f>
        <v/>
      </c>
      <c r="V6">
        <f>HYPERLINK("https://klasma.github.io/Logging_1438/klagomål/A 44362-2023 FSC-klagomål.docx", "A 44362-2023")</f>
        <v/>
      </c>
      <c r="W6">
        <f>HYPERLINK("https://klasma.github.io/Logging_1438/klagomålsmail/A 44362-2023 FSC-klagomål mail.docx", "A 44362-2023")</f>
        <v/>
      </c>
      <c r="X6">
        <f>HYPERLINK("https://klasma.github.io/Logging_1438/tillsyn/A 44362-2023 tillsynsbegäran.docx", "A 44362-2023")</f>
        <v/>
      </c>
      <c r="Y6">
        <f>HYPERLINK("https://klasma.github.io/Logging_1438/tillsynsmail/A 44362-2023 tillsynsbegäran mail.docx", "A 44362-2023")</f>
        <v/>
      </c>
      <c r="Z6">
        <f>HYPERLINK("https://klasma.github.io/Logging_1438/fåglar/A 44362-2023 prioriterade fågelarter.docx", "A 44362-2023")</f>
        <v/>
      </c>
    </row>
    <row r="7" ht="15" customHeight="1">
      <c r="A7" t="inlineStr">
        <is>
          <t>A 43450-2022</t>
        </is>
      </c>
      <c r="B7" s="1" t="n">
        <v>44835</v>
      </c>
      <c r="C7" s="1" t="n">
        <v>45588</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45588</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45588</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45588</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45588</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45588</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45588</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45588</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45588</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45588</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45588</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45588</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45588</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45588</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45588</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45588</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45588</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45588</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45588</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45588</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45588</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45588</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45588</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45588</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45588</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45588</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45588</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45588</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45588</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45588</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45588</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45588</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45588</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45588</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45588</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45588</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45588</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45588</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45588</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45588</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45588</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45588</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45588</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45588</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45588</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45588</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45588</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45588</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45588</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45588</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45588</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45588</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45588</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45588</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45588</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45588</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45588</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45588</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45588</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45588</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45588</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45588</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45588</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45588</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45588</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45588</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45588</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45588</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45588</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45588</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45588</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45588</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45588</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45588</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45588</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45588</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45588</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45588</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45588</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45588</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45588</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45588</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45588</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45588</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45588</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45588</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45588</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45588</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45588</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45588</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45588</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45588</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45588</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45588</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45588</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45588</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45588</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45588</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45588</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45588</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45588</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45588</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45588</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45588</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45588</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45588</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45588</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45588</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45588</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45588</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45588</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45588</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45588</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45588</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45588</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45588</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45588</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45588</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45588</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45588</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45588</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45588</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45588</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45588</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45588</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45588</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45588</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45588</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45588</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45588</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45588</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45588</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45588</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45588</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45588</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45588</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45588</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45588</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45588</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45588</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45588</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45588</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45588</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45588</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45588</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45588</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45588</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45588</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45588</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45588</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45588</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45588</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45588</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45588</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45588</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45588</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45588</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45588</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45588</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45588</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45588</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45588</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45588</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45588</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45588</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45588</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45588</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45588</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45588</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45588</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45588</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45588</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45588</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45588</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45588</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45588</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45588</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45588</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45588</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45588</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45588</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45588</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45588</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45588</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45588</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45588</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45588</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45588</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45588</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45588</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45588</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45588</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45588</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45588</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45588</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45588</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45588</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45588</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45588</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45588</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45588</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45588</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45588</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45588</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45588</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45588</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45588</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45588</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45588</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45588</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45588</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45588</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45588</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45588</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45588</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45588</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45588</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45588</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45588</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45588</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45588</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45588</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45588</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45588</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45588</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45588</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45588</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45588</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45588</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45588</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45588</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45588</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45588</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45588</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45588</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45588</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45588</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45588</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45588</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45588</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45588</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45588</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45588</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45588</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45588</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45588</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45588</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45588</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45588</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45588</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45588</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45588</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45588</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45588</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45588</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45588</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45588</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45588</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45588</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45588</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45588</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45588</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45588</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45588</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45588</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45588</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45588</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45588</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45588</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45588</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45588</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45588</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45588</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45588</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45588</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45588</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45588</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45588</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45588</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45588</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45588</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45588</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45588</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45588</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45588</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45588</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45588</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45588</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45588</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45588</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45588</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45588</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45588</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45588</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45588</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45588</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45588</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45588</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45588</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45588</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45588</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45588</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45588</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45588</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45588</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45588</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45588</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45588</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45588</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45588</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45588</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45588</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45588</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45588</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45588</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45588</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45588</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45588</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45588</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45588</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45588</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45588</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45588</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45588</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45588</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45588</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45588</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45588</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45588</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45588</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45588</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45588</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45588</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45588</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45588</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45588</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45588</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45588</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45588</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45588</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45588</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45588</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45588</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45588</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45588</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45588</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45588</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45588</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45588</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45588</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45588</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45588</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45588</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45588</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45588</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45588</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45588</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45588</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45588</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45588</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45588</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45588</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45588</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45588</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45588</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45588</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45588</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45588</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45588</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45588</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45588</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45588</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45588</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45588</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45588</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45588</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45588</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45588</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45588</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45588</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45588</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45588</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45588</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45588</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45588</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45588</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45588</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45588</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45588</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45588</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45588</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45588</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45588</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45588</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45588</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45588</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45588</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45588</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45588</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45588</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45588</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45588</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45588</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45588</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45588</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45588</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45588</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45588</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45588</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45588</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45588</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45588</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45588</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45588</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45588</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45588</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45588</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45588</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45588</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45588</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45588</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45588</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45588</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45588</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45588</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45588</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45588</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45588</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45588</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45588</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45588</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45588</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45588</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45588</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45588</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45588</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45588</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45588</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45588</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45588</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45588</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45588</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45588</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45588</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45588</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45588</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45588</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45588</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45588</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45588</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45588</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45588</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45588</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45588</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45588</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45588</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45588</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45588</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45588</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45588</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45588</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45588</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45588</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45588</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45588</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45588</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45588</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45588</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45588</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45588</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45588</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45588</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45588</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45588</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45588</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45588</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45588</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45588</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45588</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45588</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45588</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45588</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45588</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45588</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45588</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45588</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45588</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45588</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45588</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45588</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45588</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45588</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45588</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45588</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45588</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45588</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45588</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45588</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45588</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45588</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45588</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45588</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45588</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45588</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45588</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45588</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45588</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45588</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45588</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45588</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45588</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45588</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45588</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45588</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45588</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45588</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45588</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45588</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45588</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45588</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45588</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45588</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45588</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45588</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45588</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45588</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45588</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45588</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45588</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45588</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45588</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45588</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45588</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45588</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45588</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45588</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45588</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45588</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45588</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45588</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45588</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45588</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45588</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45588</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45588</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45588</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45588</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45588</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45588</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45588</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45588</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45588</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45588</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45588</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45588</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45588</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45588</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45588</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45588</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45588</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45588</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45588</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45588</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45588</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45588</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45588</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45588</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45588</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45588</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45588</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45588</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45588</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45588</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45588</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45588</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45588</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45588</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45588</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45588</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45588</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45588</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45588</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45588</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45588</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45588</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45588</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45588</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45588</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45588</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45588</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45588</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45588</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45588</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45588</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45588</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45588</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45588</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45588</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45588</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ht="15" customHeight="1">
      <c r="A608" t="inlineStr">
        <is>
          <t>A 42676-2024</t>
        </is>
      </c>
      <c r="B608" s="1" t="n">
        <v>45566</v>
      </c>
      <c r="C608" s="1" t="n">
        <v>45588</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45588</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43901-2024</t>
        </is>
      </c>
      <c r="B610" s="1" t="n">
        <v>45572</v>
      </c>
      <c r="C610" s="1" t="n">
        <v>45588</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43841-2024</t>
        </is>
      </c>
      <c r="B611" s="1" t="n">
        <v>45572</v>
      </c>
      <c r="C611" s="1" t="n">
        <v>45588</v>
      </c>
      <c r="D611" t="inlineStr">
        <is>
          <t>VÄSTRA GÖTALANDS LÄN</t>
        </is>
      </c>
      <c r="E611" t="inlineStr">
        <is>
          <t>DALS-ED</t>
        </is>
      </c>
      <c r="G611" t="n">
        <v>2.4</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45588</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45588</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44517-2024</t>
        </is>
      </c>
      <c r="B614" s="1" t="n">
        <v>45574</v>
      </c>
      <c r="C614" s="1" t="n">
        <v>45588</v>
      </c>
      <c r="D614" t="inlineStr">
        <is>
          <t>VÄSTRA GÖTALANDS LÄN</t>
        </is>
      </c>
      <c r="E614" t="inlineStr">
        <is>
          <t>DALS-ED</t>
        </is>
      </c>
      <c r="G614" t="n">
        <v>0.6</v>
      </c>
      <c r="H614" t="n">
        <v>0</v>
      </c>
      <c r="I614" t="n">
        <v>0</v>
      </c>
      <c r="J614" t="n">
        <v>0</v>
      </c>
      <c r="K614" t="n">
        <v>0</v>
      </c>
      <c r="L614" t="n">
        <v>0</v>
      </c>
      <c r="M614" t="n">
        <v>0</v>
      </c>
      <c r="N614" t="n">
        <v>0</v>
      </c>
      <c r="O614" t="n">
        <v>0</v>
      </c>
      <c r="P614" t="n">
        <v>0</v>
      </c>
      <c r="Q614" t="n">
        <v>0</v>
      </c>
      <c r="R614" s="2" t="inlineStr"/>
    </row>
    <row r="615" ht="15" customHeight="1">
      <c r="A615" t="inlineStr">
        <is>
          <t>A 44458-2024</t>
        </is>
      </c>
      <c r="B615" s="1" t="n">
        <v>45574</v>
      </c>
      <c r="C615" s="1" t="n">
        <v>45588</v>
      </c>
      <c r="D615" t="inlineStr">
        <is>
          <t>VÄSTRA GÖTALANDS LÄN</t>
        </is>
      </c>
      <c r="E615" t="inlineStr">
        <is>
          <t>DALS-ED</t>
        </is>
      </c>
      <c r="G615" t="n">
        <v>2.2</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45588</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45588</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ht="15" customHeight="1">
      <c r="A618" t="inlineStr">
        <is>
          <t>A 45588-2024</t>
        </is>
      </c>
      <c r="B618" s="1" t="n">
        <v>45579</v>
      </c>
      <c r="C618" s="1" t="n">
        <v>45588</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row r="619" ht="15" customHeight="1">
      <c r="A619" t="inlineStr">
        <is>
          <t>A 46493-2024</t>
        </is>
      </c>
      <c r="B619" s="1" t="n">
        <v>45582</v>
      </c>
      <c r="C619" s="1" t="n">
        <v>45588</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46490-2024</t>
        </is>
      </c>
      <c r="B620" s="1" t="n">
        <v>45582</v>
      </c>
      <c r="C620" s="1" t="n">
        <v>45588</v>
      </c>
      <c r="D620" t="inlineStr">
        <is>
          <t>VÄSTRA GÖTALANDS LÄN</t>
        </is>
      </c>
      <c r="E620" t="inlineStr">
        <is>
          <t>DALS-ED</t>
        </is>
      </c>
      <c r="G620" t="n">
        <v>1.5</v>
      </c>
      <c r="H620" t="n">
        <v>0</v>
      </c>
      <c r="I620" t="n">
        <v>0</v>
      </c>
      <c r="J620" t="n">
        <v>0</v>
      </c>
      <c r="K620" t="n">
        <v>0</v>
      </c>
      <c r="L620" t="n">
        <v>0</v>
      </c>
      <c r="M620" t="n">
        <v>0</v>
      </c>
      <c r="N620" t="n">
        <v>0</v>
      </c>
      <c r="O620" t="n">
        <v>0</v>
      </c>
      <c r="P620" t="n">
        <v>0</v>
      </c>
      <c r="Q620" t="n">
        <v>0</v>
      </c>
      <c r="R620" s="2" t="inlineStr"/>
    </row>
    <row r="621" ht="15" customHeight="1">
      <c r="A621" t="inlineStr">
        <is>
          <t>A 46617-2024</t>
        </is>
      </c>
      <c r="B621" s="1" t="n">
        <v>45583</v>
      </c>
      <c r="C621" s="1" t="n">
        <v>45588</v>
      </c>
      <c r="D621" t="inlineStr">
        <is>
          <t>VÄSTRA GÖTALANDS LÄN</t>
        </is>
      </c>
      <c r="E621" t="inlineStr">
        <is>
          <t>DALS-ED</t>
        </is>
      </c>
      <c r="F621" t="inlineStr">
        <is>
          <t>Övriga Aktiebolag</t>
        </is>
      </c>
      <c r="G621" t="n">
        <v>4</v>
      </c>
      <c r="H621" t="n">
        <v>0</v>
      </c>
      <c r="I621" t="n">
        <v>0</v>
      </c>
      <c r="J621" t="n">
        <v>0</v>
      </c>
      <c r="K621" t="n">
        <v>0</v>
      </c>
      <c r="L621" t="n">
        <v>0</v>
      </c>
      <c r="M621" t="n">
        <v>0</v>
      </c>
      <c r="N621" t="n">
        <v>0</v>
      </c>
      <c r="O621" t="n">
        <v>0</v>
      </c>
      <c r="P621" t="n">
        <v>0</v>
      </c>
      <c r="Q621" t="n">
        <v>0</v>
      </c>
      <c r="R621" s="2" t="inlineStr"/>
    </row>
    <row r="622" ht="15" customHeight="1">
      <c r="A622" t="inlineStr">
        <is>
          <t>A 47444-2024</t>
        </is>
      </c>
      <c r="B622" s="1" t="n">
        <v>45587</v>
      </c>
      <c r="C622" s="1" t="n">
        <v>45588</v>
      </c>
      <c r="D622" t="inlineStr">
        <is>
          <t>VÄSTRA GÖTALANDS LÄN</t>
        </is>
      </c>
      <c r="E622" t="inlineStr">
        <is>
          <t>DALS-ED</t>
        </is>
      </c>
      <c r="G622" t="n">
        <v>1.1</v>
      </c>
      <c r="H622" t="n">
        <v>0</v>
      </c>
      <c r="I622" t="n">
        <v>0</v>
      </c>
      <c r="J622" t="n">
        <v>0</v>
      </c>
      <c r="K622" t="n">
        <v>0</v>
      </c>
      <c r="L622" t="n">
        <v>0</v>
      </c>
      <c r="M622" t="n">
        <v>0</v>
      </c>
      <c r="N622" t="n">
        <v>0</v>
      </c>
      <c r="O622" t="n">
        <v>0</v>
      </c>
      <c r="P622" t="n">
        <v>0</v>
      </c>
      <c r="Q622" t="n">
        <v>0</v>
      </c>
      <c r="R622" s="2" t="inlineStr"/>
    </row>
    <row r="623">
      <c r="A623" t="inlineStr">
        <is>
          <t>A 47434-2024</t>
        </is>
      </c>
      <c r="B623" s="1" t="n">
        <v>45587</v>
      </c>
      <c r="C623" s="1" t="n">
        <v>45588</v>
      </c>
      <c r="D623" t="inlineStr">
        <is>
          <t>VÄSTRA GÖTALANDS LÄN</t>
        </is>
      </c>
      <c r="E623" t="inlineStr">
        <is>
          <t>DALS-ED</t>
        </is>
      </c>
      <c r="G623" t="n">
        <v>2.6</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2024-10-23T13:16:16Z</dcterms:created>
  <dcterms:modified xmlns:dcterms="http://purl.org/dc/terms/" xmlns:xsi="http://www.w3.org/2001/XMLSchema-instance" xsi:type="dcterms:W3CDTF">2024-10-23T13:16:16Z</dcterms:modified>
</cp:coreProperties>
</file>