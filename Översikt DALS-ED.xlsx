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45625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45625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45625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45625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45625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45625</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45625</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45625</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45625</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45625</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45625</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45625</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45625</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45625</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45625</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45625</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45625</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45625</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45625</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45625</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45625</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45625</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45625</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910-2020</t>
        </is>
      </c>
      <c r="B25" s="1" t="n">
        <v>43839</v>
      </c>
      <c r="C25" s="1" t="n">
        <v>45625</v>
      </c>
      <c r="D25" t="inlineStr">
        <is>
          <t>VÄSTRA GÖTALANDS LÄN</t>
        </is>
      </c>
      <c r="E25" t="inlineStr">
        <is>
          <t>DALS-ED</t>
        </is>
      </c>
      <c r="G25" t="n">
        <v>21.3</v>
      </c>
      <c r="H25" t="n">
        <v>1</v>
      </c>
      <c r="I25" t="n">
        <v>0</v>
      </c>
      <c r="J25" t="n">
        <v>0</v>
      </c>
      <c r="K25" t="n">
        <v>1</v>
      </c>
      <c r="L25" t="n">
        <v>0</v>
      </c>
      <c r="M25" t="n">
        <v>0</v>
      </c>
      <c r="N25" t="n">
        <v>0</v>
      </c>
      <c r="O25" t="n">
        <v>1</v>
      </c>
      <c r="P25" t="n">
        <v>1</v>
      </c>
      <c r="Q25" t="n">
        <v>1</v>
      </c>
      <c r="R25" s="2" t="inlineStr">
        <is>
          <t>Lappuggla</t>
        </is>
      </c>
      <c r="S25">
        <f>HYPERLINK("https://klasma.github.io/Logging_1438/artfynd/A 910-2020 artfynd.xlsx", "A 910-2020")</f>
        <v/>
      </c>
      <c r="T25">
        <f>HYPERLINK("https://klasma.github.io/Logging_1438/kartor/A 910-2020 karta.png", "A 910-2020")</f>
        <v/>
      </c>
      <c r="V25">
        <f>HYPERLINK("https://klasma.github.io/Logging_1438/klagomål/A 910-2020 FSC-klagomål.docx", "A 910-2020")</f>
        <v/>
      </c>
      <c r="W25">
        <f>HYPERLINK("https://klasma.github.io/Logging_1438/klagomålsmail/A 910-2020 FSC-klagomål mail.docx", "A 910-2020")</f>
        <v/>
      </c>
      <c r="X25">
        <f>HYPERLINK("https://klasma.github.io/Logging_1438/tillsyn/A 910-2020 tillsynsbegäran.docx", "A 910-2020")</f>
        <v/>
      </c>
      <c r="Y25">
        <f>HYPERLINK("https://klasma.github.io/Logging_1438/tillsynsmail/A 910-2020 tillsynsbegäran mail.docx", "A 910-2020")</f>
        <v/>
      </c>
      <c r="Z25">
        <f>HYPERLINK("https://klasma.github.io/Logging_1438/fåglar/A 910-2020 prioriterade fågelarter.docx", "A 910-2020")</f>
        <v/>
      </c>
    </row>
    <row r="26" ht="15" customHeight="1">
      <c r="A26" t="inlineStr">
        <is>
          <t>A 67174-2020</t>
        </is>
      </c>
      <c r="B26" s="1" t="n">
        <v>44180</v>
      </c>
      <c r="C26" s="1" t="n">
        <v>45625</v>
      </c>
      <c r="D26" t="inlineStr">
        <is>
          <t>VÄSTRA GÖTALANDS LÄN</t>
        </is>
      </c>
      <c r="E26" t="inlineStr">
        <is>
          <t>DALS-ED</t>
        </is>
      </c>
      <c r="G26" t="n">
        <v>7.7</v>
      </c>
      <c r="H26" t="n">
        <v>0</v>
      </c>
      <c r="I26" t="n">
        <v>0</v>
      </c>
      <c r="J26" t="n">
        <v>1</v>
      </c>
      <c r="K26" t="n">
        <v>0</v>
      </c>
      <c r="L26" t="n">
        <v>0</v>
      </c>
      <c r="M26" t="n">
        <v>0</v>
      </c>
      <c r="N26" t="n">
        <v>0</v>
      </c>
      <c r="O26" t="n">
        <v>1</v>
      </c>
      <c r="P26" t="n">
        <v>0</v>
      </c>
      <c r="Q26" t="n">
        <v>1</v>
      </c>
      <c r="R26" s="2" t="inlineStr">
        <is>
          <t>Skrovellav</t>
        </is>
      </c>
      <c r="S26">
        <f>HYPERLINK("https://klasma.github.io/Logging_1438/artfynd/A 67174-2020 artfynd.xlsx", "A 67174-2020")</f>
        <v/>
      </c>
      <c r="T26">
        <f>HYPERLINK("https://klasma.github.io/Logging_1438/kartor/A 67174-2020 karta.png", "A 67174-2020")</f>
        <v/>
      </c>
      <c r="V26">
        <f>HYPERLINK("https://klasma.github.io/Logging_1438/klagomål/A 67174-2020 FSC-klagomål.docx", "A 67174-2020")</f>
        <v/>
      </c>
      <c r="W26">
        <f>HYPERLINK("https://klasma.github.io/Logging_1438/klagomålsmail/A 67174-2020 FSC-klagomål mail.docx", "A 67174-2020")</f>
        <v/>
      </c>
      <c r="X26">
        <f>HYPERLINK("https://klasma.github.io/Logging_1438/tillsyn/A 67174-2020 tillsynsbegäran.docx", "A 67174-2020")</f>
        <v/>
      </c>
      <c r="Y26">
        <f>HYPERLINK("https://klasma.github.io/Logging_1438/tillsynsmail/A 67174-2020 tillsynsbegäran mail.docx", "A 67174-2020")</f>
        <v/>
      </c>
    </row>
    <row r="27" ht="15" customHeight="1">
      <c r="A27" t="inlineStr">
        <is>
          <t>A 40355-2022</t>
        </is>
      </c>
      <c r="B27" s="1" t="n">
        <v>44818</v>
      </c>
      <c r="C27" s="1" t="n">
        <v>45625</v>
      </c>
      <c r="D27" t="inlineStr">
        <is>
          <t>VÄSTRA GÖTALANDS LÄN</t>
        </is>
      </c>
      <c r="E27" t="inlineStr">
        <is>
          <t>DALS-ED</t>
        </is>
      </c>
      <c r="F27" t="inlineStr">
        <is>
          <t>Kyrkan</t>
        </is>
      </c>
      <c r="G27" t="n">
        <v>4.2</v>
      </c>
      <c r="H27" t="n">
        <v>0</v>
      </c>
      <c r="I27" t="n">
        <v>0</v>
      </c>
      <c r="J27" t="n">
        <v>0</v>
      </c>
      <c r="K27" t="n">
        <v>0</v>
      </c>
      <c r="L27" t="n">
        <v>1</v>
      </c>
      <c r="M27" t="n">
        <v>0</v>
      </c>
      <c r="N27" t="n">
        <v>0</v>
      </c>
      <c r="O27" t="n">
        <v>1</v>
      </c>
      <c r="P27" t="n">
        <v>1</v>
      </c>
      <c r="Q27" t="n">
        <v>1</v>
      </c>
      <c r="R27" s="2" t="inlineStr">
        <is>
          <t>Kantlök</t>
        </is>
      </c>
      <c r="S27">
        <f>HYPERLINK("https://klasma.github.io/Logging_1438/artfynd/A 40355-2022 artfynd.xlsx", "A 40355-2022")</f>
        <v/>
      </c>
      <c r="T27">
        <f>HYPERLINK("https://klasma.github.io/Logging_1438/kartor/A 40355-2022 karta.png", "A 40355-2022")</f>
        <v/>
      </c>
      <c r="V27">
        <f>HYPERLINK("https://klasma.github.io/Logging_1438/klagomål/A 40355-2022 FSC-klagomål.docx", "A 40355-2022")</f>
        <v/>
      </c>
      <c r="W27">
        <f>HYPERLINK("https://klasma.github.io/Logging_1438/klagomålsmail/A 40355-2022 FSC-klagomål mail.docx", "A 40355-2022")</f>
        <v/>
      </c>
      <c r="X27">
        <f>HYPERLINK("https://klasma.github.io/Logging_1438/tillsyn/A 40355-2022 tillsynsbegäran.docx", "A 40355-2022")</f>
        <v/>
      </c>
      <c r="Y27">
        <f>HYPERLINK("https://klasma.github.io/Logging_1438/tillsynsmail/A 40355-2022 tillsynsbegäran mail.docx", "A 40355-2022")</f>
        <v/>
      </c>
    </row>
    <row r="28" ht="15" customHeight="1">
      <c r="A28" t="inlineStr">
        <is>
          <t>A 4113-2023</t>
        </is>
      </c>
      <c r="B28" s="1" t="n">
        <v>44952</v>
      </c>
      <c r="C28" s="1" t="n">
        <v>45625</v>
      </c>
      <c r="D28" t="inlineStr">
        <is>
          <t>VÄSTRA GÖTALANDS LÄN</t>
        </is>
      </c>
      <c r="E28" t="inlineStr">
        <is>
          <t>DALS-ED</t>
        </is>
      </c>
      <c r="G28" t="n">
        <v>7.9</v>
      </c>
      <c r="H28" t="n">
        <v>0</v>
      </c>
      <c r="I28" t="n">
        <v>0</v>
      </c>
      <c r="J28" t="n">
        <v>0</v>
      </c>
      <c r="K28" t="n">
        <v>1</v>
      </c>
      <c r="L28" t="n">
        <v>0</v>
      </c>
      <c r="M28" t="n">
        <v>0</v>
      </c>
      <c r="N28" t="n">
        <v>0</v>
      </c>
      <c r="O28" t="n">
        <v>1</v>
      </c>
      <c r="P28" t="n">
        <v>1</v>
      </c>
      <c r="Q28" t="n">
        <v>1</v>
      </c>
      <c r="R28" s="2" t="inlineStr">
        <is>
          <t>Slåttergubbe</t>
        </is>
      </c>
      <c r="S28">
        <f>HYPERLINK("https://klasma.github.io/Logging_1438/artfynd/A 4113-2023 artfynd.xlsx", "A 4113-2023")</f>
        <v/>
      </c>
      <c r="T28">
        <f>HYPERLINK("https://klasma.github.io/Logging_1438/kartor/A 4113-2023 karta.png", "A 4113-2023")</f>
        <v/>
      </c>
      <c r="V28">
        <f>HYPERLINK("https://klasma.github.io/Logging_1438/klagomål/A 4113-2023 FSC-klagomål.docx", "A 4113-2023")</f>
        <v/>
      </c>
      <c r="W28">
        <f>HYPERLINK("https://klasma.github.io/Logging_1438/klagomålsmail/A 4113-2023 FSC-klagomål mail.docx", "A 4113-2023")</f>
        <v/>
      </c>
      <c r="X28">
        <f>HYPERLINK("https://klasma.github.io/Logging_1438/tillsyn/A 4113-2023 tillsynsbegäran.docx", "A 4113-2023")</f>
        <v/>
      </c>
      <c r="Y28">
        <f>HYPERLINK("https://klasma.github.io/Logging_1438/tillsynsmail/A 4113-2023 tillsynsbegäran mail.docx", "A 4113-2023")</f>
        <v/>
      </c>
    </row>
    <row r="29" ht="15" customHeight="1">
      <c r="A29" t="inlineStr">
        <is>
          <t>A 14793-2023</t>
        </is>
      </c>
      <c r="B29" s="1" t="n">
        <v>45014</v>
      </c>
      <c r="C29" s="1" t="n">
        <v>45625</v>
      </c>
      <c r="D29" t="inlineStr">
        <is>
          <t>VÄSTRA GÖTALANDS LÄN</t>
        </is>
      </c>
      <c r="E29" t="inlineStr">
        <is>
          <t>DALS-ED</t>
        </is>
      </c>
      <c r="G29" t="n">
        <v>1.6</v>
      </c>
      <c r="H29" t="n">
        <v>0</v>
      </c>
      <c r="I29" t="n">
        <v>0</v>
      </c>
      <c r="J29" t="n">
        <v>0</v>
      </c>
      <c r="K29" t="n">
        <v>1</v>
      </c>
      <c r="L29" t="n">
        <v>0</v>
      </c>
      <c r="M29" t="n">
        <v>0</v>
      </c>
      <c r="N29" t="n">
        <v>0</v>
      </c>
      <c r="O29" t="n">
        <v>1</v>
      </c>
      <c r="P29" t="n">
        <v>1</v>
      </c>
      <c r="Q29" t="n">
        <v>1</v>
      </c>
      <c r="R29" s="2" t="inlineStr">
        <is>
          <t>Slåttergubbe</t>
        </is>
      </c>
      <c r="S29">
        <f>HYPERLINK("https://klasma.github.io/Logging_1438/artfynd/A 14793-2023 artfynd.xlsx", "A 14793-2023")</f>
        <v/>
      </c>
      <c r="T29">
        <f>HYPERLINK("https://klasma.github.io/Logging_1438/kartor/A 14793-2023 karta.png", "A 14793-2023")</f>
        <v/>
      </c>
      <c r="V29">
        <f>HYPERLINK("https://klasma.github.io/Logging_1438/klagomål/A 14793-2023 FSC-klagomål.docx", "A 14793-2023")</f>
        <v/>
      </c>
      <c r="W29">
        <f>HYPERLINK("https://klasma.github.io/Logging_1438/klagomålsmail/A 14793-2023 FSC-klagomål mail.docx", "A 14793-2023")</f>
        <v/>
      </c>
      <c r="X29">
        <f>HYPERLINK("https://klasma.github.io/Logging_1438/tillsyn/A 14793-2023 tillsynsbegäran.docx", "A 14793-2023")</f>
        <v/>
      </c>
      <c r="Y29">
        <f>HYPERLINK("https://klasma.github.io/Logging_1438/tillsynsmail/A 14793-2023 tillsynsbegäran mail.docx", "A 14793-2023")</f>
        <v/>
      </c>
    </row>
    <row r="30" ht="15" customHeight="1">
      <c r="A30" t="inlineStr">
        <is>
          <t>A 32284-2023</t>
        </is>
      </c>
      <c r="B30" s="1" t="n">
        <v>45120</v>
      </c>
      <c r="C30" s="1" t="n">
        <v>45625</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43216-2023</t>
        </is>
      </c>
      <c r="B31" s="1" t="n">
        <v>45183</v>
      </c>
      <c r="C31" s="1" t="n">
        <v>45625</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172-2024</t>
        </is>
      </c>
      <c r="B32" s="1" t="n">
        <v>45294</v>
      </c>
      <c r="C32" s="1" t="n">
        <v>45625</v>
      </c>
      <c r="D32" t="inlineStr">
        <is>
          <t>VÄSTRA GÖTALANDS LÄN</t>
        </is>
      </c>
      <c r="E32" t="inlineStr">
        <is>
          <t>DALS-ED</t>
        </is>
      </c>
      <c r="G32" t="n">
        <v>6.9</v>
      </c>
      <c r="H32" t="n">
        <v>0</v>
      </c>
      <c r="I32" t="n">
        <v>1</v>
      </c>
      <c r="J32" t="n">
        <v>0</v>
      </c>
      <c r="K32" t="n">
        <v>0</v>
      </c>
      <c r="L32" t="n">
        <v>0</v>
      </c>
      <c r="M32" t="n">
        <v>0</v>
      </c>
      <c r="N32" t="n">
        <v>0</v>
      </c>
      <c r="O32" t="n">
        <v>0</v>
      </c>
      <c r="P32" t="n">
        <v>0</v>
      </c>
      <c r="Q32" t="n">
        <v>1</v>
      </c>
      <c r="R32" s="2" t="inlineStr">
        <is>
          <t>Bronshjon</t>
        </is>
      </c>
      <c r="S32">
        <f>HYPERLINK("https://klasma.github.io/Logging_1438/artfynd/A 172-2024 artfynd.xlsx", "A 172-2024")</f>
        <v/>
      </c>
      <c r="T32">
        <f>HYPERLINK("https://klasma.github.io/Logging_1438/kartor/A 172-2024 karta.png", "A 172-2024")</f>
        <v/>
      </c>
      <c r="V32">
        <f>HYPERLINK("https://klasma.github.io/Logging_1438/klagomål/A 172-2024 FSC-klagomål.docx", "A 172-2024")</f>
        <v/>
      </c>
      <c r="W32">
        <f>HYPERLINK("https://klasma.github.io/Logging_1438/klagomålsmail/A 172-2024 FSC-klagomål mail.docx", "A 172-2024")</f>
        <v/>
      </c>
      <c r="X32">
        <f>HYPERLINK("https://klasma.github.io/Logging_1438/tillsyn/A 172-2024 tillsynsbegäran.docx", "A 172-2024")</f>
        <v/>
      </c>
      <c r="Y32">
        <f>HYPERLINK("https://klasma.github.io/Logging_1438/tillsynsmail/A 172-2024 tillsynsbegäran mail.docx", "A 172-2024")</f>
        <v/>
      </c>
    </row>
    <row r="33" ht="15" customHeight="1">
      <c r="A33" t="inlineStr">
        <is>
          <t>A 27871-2024</t>
        </is>
      </c>
      <c r="B33" s="1" t="n">
        <v>45475</v>
      </c>
      <c r="C33" s="1" t="n">
        <v>45625</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27871-2024 artfynd.xlsx", "A 27871-2024")</f>
        <v/>
      </c>
      <c r="T33">
        <f>HYPERLINK("https://klasma.github.io/Logging_1438/kartor/A 27871-2024 karta.png", "A 27871-2024")</f>
        <v/>
      </c>
      <c r="V33">
        <f>HYPERLINK("https://klasma.github.io/Logging_1438/klagomål/A 27871-2024 FSC-klagomål.docx", "A 27871-2024")</f>
        <v/>
      </c>
      <c r="W33">
        <f>HYPERLINK("https://klasma.github.io/Logging_1438/klagomålsmail/A 27871-2024 FSC-klagomål mail.docx", "A 27871-2024")</f>
        <v/>
      </c>
      <c r="X33">
        <f>HYPERLINK("https://klasma.github.io/Logging_1438/tillsyn/A 27871-2024 tillsynsbegäran.docx", "A 27871-2024")</f>
        <v/>
      </c>
      <c r="Y33">
        <f>HYPERLINK("https://klasma.github.io/Logging_1438/tillsynsmail/A 27871-2024 tillsynsbegäran mail.docx", "A 27871-2024")</f>
        <v/>
      </c>
    </row>
    <row r="34" ht="15" customHeight="1">
      <c r="A34" t="inlineStr">
        <is>
          <t>A 27878-2024</t>
        </is>
      </c>
      <c r="B34" s="1" t="n">
        <v>45475</v>
      </c>
      <c r="C34" s="1" t="n">
        <v>45625</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43589-2024</t>
        </is>
      </c>
      <c r="B35" s="1" t="n">
        <v>45569</v>
      </c>
      <c r="C35" s="1" t="n">
        <v>45625</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47656-2024</t>
        </is>
      </c>
      <c r="B36" s="1" t="n">
        <v>45588</v>
      </c>
      <c r="C36" s="1" t="n">
        <v>45625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47665-2024</t>
        </is>
      </c>
      <c r="B37" s="1" t="n">
        <v>45588</v>
      </c>
      <c r="C37" s="1" t="n">
        <v>45625</v>
      </c>
      <c r="D37" t="inlineStr">
        <is>
          <t>VÄSTRA GÖTALANDS LÄN</t>
        </is>
      </c>
      <c r="E37" t="inlineStr">
        <is>
          <t>DALS-ED</t>
        </is>
      </c>
      <c r="G37" t="n">
        <v>6</v>
      </c>
      <c r="H37" t="n">
        <v>1</v>
      </c>
      <c r="I37" t="n">
        <v>0</v>
      </c>
      <c r="J37" t="n">
        <v>1</v>
      </c>
      <c r="K37" t="n">
        <v>0</v>
      </c>
      <c r="L37" t="n">
        <v>0</v>
      </c>
      <c r="M37" t="n">
        <v>0</v>
      </c>
      <c r="N37" t="n">
        <v>0</v>
      </c>
      <c r="O37" t="n">
        <v>1</v>
      </c>
      <c r="P37" t="n">
        <v>0</v>
      </c>
      <c r="Q37" t="n">
        <v>1</v>
      </c>
      <c r="R37" s="2" t="inlineStr">
        <is>
          <t>Tretåig hackspett</t>
        </is>
      </c>
      <c r="S37">
        <f>HYPERLINK("https://klasma.github.io/Logging_1438/artfynd/A 47665-2024 artfynd.xlsx", "A 47665-2024")</f>
        <v/>
      </c>
      <c r="T37">
        <f>HYPERLINK("https://klasma.github.io/Logging_1438/kartor/A 47665-2024 karta.png", "A 47665-2024")</f>
        <v/>
      </c>
      <c r="V37">
        <f>HYPERLINK("https://klasma.github.io/Logging_1438/klagomål/A 47665-2024 FSC-klagomål.docx", "A 47665-2024")</f>
        <v/>
      </c>
      <c r="W37">
        <f>HYPERLINK("https://klasma.github.io/Logging_1438/klagomålsmail/A 47665-2024 FSC-klagomål mail.docx", "A 47665-2024")</f>
        <v/>
      </c>
      <c r="X37">
        <f>HYPERLINK("https://klasma.github.io/Logging_1438/tillsyn/A 47665-2024 tillsynsbegäran.docx", "A 47665-2024")</f>
        <v/>
      </c>
      <c r="Y37">
        <f>HYPERLINK("https://klasma.github.io/Logging_1438/tillsynsmail/A 47665-2024 tillsynsbegäran mail.docx", "A 47665-2024")</f>
        <v/>
      </c>
      <c r="Z37">
        <f>HYPERLINK("https://klasma.github.io/Logging_1438/fåglar/A 47665-2024 prioriterade fågelarter.docx", "A 47665-2024")</f>
        <v/>
      </c>
    </row>
    <row r="38" ht="15" customHeight="1">
      <c r="A38" t="inlineStr">
        <is>
          <t>A 18329-2019</t>
        </is>
      </c>
      <c r="B38" s="1" t="n">
        <v>43558</v>
      </c>
      <c r="C38" s="1" t="n">
        <v>45625</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45625</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45625</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45625</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45625</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45625</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45625</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45625</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45625</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45625</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45625</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45625</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45625</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45625</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45625</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45625</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45625</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45625</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45625</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45625</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45625</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45625</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45625</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45625</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45625</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45625</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45625</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45625</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45625</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45625</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45625</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45625</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45625</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45625</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45625</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45625</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45625</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45625</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45625</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45625</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45625</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45625</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45625</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45625</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45625</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45625</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45625</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45625</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45625</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45625</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45625</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45625</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45625</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45625</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45625</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45625</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45625</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45625</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45625</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45625</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45625</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45625</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45625</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45625</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45625</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45625</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45625</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45625</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45625</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45625</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45625</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45625</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45625</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45625</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45625</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45625</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45625</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45625</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45625</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45625</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45625</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45625</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45625</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45625</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45625</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45625</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45625</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45625</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45625</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45625</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45625</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45625</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45625</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45625</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45625</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45625</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45625</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45625</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45625</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45625</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45625</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45625</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45625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45625</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45625</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45625</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45625</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45625</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45625</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45625</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45625</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45625</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45625</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45625</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45625</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45625</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45625</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45625</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45625</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45625</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45625</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45625</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45625</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45625</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45625</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45625</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45625</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45625</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45625</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45625</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45625</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45625</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45625</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45625</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45625</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45625</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45625</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45625</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45625</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45625</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45625</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45625</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45625</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45625</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45625</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45625</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45625</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45625</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45625</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45625</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45625</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45625</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45625</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45625</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45625</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45625</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45625</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45625</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45625</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45625</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45625</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45625</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45625</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45625</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45625</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45625</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45625</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45625</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45625</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45625</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45625</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45625</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45625</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45625</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45625</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45625</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45625</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45625</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45625</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45625</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45625</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45625</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45625</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45625</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45625</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45625</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45625</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45625</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45625</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45625</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45625</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45625</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45625</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45625</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45625</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45625</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45625</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45625</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45625</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45625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45625</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45625</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45625</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45625</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45625</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45625</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45625</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45625</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45625</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45625</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45625</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45625</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45625</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45625</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45625</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45625</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45625</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45625</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45625</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45625</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45625</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45625</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45625</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45625</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45625</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45625</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45625</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45625</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45625</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45625</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45625</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45625</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45625</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45625</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45625</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45625</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45625</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45625</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45625</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45625</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45625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45625</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45625</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45625</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45625</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45625</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45625</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45625</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45625</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45625</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45625</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45625</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45625</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45625</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45625</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45625</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45625</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45625</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45625</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45625</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45625</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45625</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45625</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45625</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45625</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45625</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45625</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45625</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45625</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45625</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45625</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45625</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45625</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45625</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45625</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45625</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45625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45625</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45625</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45625</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45625</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45625</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45625</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45625</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45625</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45625</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45625</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45625</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45625</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45625</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45625</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45625</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45625</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45625</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45625</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45625</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45625</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45625</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45625</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45625</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45625</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45625</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45625</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45625</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45625</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45625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45625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45625</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45625</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45625</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45625</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45625</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45625</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45625</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45625</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45625</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45625</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45625</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45625</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45625</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45625</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45625</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45625</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45625</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45625</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45625</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45625</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45625</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45625</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45625</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45625</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45625</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45625</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45625</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45625</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45625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45625</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45625</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45625</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45625</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45625</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45625</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45625</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45625</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45625</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45625</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45625</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45625</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45625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45625</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45625</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45625</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45625</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45625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45625</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45625</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45625</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45625</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45625</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45625</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45625</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45625</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45625</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45625</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45625</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45625</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45625</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45625</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45625</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45625</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45625</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45625</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45625</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45625</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45625</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45625</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45625</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45625</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45625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45625</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45625</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45625</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45625</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45625</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45625</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45625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45625</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45625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45625</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45625</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45625</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45625</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45625</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45625</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45625</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45625</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45625</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45625</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45625</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45625</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45625</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45625</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45625</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45625</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45625</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45625</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45625</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45625</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45625</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45625</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45625</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45625</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45625</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45625</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45625</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45625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45625</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45625</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45625</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45625</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45625</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45625</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45625</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45625</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45625</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45625</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45625</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45625</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45625</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45625</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45625</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45625</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45625</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45625</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45625</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45625</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45625</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45625</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45625</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45625</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45625</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45625</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45625</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45625</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45625</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45625</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45625</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45625</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45625</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45625</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45625</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45625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45625</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45625</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45625</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45625</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45625</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45625</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45625</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45625</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45625</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45625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45625</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45625</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45625</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45625</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45625</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45625</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45625</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45625</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45625</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45625</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45625</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45625</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45625</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45625</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45625</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45625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45625</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45625</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45625</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45625</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45625</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45625</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45625</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45625</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45625</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45625</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45625</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45625</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45625</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45625</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45625</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45625</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45625</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45625</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45625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45625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45625</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45625</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45625</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45625</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45625</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45625</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45625</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45625</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45625</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45625</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45625</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45625</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45625</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45625</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45625</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45625</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45625</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45625</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45625</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45625</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45625</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45625</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45625</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45625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45625</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45625</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45625</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45625</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45625</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45625</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45625</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45625</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45625</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45625</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45625</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45625</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45625</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45625</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45625</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45625</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45625</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45625</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45625</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45625</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45625</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45625</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45625</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45625</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45625</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45625</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45625</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45625</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45625</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45625</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45625</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45625</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45625</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45625</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45625</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45625</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45625</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45625</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45625</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45625</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45625</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45625</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45625</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45625</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45625</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45625</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45625</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45625</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45625</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45625</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45625</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45625</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45625</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45625</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45625</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45625</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45625</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45625</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45625</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45625</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45625</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45625</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45625</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45625</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45625</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45625</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45625</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45625</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45625</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45625</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45625</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45625</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45625</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45625</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45625</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45625</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45625</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45625</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45625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45625</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45625</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45625</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45625</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45625</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50736-2024</t>
        </is>
      </c>
      <c r="B644" s="1" t="n">
        <v>45601</v>
      </c>
      <c r="C644" s="1" t="n">
        <v>45625</v>
      </c>
      <c r="D644" t="inlineStr">
        <is>
          <t>VÄSTRA GÖTALANDS LÄN</t>
        </is>
      </c>
      <c r="E644" t="inlineStr">
        <is>
          <t>DALS-ED</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50637-2024</t>
        </is>
      </c>
      <c r="B645" s="1" t="n">
        <v>45601</v>
      </c>
      <c r="C645" s="1" t="n">
        <v>45625</v>
      </c>
      <c r="D645" t="inlineStr">
        <is>
          <t>VÄSTRA GÖTALANDS LÄN</t>
        </is>
      </c>
      <c r="E645" t="inlineStr">
        <is>
          <t>DALS-ED</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45625</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45625</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45625</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45625</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45625</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45625</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45625</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45625</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45625</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45625</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45625</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45625</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45625</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45625</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45625</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45625</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45625</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45625</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45625</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45625</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45625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45625</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45625</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c r="A669" t="inlineStr">
        <is>
          <t>A 56344-2024</t>
        </is>
      </c>
      <c r="B669" s="1" t="n">
        <v>45624</v>
      </c>
      <c r="C669" s="1" t="n">
        <v>45625</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2024-11-29T14:59:48Z</dcterms:created>
  <dcterms:modified xmlns:dcterms="http://purl.org/dc/terms/" xmlns:xsi="http://www.w3.org/2001/XMLSchema-instance" xsi:type="dcterms:W3CDTF">2024-11-29T14:59:49Z</dcterms:modified>
</cp:coreProperties>
</file>