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45829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45829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45829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45829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45829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45829</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45829</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45829</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45829</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45829</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45829</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45829</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45829</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45829</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45829</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45829</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45829</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45829</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45829</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45829</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45829</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45829</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45829</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45829</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45829</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45829</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45829</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45829</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28013-2025</t>
        </is>
      </c>
      <c r="B30" s="1" t="n">
        <v>45817</v>
      </c>
      <c r="C30" s="1" t="n">
        <v>45829</v>
      </c>
      <c r="D30" t="inlineStr">
        <is>
          <t>VÄSTRA GÖTALANDS LÄN</t>
        </is>
      </c>
      <c r="E30" t="inlineStr">
        <is>
          <t>DALS-ED</t>
        </is>
      </c>
      <c r="G30" t="n">
        <v>6.5</v>
      </c>
      <c r="H30" t="n">
        <v>0</v>
      </c>
      <c r="I30" t="n">
        <v>1</v>
      </c>
      <c r="J30" t="n">
        <v>1</v>
      </c>
      <c r="K30" t="n">
        <v>0</v>
      </c>
      <c r="L30" t="n">
        <v>0</v>
      </c>
      <c r="M30" t="n">
        <v>0</v>
      </c>
      <c r="N30" t="n">
        <v>0</v>
      </c>
      <c r="O30" t="n">
        <v>1</v>
      </c>
      <c r="P30" t="n">
        <v>0</v>
      </c>
      <c r="Q30" t="n">
        <v>2</v>
      </c>
      <c r="R30" s="2" t="inlineStr">
        <is>
          <t>Kådvaxskinn
Jättesvampmal</t>
        </is>
      </c>
      <c r="S30">
        <f>HYPERLINK("https://klasma.github.io/Logging_141438/artfynd/A 28013-2025 artfynd.xlsx", "A 28013-2025")</f>
        <v/>
      </c>
      <c r="T30">
        <f>HYPERLINK("https://klasma.github.io/Logging_141438/kartor/A 28013-2025 karta.png", "A 28013-2025")</f>
        <v/>
      </c>
      <c r="V30">
        <f>HYPERLINK("https://klasma.github.io/Logging_141438/klagomål/A 28013-2025 FSC-klagomål.docx", "A 28013-2025")</f>
        <v/>
      </c>
      <c r="W30">
        <f>HYPERLINK("https://klasma.github.io/Logging_141438/klagomålsmail/A 28013-2025 FSC-klagomål mail.docx", "A 28013-2025")</f>
        <v/>
      </c>
      <c r="X30">
        <f>HYPERLINK("https://klasma.github.io/Logging_141438/tillsyn/A 28013-2025 tillsynsbegäran.docx", "A 28013-2025")</f>
        <v/>
      </c>
      <c r="Y30">
        <f>HYPERLINK("https://klasma.github.io/Logging_141438/tillsynsmail/A 28013-2025 tillsynsbegäran mail.docx", "A 28013-2025")</f>
        <v/>
      </c>
    </row>
    <row r="31" ht="15" customHeight="1">
      <c r="A31" t="inlineStr">
        <is>
          <t>A 48070-2019</t>
        </is>
      </c>
      <c r="B31" s="1" t="n">
        <v>43725</v>
      </c>
      <c r="C31" s="1" t="n">
        <v>45829</v>
      </c>
      <c r="D31" t="inlineStr">
        <is>
          <t>VÄSTRA GÖTALANDS LÄN</t>
        </is>
      </c>
      <c r="E31" t="inlineStr">
        <is>
          <t>DALS-ED</t>
        </is>
      </c>
      <c r="G31" t="n">
        <v>12.5</v>
      </c>
      <c r="H31" t="n">
        <v>1</v>
      </c>
      <c r="I31" t="n">
        <v>0</v>
      </c>
      <c r="J31" t="n">
        <v>1</v>
      </c>
      <c r="K31" t="n">
        <v>0</v>
      </c>
      <c r="L31" t="n">
        <v>0</v>
      </c>
      <c r="M31" t="n">
        <v>0</v>
      </c>
      <c r="N31" t="n">
        <v>0</v>
      </c>
      <c r="O31" t="n">
        <v>1</v>
      </c>
      <c r="P31" t="n">
        <v>0</v>
      </c>
      <c r="Q31" t="n">
        <v>1</v>
      </c>
      <c r="R31" s="2" t="inlineStr">
        <is>
          <t>Havsörn</t>
        </is>
      </c>
      <c r="S31">
        <f>HYPERLINK("https://klasma.github.io/Logging_1438/artfynd/A 48070-2019 artfynd.xlsx", "A 48070-2019")</f>
        <v/>
      </c>
      <c r="T31">
        <f>HYPERLINK("https://klasma.github.io/Logging_1438/kartor/A 48070-2019 karta.png", "A 48070-2019")</f>
        <v/>
      </c>
      <c r="V31">
        <f>HYPERLINK("https://klasma.github.io/Logging_1438/klagomål/A 48070-2019 FSC-klagomål.docx", "A 48070-2019")</f>
        <v/>
      </c>
      <c r="W31">
        <f>HYPERLINK("https://klasma.github.io/Logging_1438/klagomålsmail/A 48070-2019 FSC-klagomål mail.docx", "A 48070-2019")</f>
        <v/>
      </c>
      <c r="X31">
        <f>HYPERLINK("https://klasma.github.io/Logging_1438/tillsyn/A 48070-2019 tillsynsbegäran.docx", "A 48070-2019")</f>
        <v/>
      </c>
      <c r="Y31">
        <f>HYPERLINK("https://klasma.github.io/Logging_1438/tillsynsmail/A 48070-2019 tillsynsbegäran mail.docx", "A 48070-2019")</f>
        <v/>
      </c>
      <c r="Z31">
        <f>HYPERLINK("https://klasma.github.io/Logging_1438/fåglar/A 48070-2019 prioriterade fågelarter.docx", "A 48070-2019")</f>
        <v/>
      </c>
    </row>
    <row r="32" ht="15" customHeight="1">
      <c r="A32" t="inlineStr">
        <is>
          <t>A 910-2020</t>
        </is>
      </c>
      <c r="B32" s="1" t="n">
        <v>43839</v>
      </c>
      <c r="C32" s="1" t="n">
        <v>45829</v>
      </c>
      <c r="D32" t="inlineStr">
        <is>
          <t>VÄSTRA GÖTALANDS LÄN</t>
        </is>
      </c>
      <c r="E32" t="inlineStr">
        <is>
          <t>DALS-ED</t>
        </is>
      </c>
      <c r="G32" t="n">
        <v>21.3</v>
      </c>
      <c r="H32" t="n">
        <v>1</v>
      </c>
      <c r="I32" t="n">
        <v>0</v>
      </c>
      <c r="J32" t="n">
        <v>0</v>
      </c>
      <c r="K32" t="n">
        <v>1</v>
      </c>
      <c r="L32" t="n">
        <v>0</v>
      </c>
      <c r="M32" t="n">
        <v>0</v>
      </c>
      <c r="N32" t="n">
        <v>0</v>
      </c>
      <c r="O32" t="n">
        <v>1</v>
      </c>
      <c r="P32" t="n">
        <v>1</v>
      </c>
      <c r="Q32" t="n">
        <v>1</v>
      </c>
      <c r="R32" s="2" t="inlineStr">
        <is>
          <t>Lappuggla</t>
        </is>
      </c>
      <c r="S32">
        <f>HYPERLINK("https://klasma.github.io/Logging_1438/artfynd/A 910-2020 artfynd.xlsx", "A 910-2020")</f>
        <v/>
      </c>
      <c r="T32">
        <f>HYPERLINK("https://klasma.github.io/Logging_1438/kartor/A 910-2020 karta.png", "A 910-2020")</f>
        <v/>
      </c>
      <c r="V32">
        <f>HYPERLINK("https://klasma.github.io/Logging_1438/klagomål/A 910-2020 FSC-klagomål.docx", "A 910-2020")</f>
        <v/>
      </c>
      <c r="W32">
        <f>HYPERLINK("https://klasma.github.io/Logging_1438/klagomålsmail/A 910-2020 FSC-klagomål mail.docx", "A 910-2020")</f>
        <v/>
      </c>
      <c r="X32">
        <f>HYPERLINK("https://klasma.github.io/Logging_1438/tillsyn/A 910-2020 tillsynsbegäran.docx", "A 910-2020")</f>
        <v/>
      </c>
      <c r="Y32">
        <f>HYPERLINK("https://klasma.github.io/Logging_1438/tillsynsmail/A 910-2020 tillsynsbegäran mail.docx", "A 910-2020")</f>
        <v/>
      </c>
      <c r="Z32">
        <f>HYPERLINK("https://klasma.github.io/Logging_1438/fåglar/A 910-2020 prioriterade fågelarter.docx", "A 910-2020")</f>
        <v/>
      </c>
    </row>
    <row r="33" ht="15" customHeight="1">
      <c r="A33" t="inlineStr">
        <is>
          <t>A 67174-2020</t>
        </is>
      </c>
      <c r="B33" s="1" t="n">
        <v>44180</v>
      </c>
      <c r="C33" s="1" t="n">
        <v>45829</v>
      </c>
      <c r="D33" t="inlineStr">
        <is>
          <t>VÄSTRA GÖTALANDS LÄN</t>
        </is>
      </c>
      <c r="E33" t="inlineStr">
        <is>
          <t>DALS-ED</t>
        </is>
      </c>
      <c r="G33" t="n">
        <v>7.7</v>
      </c>
      <c r="H33" t="n">
        <v>0</v>
      </c>
      <c r="I33" t="n">
        <v>0</v>
      </c>
      <c r="J33" t="n">
        <v>1</v>
      </c>
      <c r="K33" t="n">
        <v>0</v>
      </c>
      <c r="L33" t="n">
        <v>0</v>
      </c>
      <c r="M33" t="n">
        <v>0</v>
      </c>
      <c r="N33" t="n">
        <v>0</v>
      </c>
      <c r="O33" t="n">
        <v>1</v>
      </c>
      <c r="P33" t="n">
        <v>0</v>
      </c>
      <c r="Q33" t="n">
        <v>1</v>
      </c>
      <c r="R33" s="2" t="inlineStr">
        <is>
          <t>Skrovellav</t>
        </is>
      </c>
      <c r="S33">
        <f>HYPERLINK("https://klasma.github.io/Logging_1438/artfynd/A 67174-2020 artfynd.xlsx", "A 67174-2020")</f>
        <v/>
      </c>
      <c r="T33">
        <f>HYPERLINK("https://klasma.github.io/Logging_1438/kartor/A 67174-2020 karta.png", "A 67174-2020")</f>
        <v/>
      </c>
      <c r="V33">
        <f>HYPERLINK("https://klasma.github.io/Logging_1438/klagomål/A 67174-2020 FSC-klagomål.docx", "A 67174-2020")</f>
        <v/>
      </c>
      <c r="W33">
        <f>HYPERLINK("https://klasma.github.io/Logging_1438/klagomålsmail/A 67174-2020 FSC-klagomål mail.docx", "A 67174-2020")</f>
        <v/>
      </c>
      <c r="X33">
        <f>HYPERLINK("https://klasma.github.io/Logging_1438/tillsyn/A 67174-2020 tillsynsbegäran.docx", "A 67174-2020")</f>
        <v/>
      </c>
      <c r="Y33">
        <f>HYPERLINK("https://klasma.github.io/Logging_1438/tillsynsmail/A 67174-2020 tillsynsbegäran mail.docx", "A 67174-2020")</f>
        <v/>
      </c>
    </row>
    <row r="34" ht="15" customHeight="1">
      <c r="A34" t="inlineStr">
        <is>
          <t>A 40355-2022</t>
        </is>
      </c>
      <c r="B34" s="1" t="n">
        <v>44818</v>
      </c>
      <c r="C34" s="1" t="n">
        <v>45829</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4113-2023</t>
        </is>
      </c>
      <c r="B35" s="1" t="n">
        <v>44952</v>
      </c>
      <c r="C35" s="1" t="n">
        <v>45829</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14793-2023</t>
        </is>
      </c>
      <c r="B36" s="1" t="n">
        <v>45014</v>
      </c>
      <c r="C36" s="1" t="n">
        <v>45829</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45829</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43216-2023</t>
        </is>
      </c>
      <c r="B38" s="1" t="n">
        <v>45183</v>
      </c>
      <c r="C38" s="1" t="n">
        <v>45829</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172-2024</t>
        </is>
      </c>
      <c r="B39" s="1" t="n">
        <v>45294</v>
      </c>
      <c r="C39" s="1" t="n">
        <v>45829</v>
      </c>
      <c r="D39" t="inlineStr">
        <is>
          <t>VÄSTRA GÖTALANDS LÄN</t>
        </is>
      </c>
      <c r="E39" t="inlineStr">
        <is>
          <t>DALS-ED</t>
        </is>
      </c>
      <c r="G39" t="n">
        <v>6.9</v>
      </c>
      <c r="H39" t="n">
        <v>0</v>
      </c>
      <c r="I39" t="n">
        <v>1</v>
      </c>
      <c r="J39" t="n">
        <v>0</v>
      </c>
      <c r="K39" t="n">
        <v>0</v>
      </c>
      <c r="L39" t="n">
        <v>0</v>
      </c>
      <c r="M39" t="n">
        <v>0</v>
      </c>
      <c r="N39" t="n">
        <v>0</v>
      </c>
      <c r="O39" t="n">
        <v>0</v>
      </c>
      <c r="P39" t="n">
        <v>0</v>
      </c>
      <c r="Q39" t="n">
        <v>1</v>
      </c>
      <c r="R39" s="2" t="inlineStr">
        <is>
          <t>Bronshjon</t>
        </is>
      </c>
      <c r="S39">
        <f>HYPERLINK("https://klasma.github.io/Logging_1438/artfynd/A 172-2024 artfynd.xlsx", "A 172-2024")</f>
        <v/>
      </c>
      <c r="T39">
        <f>HYPERLINK("https://klasma.github.io/Logging_1438/kartor/A 172-2024 karta.png", "A 172-2024")</f>
        <v/>
      </c>
      <c r="V39">
        <f>HYPERLINK("https://klasma.github.io/Logging_1438/klagomål/A 172-2024 FSC-klagomål.docx", "A 172-2024")</f>
        <v/>
      </c>
      <c r="W39">
        <f>HYPERLINK("https://klasma.github.io/Logging_1438/klagomålsmail/A 172-2024 FSC-klagomål mail.docx", "A 172-2024")</f>
        <v/>
      </c>
      <c r="X39">
        <f>HYPERLINK("https://klasma.github.io/Logging_1438/tillsyn/A 172-2024 tillsynsbegäran.docx", "A 172-2024")</f>
        <v/>
      </c>
      <c r="Y39">
        <f>HYPERLINK("https://klasma.github.io/Logging_1438/tillsynsmail/A 172-2024 tillsynsbegäran mail.docx", "A 172-2024")</f>
        <v/>
      </c>
    </row>
    <row r="40" ht="15" customHeight="1">
      <c r="A40" t="inlineStr">
        <is>
          <t>A 27871-2024</t>
        </is>
      </c>
      <c r="B40" s="1" t="n">
        <v>45475</v>
      </c>
      <c r="C40" s="1" t="n">
        <v>45829</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v>
      </c>
      <c r="C41" s="1" t="n">
        <v>45829</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43589-2024</t>
        </is>
      </c>
      <c r="B42" s="1" t="n">
        <v>45569</v>
      </c>
      <c r="C42" s="1" t="n">
        <v>45829</v>
      </c>
      <c r="D42" t="inlineStr">
        <is>
          <t>VÄSTRA GÖTALANDS LÄN</t>
        </is>
      </c>
      <c r="E42" t="inlineStr">
        <is>
          <t>DALS-ED</t>
        </is>
      </c>
      <c r="G42" t="n">
        <v>5.2</v>
      </c>
      <c r="H42" t="n">
        <v>0</v>
      </c>
      <c r="I42" t="n">
        <v>0</v>
      </c>
      <c r="J42" t="n">
        <v>1</v>
      </c>
      <c r="K42" t="n">
        <v>0</v>
      </c>
      <c r="L42" t="n">
        <v>0</v>
      </c>
      <c r="M42" t="n">
        <v>0</v>
      </c>
      <c r="N42" t="n">
        <v>0</v>
      </c>
      <c r="O42" t="n">
        <v>1</v>
      </c>
      <c r="P42" t="n">
        <v>0</v>
      </c>
      <c r="Q42" t="n">
        <v>1</v>
      </c>
      <c r="R42" s="2" t="inlineStr">
        <is>
          <t>Motaggsvamp</t>
        </is>
      </c>
      <c r="S42">
        <f>HYPERLINK("https://klasma.github.io/Logging_1438/artfynd/A 43589-2024 artfynd.xlsx", "A 43589-2024")</f>
        <v/>
      </c>
      <c r="T42">
        <f>HYPERLINK("https://klasma.github.io/Logging_1438/kartor/A 43589-2024 karta.png", "A 43589-2024")</f>
        <v/>
      </c>
      <c r="V42">
        <f>HYPERLINK("https://klasma.github.io/Logging_1438/klagomål/A 43589-2024 FSC-klagomål.docx", "A 43589-2024")</f>
        <v/>
      </c>
      <c r="W42">
        <f>HYPERLINK("https://klasma.github.io/Logging_1438/klagomålsmail/A 43589-2024 FSC-klagomål mail.docx", "A 43589-2024")</f>
        <v/>
      </c>
      <c r="X42">
        <f>HYPERLINK("https://klasma.github.io/Logging_1438/tillsyn/A 43589-2024 tillsynsbegäran.docx", "A 43589-2024")</f>
        <v/>
      </c>
      <c r="Y42">
        <f>HYPERLINK("https://klasma.github.io/Logging_1438/tillsynsmail/A 43589-2024 tillsynsbegäran mail.docx", "A 43589-2024")</f>
        <v/>
      </c>
    </row>
    <row r="43" ht="15" customHeight="1">
      <c r="A43" t="inlineStr">
        <is>
          <t>A 47656-2024</t>
        </is>
      </c>
      <c r="B43" s="1" t="n">
        <v>45588</v>
      </c>
      <c r="C43" s="1" t="n">
        <v>45829</v>
      </c>
      <c r="D43" t="inlineStr">
        <is>
          <t>VÄSTRA GÖTALANDS LÄN</t>
        </is>
      </c>
      <c r="E43" t="inlineStr">
        <is>
          <t>DALS-ED</t>
        </is>
      </c>
      <c r="G43" t="n">
        <v>7.3</v>
      </c>
      <c r="H43" t="n">
        <v>1</v>
      </c>
      <c r="I43" t="n">
        <v>0</v>
      </c>
      <c r="J43" t="n">
        <v>1</v>
      </c>
      <c r="K43" t="n">
        <v>0</v>
      </c>
      <c r="L43" t="n">
        <v>0</v>
      </c>
      <c r="M43" t="n">
        <v>0</v>
      </c>
      <c r="N43" t="n">
        <v>0</v>
      </c>
      <c r="O43" t="n">
        <v>1</v>
      </c>
      <c r="P43" t="n">
        <v>0</v>
      </c>
      <c r="Q43" t="n">
        <v>1</v>
      </c>
      <c r="R43" s="2" t="inlineStr">
        <is>
          <t>Tretåig hackspett</t>
        </is>
      </c>
      <c r="S43">
        <f>HYPERLINK("https://klasma.github.io/Logging_1438/artfynd/A 47656-2024 artfynd.xlsx", "A 47656-2024")</f>
        <v/>
      </c>
      <c r="T43">
        <f>HYPERLINK("https://klasma.github.io/Logging_1438/kartor/A 47656-2024 karta.png", "A 47656-2024")</f>
        <v/>
      </c>
      <c r="V43">
        <f>HYPERLINK("https://klasma.github.io/Logging_1438/klagomål/A 47656-2024 FSC-klagomål.docx", "A 47656-2024")</f>
        <v/>
      </c>
      <c r="W43">
        <f>HYPERLINK("https://klasma.github.io/Logging_1438/klagomålsmail/A 47656-2024 FSC-klagomål mail.docx", "A 47656-2024")</f>
        <v/>
      </c>
      <c r="X43">
        <f>HYPERLINK("https://klasma.github.io/Logging_1438/tillsyn/A 47656-2024 tillsynsbegäran.docx", "A 47656-2024")</f>
        <v/>
      </c>
      <c r="Y43">
        <f>HYPERLINK("https://klasma.github.io/Logging_1438/tillsynsmail/A 47656-2024 tillsynsbegäran mail.docx", "A 47656-2024")</f>
        <v/>
      </c>
      <c r="Z43">
        <f>HYPERLINK("https://klasma.github.io/Logging_1438/fåglar/A 47656-2024 prioriterade fågelarter.docx", "A 47656-2024")</f>
        <v/>
      </c>
    </row>
    <row r="44" ht="15" customHeight="1">
      <c r="A44" t="inlineStr">
        <is>
          <t>A 2635-2025</t>
        </is>
      </c>
      <c r="B44" s="1" t="n">
        <v>45675</v>
      </c>
      <c r="C44" s="1" t="n">
        <v>45829</v>
      </c>
      <c r="D44" t="inlineStr">
        <is>
          <t>VÄSTRA GÖTALANDS LÄN</t>
        </is>
      </c>
      <c r="E44" t="inlineStr">
        <is>
          <t>DALS-ED</t>
        </is>
      </c>
      <c r="G44" t="n">
        <v>1.8</v>
      </c>
      <c r="H44" t="n">
        <v>0</v>
      </c>
      <c r="I44" t="n">
        <v>0</v>
      </c>
      <c r="J44" t="n">
        <v>1</v>
      </c>
      <c r="K44" t="n">
        <v>0</v>
      </c>
      <c r="L44" t="n">
        <v>0</v>
      </c>
      <c r="M44" t="n">
        <v>0</v>
      </c>
      <c r="N44" t="n">
        <v>0</v>
      </c>
      <c r="O44" t="n">
        <v>1</v>
      </c>
      <c r="P44" t="n">
        <v>0</v>
      </c>
      <c r="Q44" t="n">
        <v>1</v>
      </c>
      <c r="R44" s="2" t="inlineStr">
        <is>
          <t>Luddfingersvamp</t>
        </is>
      </c>
      <c r="S44">
        <f>HYPERLINK("https://klasma.github.io/Logging_1438/artfynd/A 2635-2025 artfynd.xlsx", "A 2635-2025")</f>
        <v/>
      </c>
      <c r="T44">
        <f>HYPERLINK("https://klasma.github.io/Logging_1438/kartor/A 2635-2025 karta.png", "A 2635-2025")</f>
        <v/>
      </c>
      <c r="V44">
        <f>HYPERLINK("https://klasma.github.io/Logging_1438/klagomål/A 2635-2025 FSC-klagomål.docx", "A 2635-2025")</f>
        <v/>
      </c>
      <c r="W44">
        <f>HYPERLINK("https://klasma.github.io/Logging_1438/klagomålsmail/A 2635-2025 FSC-klagomål mail.docx", "A 2635-2025")</f>
        <v/>
      </c>
      <c r="X44">
        <f>HYPERLINK("https://klasma.github.io/Logging_1438/tillsyn/A 2635-2025 tillsynsbegäran.docx", "A 2635-2025")</f>
        <v/>
      </c>
      <c r="Y44">
        <f>HYPERLINK("https://klasma.github.io/Logging_1438/tillsynsmail/A 2635-2025 tillsynsbegäran mail.docx", "A 2635-2025")</f>
        <v/>
      </c>
    </row>
    <row r="45" ht="15" customHeight="1">
      <c r="A45" t="inlineStr">
        <is>
          <t>A 7199-2025</t>
        </is>
      </c>
      <c r="B45" s="1" t="n">
        <v>45702</v>
      </c>
      <c r="C45" s="1" t="n">
        <v>45829</v>
      </c>
      <c r="D45" t="inlineStr">
        <is>
          <t>VÄSTRA GÖTALANDS LÄN</t>
        </is>
      </c>
      <c r="E45" t="inlineStr">
        <is>
          <t>DALS-ED</t>
        </is>
      </c>
      <c r="G45" t="n">
        <v>1.5</v>
      </c>
      <c r="H45" t="n">
        <v>0</v>
      </c>
      <c r="I45" t="n">
        <v>0</v>
      </c>
      <c r="J45" t="n">
        <v>1</v>
      </c>
      <c r="K45" t="n">
        <v>0</v>
      </c>
      <c r="L45" t="n">
        <v>0</v>
      </c>
      <c r="M45" t="n">
        <v>0</v>
      </c>
      <c r="N45" t="n">
        <v>0</v>
      </c>
      <c r="O45" t="n">
        <v>1</v>
      </c>
      <c r="P45" t="n">
        <v>0</v>
      </c>
      <c r="Q45" t="n">
        <v>1</v>
      </c>
      <c r="R45" s="2" t="inlineStr">
        <is>
          <t>Blek tallfibbla</t>
        </is>
      </c>
      <c r="S45">
        <f>HYPERLINK("https://klasma.github.io/Logging_1438/artfynd/A 7199-2025 artfynd.xlsx", "A 7199-2025")</f>
        <v/>
      </c>
      <c r="T45">
        <f>HYPERLINK("https://klasma.github.io/Logging_1438/kartor/A 7199-2025 karta.png", "A 7199-2025")</f>
        <v/>
      </c>
      <c r="V45">
        <f>HYPERLINK("https://klasma.github.io/Logging_1438/klagomål/A 7199-2025 FSC-klagomål.docx", "A 7199-2025")</f>
        <v/>
      </c>
      <c r="W45">
        <f>HYPERLINK("https://klasma.github.io/Logging_1438/klagomålsmail/A 7199-2025 FSC-klagomål mail.docx", "A 7199-2025")</f>
        <v/>
      </c>
      <c r="X45">
        <f>HYPERLINK("https://klasma.github.io/Logging_1438/tillsyn/A 7199-2025 tillsynsbegäran.docx", "A 7199-2025")</f>
        <v/>
      </c>
      <c r="Y45">
        <f>HYPERLINK("https://klasma.github.io/Logging_1438/tillsynsmail/A 7199-2025 tillsynsbegäran mail.docx", "A 7199-2025")</f>
        <v/>
      </c>
    </row>
    <row r="46" ht="15" customHeight="1">
      <c r="A46" t="inlineStr">
        <is>
          <t>A 25033-2025</t>
        </is>
      </c>
      <c r="B46" s="1" t="n">
        <v>45799</v>
      </c>
      <c r="C46" s="1" t="n">
        <v>45829</v>
      </c>
      <c r="D46" t="inlineStr">
        <is>
          <t>VÄSTRA GÖTALANDS LÄN</t>
        </is>
      </c>
      <c r="E46" t="inlineStr">
        <is>
          <t>DALS-ED</t>
        </is>
      </c>
      <c r="G46" t="n">
        <v>8.6</v>
      </c>
      <c r="H46" t="n">
        <v>0</v>
      </c>
      <c r="I46" t="n">
        <v>0</v>
      </c>
      <c r="J46" t="n">
        <v>0</v>
      </c>
      <c r="K46" t="n">
        <v>0</v>
      </c>
      <c r="L46" t="n">
        <v>1</v>
      </c>
      <c r="M46" t="n">
        <v>0</v>
      </c>
      <c r="N46" t="n">
        <v>0</v>
      </c>
      <c r="O46" t="n">
        <v>1</v>
      </c>
      <c r="P46" t="n">
        <v>1</v>
      </c>
      <c r="Q46" t="n">
        <v>1</v>
      </c>
      <c r="R46" s="2" t="inlineStr">
        <is>
          <t>Ask</t>
        </is>
      </c>
      <c r="S46">
        <f>HYPERLINK("https://klasma.github.io/Logging_141438/artfynd/A 25033-2025 artfynd.xlsx", "A 25033-2025")</f>
        <v/>
      </c>
      <c r="T46">
        <f>HYPERLINK("https://klasma.github.io/Logging_141438/kartor/A 25033-2025 karta.png", "A 25033-2025")</f>
        <v/>
      </c>
      <c r="V46">
        <f>HYPERLINK("https://klasma.github.io/Logging_141438/klagomål/A 25033-2025 FSC-klagomål.docx", "A 25033-2025")</f>
        <v/>
      </c>
      <c r="W46">
        <f>HYPERLINK("https://klasma.github.io/Logging_141438/klagomålsmail/A 25033-2025 FSC-klagomål mail.docx", "A 25033-2025")</f>
        <v/>
      </c>
      <c r="X46">
        <f>HYPERLINK("https://klasma.github.io/Logging_141438/tillsyn/A 25033-2025 tillsynsbegäran.docx", "A 25033-2025")</f>
        <v/>
      </c>
      <c r="Y46">
        <f>HYPERLINK("https://klasma.github.io/Logging_141438/tillsynsmail/A 25033-2025 tillsynsbegäran mail.docx", "A 25033-2025")</f>
        <v/>
      </c>
    </row>
    <row r="47" ht="15" customHeight="1">
      <c r="A47" t="inlineStr">
        <is>
          <t>A 25638-2025</t>
        </is>
      </c>
      <c r="B47" s="1" t="n">
        <v>45803</v>
      </c>
      <c r="C47" s="1" t="n">
        <v>45829</v>
      </c>
      <c r="D47" t="inlineStr">
        <is>
          <t>VÄSTRA GÖTALANDS LÄN</t>
        </is>
      </c>
      <c r="E47" t="inlineStr">
        <is>
          <t>DALS-ED</t>
        </is>
      </c>
      <c r="G47" t="n">
        <v>1.2</v>
      </c>
      <c r="H47" t="n">
        <v>1</v>
      </c>
      <c r="I47" t="n">
        <v>0</v>
      </c>
      <c r="J47" t="n">
        <v>0</v>
      </c>
      <c r="K47" t="n">
        <v>0</v>
      </c>
      <c r="L47" t="n">
        <v>0</v>
      </c>
      <c r="M47" t="n">
        <v>0</v>
      </c>
      <c r="N47" t="n">
        <v>0</v>
      </c>
      <c r="O47" t="n">
        <v>0</v>
      </c>
      <c r="P47" t="n">
        <v>0</v>
      </c>
      <c r="Q47" t="n">
        <v>1</v>
      </c>
      <c r="R47" s="2" t="inlineStr">
        <is>
          <t>Nattskärra</t>
        </is>
      </c>
      <c r="S47">
        <f>HYPERLINK("https://klasma.github.io/Logging_141438/artfynd/A 25638-2025 artfynd.xlsx", "A 25638-2025")</f>
        <v/>
      </c>
      <c r="T47">
        <f>HYPERLINK("https://klasma.github.io/Logging_141438/kartor/A 25638-2025 karta.png", "A 25638-2025")</f>
        <v/>
      </c>
      <c r="V47">
        <f>HYPERLINK("https://klasma.github.io/Logging_141438/klagomål/A 25638-2025 FSC-klagomål.docx", "A 25638-2025")</f>
        <v/>
      </c>
      <c r="W47">
        <f>HYPERLINK("https://klasma.github.io/Logging_141438/klagomålsmail/A 25638-2025 FSC-klagomål mail.docx", "A 25638-2025")</f>
        <v/>
      </c>
      <c r="X47">
        <f>HYPERLINK("https://klasma.github.io/Logging_141438/tillsyn/A 25638-2025 tillsynsbegäran.docx", "A 25638-2025")</f>
        <v/>
      </c>
      <c r="Y47">
        <f>HYPERLINK("https://klasma.github.io/Logging_141438/tillsynsmail/A 25638-2025 tillsynsbegäran mail.docx", "A 25638-2025")</f>
        <v/>
      </c>
      <c r="Z47">
        <f>HYPERLINK("https://klasma.github.io/Logging_141438/fåglar/A 25638-2025 prioriterade fågelarter.docx", "A 25638-2025")</f>
        <v/>
      </c>
    </row>
    <row r="48" ht="15" customHeight="1">
      <c r="A48" t="inlineStr">
        <is>
          <t>A 28008-2025</t>
        </is>
      </c>
      <c r="B48" s="1" t="n">
        <v>45817</v>
      </c>
      <c r="C48" s="1" t="n">
        <v>45829</v>
      </c>
      <c r="D48" t="inlineStr">
        <is>
          <t>VÄSTRA GÖTALANDS LÄN</t>
        </is>
      </c>
      <c r="E48" t="inlineStr">
        <is>
          <t>DALS-ED</t>
        </is>
      </c>
      <c r="G48" t="n">
        <v>3</v>
      </c>
      <c r="H48" t="n">
        <v>0</v>
      </c>
      <c r="I48" t="n">
        <v>1</v>
      </c>
      <c r="J48" t="n">
        <v>0</v>
      </c>
      <c r="K48" t="n">
        <v>0</v>
      </c>
      <c r="L48" t="n">
        <v>0</v>
      </c>
      <c r="M48" t="n">
        <v>0</v>
      </c>
      <c r="N48" t="n">
        <v>0</v>
      </c>
      <c r="O48" t="n">
        <v>0</v>
      </c>
      <c r="P48" t="n">
        <v>0</v>
      </c>
      <c r="Q48" t="n">
        <v>1</v>
      </c>
      <c r="R48" s="2" t="inlineStr">
        <is>
          <t>Jättesvampmal</t>
        </is>
      </c>
      <c r="S48">
        <f>HYPERLINK("https://klasma.github.io/Logging_141438/artfynd/A 28008-2025 artfynd.xlsx", "A 28008-2025")</f>
        <v/>
      </c>
      <c r="T48">
        <f>HYPERLINK("https://klasma.github.io/Logging_141438/kartor/A 28008-2025 karta.png", "A 28008-2025")</f>
        <v/>
      </c>
      <c r="V48">
        <f>HYPERLINK("https://klasma.github.io/Logging_141438/klagomål/A 28008-2025 FSC-klagomål.docx", "A 28008-2025")</f>
        <v/>
      </c>
      <c r="W48">
        <f>HYPERLINK("https://klasma.github.io/Logging_141438/klagomålsmail/A 28008-2025 FSC-klagomål mail.docx", "A 28008-2025")</f>
        <v/>
      </c>
      <c r="X48">
        <f>HYPERLINK("https://klasma.github.io/Logging_141438/tillsyn/A 28008-2025 tillsynsbegäran.docx", "A 28008-2025")</f>
        <v/>
      </c>
      <c r="Y48">
        <f>HYPERLINK("https://klasma.github.io/Logging_141438/tillsynsmail/A 28008-2025 tillsynsbegäran mail.docx", "A 28008-2025")</f>
        <v/>
      </c>
    </row>
    <row r="49" ht="15" customHeight="1">
      <c r="A49" t="inlineStr">
        <is>
          <t>A 18329-2019</t>
        </is>
      </c>
      <c r="B49" s="1" t="n">
        <v>43558</v>
      </c>
      <c r="C49" s="1" t="n">
        <v>45829</v>
      </c>
      <c r="D49" t="inlineStr">
        <is>
          <t>VÄSTRA GÖTALANDS LÄN</t>
        </is>
      </c>
      <c r="E49" t="inlineStr">
        <is>
          <t>DALS-ED</t>
        </is>
      </c>
      <c r="F49" t="inlineStr">
        <is>
          <t>Kyrkan</t>
        </is>
      </c>
      <c r="G49" t="n">
        <v>1</v>
      </c>
      <c r="H49" t="n">
        <v>0</v>
      </c>
      <c r="I49" t="n">
        <v>0</v>
      </c>
      <c r="J49" t="n">
        <v>0</v>
      </c>
      <c r="K49" t="n">
        <v>0</v>
      </c>
      <c r="L49" t="n">
        <v>0</v>
      </c>
      <c r="M49" t="n">
        <v>0</v>
      </c>
      <c r="N49" t="n">
        <v>0</v>
      </c>
      <c r="O49" t="n">
        <v>0</v>
      </c>
      <c r="P49" t="n">
        <v>0</v>
      </c>
      <c r="Q49" t="n">
        <v>0</v>
      </c>
      <c r="R49" s="2" t="inlineStr"/>
    </row>
    <row r="50" ht="15" customHeight="1">
      <c r="A50" t="inlineStr">
        <is>
          <t>A 19644-2019</t>
        </is>
      </c>
      <c r="B50" s="1" t="n">
        <v>43566</v>
      </c>
      <c r="C50" s="1" t="n">
        <v>45829</v>
      </c>
      <c r="D50" t="inlineStr">
        <is>
          <t>VÄSTRA GÖTALANDS LÄN</t>
        </is>
      </c>
      <c r="E50" t="inlineStr">
        <is>
          <t>DALS-ED</t>
        </is>
      </c>
      <c r="G50" t="n">
        <v>1.8</v>
      </c>
      <c r="H50" t="n">
        <v>0</v>
      </c>
      <c r="I50" t="n">
        <v>0</v>
      </c>
      <c r="J50" t="n">
        <v>0</v>
      </c>
      <c r="K50" t="n">
        <v>0</v>
      </c>
      <c r="L50" t="n">
        <v>0</v>
      </c>
      <c r="M50" t="n">
        <v>0</v>
      </c>
      <c r="N50" t="n">
        <v>0</v>
      </c>
      <c r="O50" t="n">
        <v>0</v>
      </c>
      <c r="P50" t="n">
        <v>0</v>
      </c>
      <c r="Q50" t="n">
        <v>0</v>
      </c>
      <c r="R50" s="2" t="inlineStr"/>
    </row>
    <row r="51" ht="15" customHeight="1">
      <c r="A51" t="inlineStr">
        <is>
          <t>A 19639-2019</t>
        </is>
      </c>
      <c r="B51" s="1" t="n">
        <v>43566</v>
      </c>
      <c r="C51" s="1" t="n">
        <v>45829</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20074-2019</t>
        </is>
      </c>
      <c r="B52" s="1" t="n">
        <v>43570</v>
      </c>
      <c r="C52" s="1" t="n">
        <v>45829</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20286-2019</t>
        </is>
      </c>
      <c r="B53" s="1" t="n">
        <v>43571</v>
      </c>
      <c r="C53" s="1" t="n">
        <v>45829</v>
      </c>
      <c r="D53" t="inlineStr">
        <is>
          <t>VÄSTRA GÖTALANDS LÄN</t>
        </is>
      </c>
      <c r="E53" t="inlineStr">
        <is>
          <t>DALS-ED</t>
        </is>
      </c>
      <c r="G53" t="n">
        <v>2.1</v>
      </c>
      <c r="H53" t="n">
        <v>0</v>
      </c>
      <c r="I53" t="n">
        <v>0</v>
      </c>
      <c r="J53" t="n">
        <v>0</v>
      </c>
      <c r="K53" t="n">
        <v>0</v>
      </c>
      <c r="L53" t="n">
        <v>0</v>
      </c>
      <c r="M53" t="n">
        <v>0</v>
      </c>
      <c r="N53" t="n">
        <v>0</v>
      </c>
      <c r="O53" t="n">
        <v>0</v>
      </c>
      <c r="P53" t="n">
        <v>0</v>
      </c>
      <c r="Q53" t="n">
        <v>0</v>
      </c>
      <c r="R53" s="2" t="inlineStr"/>
    </row>
    <row r="54" ht="15" customHeight="1">
      <c r="A54" t="inlineStr">
        <is>
          <t>A 20979-2019</t>
        </is>
      </c>
      <c r="B54" s="1" t="n">
        <v>43578</v>
      </c>
      <c r="C54" s="1" t="n">
        <v>45829</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22554-2019</t>
        </is>
      </c>
      <c r="B55" s="1" t="n">
        <v>43587</v>
      </c>
      <c r="C55" s="1" t="n">
        <v>45829</v>
      </c>
      <c r="D55" t="inlineStr">
        <is>
          <t>VÄSTRA GÖTALANDS LÄN</t>
        </is>
      </c>
      <c r="E55" t="inlineStr">
        <is>
          <t>DALS-ED</t>
        </is>
      </c>
      <c r="G55" t="n">
        <v>1.5</v>
      </c>
      <c r="H55" t="n">
        <v>0</v>
      </c>
      <c r="I55" t="n">
        <v>0</v>
      </c>
      <c r="J55" t="n">
        <v>0</v>
      </c>
      <c r="K55" t="n">
        <v>0</v>
      </c>
      <c r="L55" t="n">
        <v>0</v>
      </c>
      <c r="M55" t="n">
        <v>0</v>
      </c>
      <c r="N55" t="n">
        <v>0</v>
      </c>
      <c r="O55" t="n">
        <v>0</v>
      </c>
      <c r="P55" t="n">
        <v>0</v>
      </c>
      <c r="Q55" t="n">
        <v>0</v>
      </c>
      <c r="R55" s="2" t="inlineStr"/>
    </row>
    <row r="56" ht="15" customHeight="1">
      <c r="A56" t="inlineStr">
        <is>
          <t>A 23597-2019</t>
        </is>
      </c>
      <c r="B56" s="1" t="n">
        <v>43587</v>
      </c>
      <c r="C56" s="1" t="n">
        <v>45829</v>
      </c>
      <c r="D56" t="inlineStr">
        <is>
          <t>VÄSTRA GÖTALANDS LÄN</t>
        </is>
      </c>
      <c r="E56" t="inlineStr">
        <is>
          <t>DALS-ED</t>
        </is>
      </c>
      <c r="G56" t="n">
        <v>2.8</v>
      </c>
      <c r="H56" t="n">
        <v>0</v>
      </c>
      <c r="I56" t="n">
        <v>0</v>
      </c>
      <c r="J56" t="n">
        <v>0</v>
      </c>
      <c r="K56" t="n">
        <v>0</v>
      </c>
      <c r="L56" t="n">
        <v>0</v>
      </c>
      <c r="M56" t="n">
        <v>0</v>
      </c>
      <c r="N56" t="n">
        <v>0</v>
      </c>
      <c r="O56" t="n">
        <v>0</v>
      </c>
      <c r="P56" t="n">
        <v>0</v>
      </c>
      <c r="Q56" t="n">
        <v>0</v>
      </c>
      <c r="R56" s="2" t="inlineStr"/>
    </row>
    <row r="57" ht="15" customHeight="1">
      <c r="A57" t="inlineStr">
        <is>
          <t>A 23634-2019</t>
        </is>
      </c>
      <c r="B57" s="1" t="n">
        <v>43587</v>
      </c>
      <c r="C57" s="1" t="n">
        <v>45829</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22667-2019</t>
        </is>
      </c>
      <c r="B58" s="1" t="n">
        <v>43587</v>
      </c>
      <c r="C58" s="1" t="n">
        <v>45829</v>
      </c>
      <c r="D58" t="inlineStr">
        <is>
          <t>VÄSTRA GÖTALANDS LÄN</t>
        </is>
      </c>
      <c r="E58" t="inlineStr">
        <is>
          <t>DALS-ED</t>
        </is>
      </c>
      <c r="G58" t="n">
        <v>4.7</v>
      </c>
      <c r="H58" t="n">
        <v>0</v>
      </c>
      <c r="I58" t="n">
        <v>0</v>
      </c>
      <c r="J58" t="n">
        <v>0</v>
      </c>
      <c r="K58" t="n">
        <v>0</v>
      </c>
      <c r="L58" t="n">
        <v>0</v>
      </c>
      <c r="M58" t="n">
        <v>0</v>
      </c>
      <c r="N58" t="n">
        <v>0</v>
      </c>
      <c r="O58" t="n">
        <v>0</v>
      </c>
      <c r="P58" t="n">
        <v>0</v>
      </c>
      <c r="Q58" t="n">
        <v>0</v>
      </c>
      <c r="R58" s="2" t="inlineStr"/>
    </row>
    <row r="59" ht="15" customHeight="1">
      <c r="A59" t="inlineStr">
        <is>
          <t>A 23623-2019</t>
        </is>
      </c>
      <c r="B59" s="1" t="n">
        <v>43587</v>
      </c>
      <c r="C59" s="1" t="n">
        <v>45829</v>
      </c>
      <c r="D59" t="inlineStr">
        <is>
          <t>VÄSTRA GÖTALANDS LÄN</t>
        </is>
      </c>
      <c r="E59" t="inlineStr">
        <is>
          <t>DALS-ED</t>
        </is>
      </c>
      <c r="G59" t="n">
        <v>0.5</v>
      </c>
      <c r="H59" t="n">
        <v>0</v>
      </c>
      <c r="I59" t="n">
        <v>0</v>
      </c>
      <c r="J59" t="n">
        <v>0</v>
      </c>
      <c r="K59" t="n">
        <v>0</v>
      </c>
      <c r="L59" t="n">
        <v>0</v>
      </c>
      <c r="M59" t="n">
        <v>0</v>
      </c>
      <c r="N59" t="n">
        <v>0</v>
      </c>
      <c r="O59" t="n">
        <v>0</v>
      </c>
      <c r="P59" t="n">
        <v>0</v>
      </c>
      <c r="Q59" t="n">
        <v>0</v>
      </c>
      <c r="R59" s="2" t="inlineStr"/>
    </row>
    <row r="60" ht="15" customHeight="1">
      <c r="A60" t="inlineStr">
        <is>
          <t>A 22662-2019</t>
        </is>
      </c>
      <c r="B60" s="1" t="n">
        <v>43587</v>
      </c>
      <c r="C60" s="1" t="n">
        <v>45829</v>
      </c>
      <c r="D60" t="inlineStr">
        <is>
          <t>VÄSTRA GÖTALANDS LÄN</t>
        </is>
      </c>
      <c r="E60" t="inlineStr">
        <is>
          <t>DALS-ED</t>
        </is>
      </c>
      <c r="G60" t="n">
        <v>3.6</v>
      </c>
      <c r="H60" t="n">
        <v>0</v>
      </c>
      <c r="I60" t="n">
        <v>0</v>
      </c>
      <c r="J60" t="n">
        <v>0</v>
      </c>
      <c r="K60" t="n">
        <v>0</v>
      </c>
      <c r="L60" t="n">
        <v>0</v>
      </c>
      <c r="M60" t="n">
        <v>0</v>
      </c>
      <c r="N60" t="n">
        <v>0</v>
      </c>
      <c r="O60" t="n">
        <v>0</v>
      </c>
      <c r="P60" t="n">
        <v>0</v>
      </c>
      <c r="Q60" t="n">
        <v>0</v>
      </c>
      <c r="R60" s="2" t="inlineStr"/>
    </row>
    <row r="61" ht="15" customHeight="1">
      <c r="A61" t="inlineStr">
        <is>
          <t>A 22851-2019</t>
        </is>
      </c>
      <c r="B61" s="1" t="n">
        <v>43591</v>
      </c>
      <c r="C61" s="1" t="n">
        <v>45829</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26262-2019</t>
        </is>
      </c>
      <c r="B62" s="1" t="n">
        <v>43610</v>
      </c>
      <c r="C62" s="1" t="n">
        <v>45829</v>
      </c>
      <c r="D62" t="inlineStr">
        <is>
          <t>VÄSTRA GÖTALANDS LÄN</t>
        </is>
      </c>
      <c r="E62" t="inlineStr">
        <is>
          <t>DALS-ED</t>
        </is>
      </c>
      <c r="G62" t="n">
        <v>1.1</v>
      </c>
      <c r="H62" t="n">
        <v>0</v>
      </c>
      <c r="I62" t="n">
        <v>0</v>
      </c>
      <c r="J62" t="n">
        <v>0</v>
      </c>
      <c r="K62" t="n">
        <v>0</v>
      </c>
      <c r="L62" t="n">
        <v>0</v>
      </c>
      <c r="M62" t="n">
        <v>0</v>
      </c>
      <c r="N62" t="n">
        <v>0</v>
      </c>
      <c r="O62" t="n">
        <v>0</v>
      </c>
      <c r="P62" t="n">
        <v>0</v>
      </c>
      <c r="Q62" t="n">
        <v>0</v>
      </c>
      <c r="R62" s="2" t="inlineStr"/>
    </row>
    <row r="63" ht="15" customHeight="1">
      <c r="A63" t="inlineStr">
        <is>
          <t>A 27112-2019</t>
        </is>
      </c>
      <c r="B63" s="1" t="n">
        <v>43612</v>
      </c>
      <c r="C63" s="1" t="n">
        <v>45829</v>
      </c>
      <c r="D63" t="inlineStr">
        <is>
          <t>VÄSTRA GÖTALANDS LÄN</t>
        </is>
      </c>
      <c r="E63" t="inlineStr">
        <is>
          <t>DALS-ED</t>
        </is>
      </c>
      <c r="G63" t="n">
        <v>11.5</v>
      </c>
      <c r="H63" t="n">
        <v>0</v>
      </c>
      <c r="I63" t="n">
        <v>0</v>
      </c>
      <c r="J63" t="n">
        <v>0</v>
      </c>
      <c r="K63" t="n">
        <v>0</v>
      </c>
      <c r="L63" t="n">
        <v>0</v>
      </c>
      <c r="M63" t="n">
        <v>0</v>
      </c>
      <c r="N63" t="n">
        <v>0</v>
      </c>
      <c r="O63" t="n">
        <v>0</v>
      </c>
      <c r="P63" t="n">
        <v>0</v>
      </c>
      <c r="Q63" t="n">
        <v>0</v>
      </c>
      <c r="R63" s="2" t="inlineStr"/>
    </row>
    <row r="64" ht="15" customHeight="1">
      <c r="A64" t="inlineStr">
        <is>
          <t>A 30280-2019</t>
        </is>
      </c>
      <c r="B64" s="1" t="n">
        <v>43633</v>
      </c>
      <c r="C64" s="1" t="n">
        <v>45829</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30458-2019</t>
        </is>
      </c>
      <c r="B65" s="1" t="n">
        <v>43633</v>
      </c>
      <c r="C65" s="1" t="n">
        <v>45829</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31950-2019</t>
        </is>
      </c>
      <c r="B66" s="1" t="n">
        <v>43643</v>
      </c>
      <c r="C66" s="1" t="n">
        <v>45829</v>
      </c>
      <c r="D66" t="inlineStr">
        <is>
          <t>VÄSTRA GÖTALANDS LÄN</t>
        </is>
      </c>
      <c r="E66" t="inlineStr">
        <is>
          <t>DALS-ED</t>
        </is>
      </c>
      <c r="G66" t="n">
        <v>9.6</v>
      </c>
      <c r="H66" t="n">
        <v>0</v>
      </c>
      <c r="I66" t="n">
        <v>0</v>
      </c>
      <c r="J66" t="n">
        <v>0</v>
      </c>
      <c r="K66" t="n">
        <v>0</v>
      </c>
      <c r="L66" t="n">
        <v>0</v>
      </c>
      <c r="M66" t="n">
        <v>0</v>
      </c>
      <c r="N66" t="n">
        <v>0</v>
      </c>
      <c r="O66" t="n">
        <v>0</v>
      </c>
      <c r="P66" t="n">
        <v>0</v>
      </c>
      <c r="Q66" t="n">
        <v>0</v>
      </c>
      <c r="R66" s="2" t="inlineStr"/>
    </row>
    <row r="67" ht="15" customHeight="1">
      <c r="A67" t="inlineStr">
        <is>
          <t>A 32345-2019</t>
        </is>
      </c>
      <c r="B67" s="1" t="n">
        <v>43644</v>
      </c>
      <c r="C67" s="1" t="n">
        <v>45829</v>
      </c>
      <c r="D67" t="inlineStr">
        <is>
          <t>VÄSTRA GÖTALANDS LÄN</t>
        </is>
      </c>
      <c r="E67" t="inlineStr">
        <is>
          <t>DALS-ED</t>
        </is>
      </c>
      <c r="G67" t="n">
        <v>2.9</v>
      </c>
      <c r="H67" t="n">
        <v>0</v>
      </c>
      <c r="I67" t="n">
        <v>0</v>
      </c>
      <c r="J67" t="n">
        <v>0</v>
      </c>
      <c r="K67" t="n">
        <v>0</v>
      </c>
      <c r="L67" t="n">
        <v>0</v>
      </c>
      <c r="M67" t="n">
        <v>0</v>
      </c>
      <c r="N67" t="n">
        <v>0</v>
      </c>
      <c r="O67" t="n">
        <v>0</v>
      </c>
      <c r="P67" t="n">
        <v>0</v>
      </c>
      <c r="Q67" t="n">
        <v>0</v>
      </c>
      <c r="R67" s="2" t="inlineStr"/>
    </row>
    <row r="68" ht="15" customHeight="1">
      <c r="A68" t="inlineStr">
        <is>
          <t>A 33501-2019</t>
        </is>
      </c>
      <c r="B68" s="1" t="n">
        <v>43651</v>
      </c>
      <c r="C68" s="1" t="n">
        <v>45829</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33500-2019</t>
        </is>
      </c>
      <c r="B69" s="1" t="n">
        <v>43651</v>
      </c>
      <c r="C69" s="1" t="n">
        <v>45829</v>
      </c>
      <c r="D69" t="inlineStr">
        <is>
          <t>VÄSTRA GÖTALANDS LÄN</t>
        </is>
      </c>
      <c r="E69" t="inlineStr">
        <is>
          <t>DALS-ED</t>
        </is>
      </c>
      <c r="G69" t="n">
        <v>0.9</v>
      </c>
      <c r="H69" t="n">
        <v>0</v>
      </c>
      <c r="I69" t="n">
        <v>0</v>
      </c>
      <c r="J69" t="n">
        <v>0</v>
      </c>
      <c r="K69" t="n">
        <v>0</v>
      </c>
      <c r="L69" t="n">
        <v>0</v>
      </c>
      <c r="M69" t="n">
        <v>0</v>
      </c>
      <c r="N69" t="n">
        <v>0</v>
      </c>
      <c r="O69" t="n">
        <v>0</v>
      </c>
      <c r="P69" t="n">
        <v>0</v>
      </c>
      <c r="Q69" t="n">
        <v>0</v>
      </c>
      <c r="R69" s="2" t="inlineStr"/>
    </row>
    <row r="70" ht="15" customHeight="1">
      <c r="A70" t="inlineStr">
        <is>
          <t>A 34607-2019</t>
        </is>
      </c>
      <c r="B70" s="1" t="n">
        <v>43657</v>
      </c>
      <c r="C70" s="1" t="n">
        <v>45829</v>
      </c>
      <c r="D70" t="inlineStr">
        <is>
          <t>VÄSTRA GÖTALANDS LÄN</t>
        </is>
      </c>
      <c r="E70" t="inlineStr">
        <is>
          <t>DALS-ED</t>
        </is>
      </c>
      <c r="G70" t="n">
        <v>2.2</v>
      </c>
      <c r="H70" t="n">
        <v>0</v>
      </c>
      <c r="I70" t="n">
        <v>0</v>
      </c>
      <c r="J70" t="n">
        <v>0</v>
      </c>
      <c r="K70" t="n">
        <v>0</v>
      </c>
      <c r="L70" t="n">
        <v>0</v>
      </c>
      <c r="M70" t="n">
        <v>0</v>
      </c>
      <c r="N70" t="n">
        <v>0</v>
      </c>
      <c r="O70" t="n">
        <v>0</v>
      </c>
      <c r="P70" t="n">
        <v>0</v>
      </c>
      <c r="Q70" t="n">
        <v>0</v>
      </c>
      <c r="R70" s="2" t="inlineStr"/>
    </row>
    <row r="71" ht="15" customHeight="1">
      <c r="A71" t="inlineStr">
        <is>
          <t>A 38502-2019</t>
        </is>
      </c>
      <c r="B71" s="1" t="n">
        <v>43685</v>
      </c>
      <c r="C71" s="1" t="n">
        <v>45829</v>
      </c>
      <c r="D71" t="inlineStr">
        <is>
          <t>VÄSTRA GÖTALANDS LÄN</t>
        </is>
      </c>
      <c r="E71" t="inlineStr">
        <is>
          <t>DALS-ED</t>
        </is>
      </c>
      <c r="G71" t="n">
        <v>15.9</v>
      </c>
      <c r="H71" t="n">
        <v>0</v>
      </c>
      <c r="I71" t="n">
        <v>0</v>
      </c>
      <c r="J71" t="n">
        <v>0</v>
      </c>
      <c r="K71" t="n">
        <v>0</v>
      </c>
      <c r="L71" t="n">
        <v>0</v>
      </c>
      <c r="M71" t="n">
        <v>0</v>
      </c>
      <c r="N71" t="n">
        <v>0</v>
      </c>
      <c r="O71" t="n">
        <v>0</v>
      </c>
      <c r="P71" t="n">
        <v>0</v>
      </c>
      <c r="Q71" t="n">
        <v>0</v>
      </c>
      <c r="R71" s="2" t="inlineStr"/>
    </row>
    <row r="72" ht="15" customHeight="1">
      <c r="A72" t="inlineStr">
        <is>
          <t>A 38512-2019</t>
        </is>
      </c>
      <c r="B72" s="1" t="n">
        <v>43685</v>
      </c>
      <c r="C72" s="1" t="n">
        <v>45829</v>
      </c>
      <c r="D72" t="inlineStr">
        <is>
          <t>VÄSTRA GÖTALANDS LÄN</t>
        </is>
      </c>
      <c r="E72" t="inlineStr">
        <is>
          <t>DALS-ED</t>
        </is>
      </c>
      <c r="G72" t="n">
        <v>24.8</v>
      </c>
      <c r="H72" t="n">
        <v>0</v>
      </c>
      <c r="I72" t="n">
        <v>0</v>
      </c>
      <c r="J72" t="n">
        <v>0</v>
      </c>
      <c r="K72" t="n">
        <v>0</v>
      </c>
      <c r="L72" t="n">
        <v>0</v>
      </c>
      <c r="M72" t="n">
        <v>0</v>
      </c>
      <c r="N72" t="n">
        <v>0</v>
      </c>
      <c r="O72" t="n">
        <v>0</v>
      </c>
      <c r="P72" t="n">
        <v>0</v>
      </c>
      <c r="Q72" t="n">
        <v>0</v>
      </c>
      <c r="R72" s="2" t="inlineStr"/>
    </row>
    <row r="73" ht="15" customHeight="1">
      <c r="A73" t="inlineStr">
        <is>
          <t>A 39062-2019</t>
        </is>
      </c>
      <c r="B73" s="1" t="n">
        <v>43689</v>
      </c>
      <c r="C73" s="1" t="n">
        <v>45829</v>
      </c>
      <c r="D73" t="inlineStr">
        <is>
          <t>VÄSTRA GÖTALANDS LÄN</t>
        </is>
      </c>
      <c r="E73" t="inlineStr">
        <is>
          <t>DALS-ED</t>
        </is>
      </c>
      <c r="F73" t="inlineStr">
        <is>
          <t>Övriga Aktiebolag</t>
        </is>
      </c>
      <c r="G73" t="n">
        <v>0.4</v>
      </c>
      <c r="H73" t="n">
        <v>0</v>
      </c>
      <c r="I73" t="n">
        <v>0</v>
      </c>
      <c r="J73" t="n">
        <v>0</v>
      </c>
      <c r="K73" t="n">
        <v>0</v>
      </c>
      <c r="L73" t="n">
        <v>0</v>
      </c>
      <c r="M73" t="n">
        <v>0</v>
      </c>
      <c r="N73" t="n">
        <v>0</v>
      </c>
      <c r="O73" t="n">
        <v>0</v>
      </c>
      <c r="P73" t="n">
        <v>0</v>
      </c>
      <c r="Q73" t="n">
        <v>0</v>
      </c>
      <c r="R73" s="2" t="inlineStr"/>
    </row>
    <row r="74" ht="15" customHeight="1">
      <c r="A74" t="inlineStr">
        <is>
          <t>A 42213-2019</t>
        </is>
      </c>
      <c r="B74" s="1" t="n">
        <v>43698</v>
      </c>
      <c r="C74" s="1" t="n">
        <v>45829</v>
      </c>
      <c r="D74" t="inlineStr">
        <is>
          <t>VÄSTRA GÖTALANDS LÄN</t>
        </is>
      </c>
      <c r="E74" t="inlineStr">
        <is>
          <t>DALS-ED</t>
        </is>
      </c>
      <c r="G74" t="n">
        <v>5.4</v>
      </c>
      <c r="H74" t="n">
        <v>0</v>
      </c>
      <c r="I74" t="n">
        <v>0</v>
      </c>
      <c r="J74" t="n">
        <v>0</v>
      </c>
      <c r="K74" t="n">
        <v>0</v>
      </c>
      <c r="L74" t="n">
        <v>0</v>
      </c>
      <c r="M74" t="n">
        <v>0</v>
      </c>
      <c r="N74" t="n">
        <v>0</v>
      </c>
      <c r="O74" t="n">
        <v>0</v>
      </c>
      <c r="P74" t="n">
        <v>0</v>
      </c>
      <c r="Q74" t="n">
        <v>0</v>
      </c>
      <c r="R74" s="2" t="inlineStr"/>
    </row>
    <row r="75" ht="15" customHeight="1">
      <c r="A75" t="inlineStr">
        <is>
          <t>A 43847-2019</t>
        </is>
      </c>
      <c r="B75" s="1" t="n">
        <v>43707</v>
      </c>
      <c r="C75" s="1" t="n">
        <v>45829</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46829-2019</t>
        </is>
      </c>
      <c r="B76" s="1" t="n">
        <v>43720</v>
      </c>
      <c r="C76" s="1" t="n">
        <v>45829</v>
      </c>
      <c r="D76" t="inlineStr">
        <is>
          <t>VÄSTRA GÖTALANDS LÄN</t>
        </is>
      </c>
      <c r="E76" t="inlineStr">
        <is>
          <t>DALS-ED</t>
        </is>
      </c>
      <c r="G76" t="n">
        <v>2.4</v>
      </c>
      <c r="H76" t="n">
        <v>0</v>
      </c>
      <c r="I76" t="n">
        <v>0</v>
      </c>
      <c r="J76" t="n">
        <v>0</v>
      </c>
      <c r="K76" t="n">
        <v>0</v>
      </c>
      <c r="L76" t="n">
        <v>0</v>
      </c>
      <c r="M76" t="n">
        <v>0</v>
      </c>
      <c r="N76" t="n">
        <v>0</v>
      </c>
      <c r="O76" t="n">
        <v>0</v>
      </c>
      <c r="P76" t="n">
        <v>0</v>
      </c>
      <c r="Q76" t="n">
        <v>0</v>
      </c>
      <c r="R76" s="2" t="inlineStr"/>
    </row>
    <row r="77" ht="15" customHeight="1">
      <c r="A77" t="inlineStr">
        <is>
          <t>A 46969-2019</t>
        </is>
      </c>
      <c r="B77" s="1" t="n">
        <v>43720</v>
      </c>
      <c r="C77" s="1" t="n">
        <v>45829</v>
      </c>
      <c r="D77" t="inlineStr">
        <is>
          <t>VÄSTRA GÖTALANDS LÄN</t>
        </is>
      </c>
      <c r="E77" t="inlineStr">
        <is>
          <t>DALS-ED</t>
        </is>
      </c>
      <c r="G77" t="n">
        <v>4.1</v>
      </c>
      <c r="H77" t="n">
        <v>0</v>
      </c>
      <c r="I77" t="n">
        <v>0</v>
      </c>
      <c r="J77" t="n">
        <v>0</v>
      </c>
      <c r="K77" t="n">
        <v>0</v>
      </c>
      <c r="L77" t="n">
        <v>0</v>
      </c>
      <c r="M77" t="n">
        <v>0</v>
      </c>
      <c r="N77" t="n">
        <v>0</v>
      </c>
      <c r="O77" t="n">
        <v>0</v>
      </c>
      <c r="P77" t="n">
        <v>0</v>
      </c>
      <c r="Q77" t="n">
        <v>0</v>
      </c>
      <c r="R77" s="2" t="inlineStr"/>
    </row>
    <row r="78" ht="15" customHeight="1">
      <c r="A78" t="inlineStr">
        <is>
          <t>A 51591-2019</t>
        </is>
      </c>
      <c r="B78" s="1" t="n">
        <v>43740</v>
      </c>
      <c r="C78" s="1" t="n">
        <v>45829</v>
      </c>
      <c r="D78" t="inlineStr">
        <is>
          <t>VÄSTRA GÖTALANDS LÄN</t>
        </is>
      </c>
      <c r="E78" t="inlineStr">
        <is>
          <t>DALS-ED</t>
        </is>
      </c>
      <c r="G78" t="n">
        <v>2.2</v>
      </c>
      <c r="H78" t="n">
        <v>0</v>
      </c>
      <c r="I78" t="n">
        <v>0</v>
      </c>
      <c r="J78" t="n">
        <v>0</v>
      </c>
      <c r="K78" t="n">
        <v>0</v>
      </c>
      <c r="L78" t="n">
        <v>0</v>
      </c>
      <c r="M78" t="n">
        <v>0</v>
      </c>
      <c r="N78" t="n">
        <v>0</v>
      </c>
      <c r="O78" t="n">
        <v>0</v>
      </c>
      <c r="P78" t="n">
        <v>0</v>
      </c>
      <c r="Q78" t="n">
        <v>0</v>
      </c>
      <c r="R78" s="2" t="inlineStr"/>
    </row>
    <row r="79" ht="15" customHeight="1">
      <c r="A79" t="inlineStr">
        <is>
          <t>A 53697-2019</t>
        </is>
      </c>
      <c r="B79" s="1" t="n">
        <v>43741</v>
      </c>
      <c r="C79" s="1" t="n">
        <v>45829</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53043-2019</t>
        </is>
      </c>
      <c r="B80" s="1" t="n">
        <v>43747</v>
      </c>
      <c r="C80" s="1" t="n">
        <v>45829</v>
      </c>
      <c r="D80" t="inlineStr">
        <is>
          <t>VÄSTRA GÖTALANDS LÄN</t>
        </is>
      </c>
      <c r="E80" t="inlineStr">
        <is>
          <t>DALS-ED</t>
        </is>
      </c>
      <c r="G80" t="n">
        <v>2.7</v>
      </c>
      <c r="H80" t="n">
        <v>0</v>
      </c>
      <c r="I80" t="n">
        <v>0</v>
      </c>
      <c r="J80" t="n">
        <v>0</v>
      </c>
      <c r="K80" t="n">
        <v>0</v>
      </c>
      <c r="L80" t="n">
        <v>0</v>
      </c>
      <c r="M80" t="n">
        <v>0</v>
      </c>
      <c r="N80" t="n">
        <v>0</v>
      </c>
      <c r="O80" t="n">
        <v>0</v>
      </c>
      <c r="P80" t="n">
        <v>0</v>
      </c>
      <c r="Q80" t="n">
        <v>0</v>
      </c>
      <c r="R80" s="2" t="inlineStr"/>
    </row>
    <row r="81" ht="15" customHeight="1">
      <c r="A81" t="inlineStr">
        <is>
          <t>A 58120-2019</t>
        </is>
      </c>
      <c r="B81" s="1" t="n">
        <v>43766</v>
      </c>
      <c r="C81" s="1" t="n">
        <v>45829</v>
      </c>
      <c r="D81" t="inlineStr">
        <is>
          <t>VÄSTRA GÖTALANDS LÄN</t>
        </is>
      </c>
      <c r="E81" t="inlineStr">
        <is>
          <t>DALS-ED</t>
        </is>
      </c>
      <c r="G81" t="n">
        <v>4.9</v>
      </c>
      <c r="H81" t="n">
        <v>0</v>
      </c>
      <c r="I81" t="n">
        <v>0</v>
      </c>
      <c r="J81" t="n">
        <v>0</v>
      </c>
      <c r="K81" t="n">
        <v>0</v>
      </c>
      <c r="L81" t="n">
        <v>0</v>
      </c>
      <c r="M81" t="n">
        <v>0</v>
      </c>
      <c r="N81" t="n">
        <v>0</v>
      </c>
      <c r="O81" t="n">
        <v>0</v>
      </c>
      <c r="P81" t="n">
        <v>0</v>
      </c>
      <c r="Q81" t="n">
        <v>0</v>
      </c>
      <c r="R81" s="2" t="inlineStr"/>
    </row>
    <row r="82" ht="15" customHeight="1">
      <c r="A82" t="inlineStr">
        <is>
          <t>A 56957-2019</t>
        </is>
      </c>
      <c r="B82" s="1" t="n">
        <v>43766</v>
      </c>
      <c r="C82" s="1" t="n">
        <v>45829</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57953-2019</t>
        </is>
      </c>
      <c r="B83" s="1" t="n">
        <v>43769</v>
      </c>
      <c r="C83" s="1" t="n">
        <v>45829</v>
      </c>
      <c r="D83" t="inlineStr">
        <is>
          <t>VÄSTRA GÖTALANDS LÄN</t>
        </is>
      </c>
      <c r="E83" t="inlineStr">
        <is>
          <t>DALS-ED</t>
        </is>
      </c>
      <c r="G83" t="n">
        <v>1.2</v>
      </c>
      <c r="H83" t="n">
        <v>0</v>
      </c>
      <c r="I83" t="n">
        <v>0</v>
      </c>
      <c r="J83" t="n">
        <v>0</v>
      </c>
      <c r="K83" t="n">
        <v>0</v>
      </c>
      <c r="L83" t="n">
        <v>0</v>
      </c>
      <c r="M83" t="n">
        <v>0</v>
      </c>
      <c r="N83" t="n">
        <v>0</v>
      </c>
      <c r="O83" t="n">
        <v>0</v>
      </c>
      <c r="P83" t="n">
        <v>0</v>
      </c>
      <c r="Q83" t="n">
        <v>0</v>
      </c>
      <c r="R83" s="2" t="inlineStr"/>
    </row>
    <row r="84" ht="15" customHeight="1">
      <c r="A84" t="inlineStr">
        <is>
          <t>A 57954-2019</t>
        </is>
      </c>
      <c r="B84" s="1" t="n">
        <v>43769</v>
      </c>
      <c r="C84" s="1" t="n">
        <v>45829</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60276-2019</t>
        </is>
      </c>
      <c r="B85" s="1" t="n">
        <v>43776</v>
      </c>
      <c r="C85" s="1" t="n">
        <v>45829</v>
      </c>
      <c r="D85" t="inlineStr">
        <is>
          <t>VÄSTRA GÖTALANDS LÄN</t>
        </is>
      </c>
      <c r="E85" t="inlineStr">
        <is>
          <t>DALS-ED</t>
        </is>
      </c>
      <c r="F85" t="inlineStr">
        <is>
          <t>Kyrkan</t>
        </is>
      </c>
      <c r="G85" t="n">
        <v>4.9</v>
      </c>
      <c r="H85" t="n">
        <v>0</v>
      </c>
      <c r="I85" t="n">
        <v>0</v>
      </c>
      <c r="J85" t="n">
        <v>0</v>
      </c>
      <c r="K85" t="n">
        <v>0</v>
      </c>
      <c r="L85" t="n">
        <v>0</v>
      </c>
      <c r="M85" t="n">
        <v>0</v>
      </c>
      <c r="N85" t="n">
        <v>0</v>
      </c>
      <c r="O85" t="n">
        <v>0</v>
      </c>
      <c r="P85" t="n">
        <v>0</v>
      </c>
      <c r="Q85" t="n">
        <v>0</v>
      </c>
      <c r="R85" s="2" t="inlineStr"/>
    </row>
    <row r="86" ht="15" customHeight="1">
      <c r="A86" t="inlineStr">
        <is>
          <t>A 60680-2019</t>
        </is>
      </c>
      <c r="B86" s="1" t="n">
        <v>43781</v>
      </c>
      <c r="C86" s="1" t="n">
        <v>45829</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61245-2019</t>
        </is>
      </c>
      <c r="B87" s="1" t="n">
        <v>43783</v>
      </c>
      <c r="C87" s="1" t="n">
        <v>45829</v>
      </c>
      <c r="D87" t="inlineStr">
        <is>
          <t>VÄSTRA GÖTALANDS LÄN</t>
        </is>
      </c>
      <c r="E87" t="inlineStr">
        <is>
          <t>DALS-ED</t>
        </is>
      </c>
      <c r="G87" t="n">
        <v>5.6</v>
      </c>
      <c r="H87" t="n">
        <v>0</v>
      </c>
      <c r="I87" t="n">
        <v>0</v>
      </c>
      <c r="J87" t="n">
        <v>0</v>
      </c>
      <c r="K87" t="n">
        <v>0</v>
      </c>
      <c r="L87" t="n">
        <v>0</v>
      </c>
      <c r="M87" t="n">
        <v>0</v>
      </c>
      <c r="N87" t="n">
        <v>0</v>
      </c>
      <c r="O87" t="n">
        <v>0</v>
      </c>
      <c r="P87" t="n">
        <v>0</v>
      </c>
      <c r="Q87" t="n">
        <v>0</v>
      </c>
      <c r="R87" s="2" t="inlineStr"/>
    </row>
    <row r="88" ht="15" customHeight="1">
      <c r="A88" t="inlineStr">
        <is>
          <t>A 62146-2019</t>
        </is>
      </c>
      <c r="B88" s="1" t="n">
        <v>43787</v>
      </c>
      <c r="C88" s="1" t="n">
        <v>45829</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63317-2019</t>
        </is>
      </c>
      <c r="B89" s="1" t="n">
        <v>43787</v>
      </c>
      <c r="C89" s="1" t="n">
        <v>45829</v>
      </c>
      <c r="D89" t="inlineStr">
        <is>
          <t>VÄSTRA GÖTALANDS LÄN</t>
        </is>
      </c>
      <c r="E89" t="inlineStr">
        <is>
          <t>DALS-ED</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62277-2019</t>
        </is>
      </c>
      <c r="B90" s="1" t="n">
        <v>43788</v>
      </c>
      <c r="C90" s="1" t="n">
        <v>45829</v>
      </c>
      <c r="D90" t="inlineStr">
        <is>
          <t>VÄSTRA GÖTALANDS LÄN</t>
        </is>
      </c>
      <c r="E90" t="inlineStr">
        <is>
          <t>DALS-ED</t>
        </is>
      </c>
      <c r="G90" t="n">
        <v>7.2</v>
      </c>
      <c r="H90" t="n">
        <v>0</v>
      </c>
      <c r="I90" t="n">
        <v>0</v>
      </c>
      <c r="J90" t="n">
        <v>0</v>
      </c>
      <c r="K90" t="n">
        <v>0</v>
      </c>
      <c r="L90" t="n">
        <v>0</v>
      </c>
      <c r="M90" t="n">
        <v>0</v>
      </c>
      <c r="N90" t="n">
        <v>0</v>
      </c>
      <c r="O90" t="n">
        <v>0</v>
      </c>
      <c r="P90" t="n">
        <v>0</v>
      </c>
      <c r="Q90" t="n">
        <v>0</v>
      </c>
      <c r="R90" s="2" t="inlineStr"/>
    </row>
    <row r="91" ht="15" customHeight="1">
      <c r="A91" t="inlineStr">
        <is>
          <t>A 64700-2019</t>
        </is>
      </c>
      <c r="B91" s="1" t="n">
        <v>43798</v>
      </c>
      <c r="C91" s="1" t="n">
        <v>45829</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65437-2019</t>
        </is>
      </c>
      <c r="B92" s="1" t="n">
        <v>43803</v>
      </c>
      <c r="C92" s="1" t="n">
        <v>45829</v>
      </c>
      <c r="D92" t="inlineStr">
        <is>
          <t>VÄSTRA GÖTALANDS LÄN</t>
        </is>
      </c>
      <c r="E92" t="inlineStr">
        <is>
          <t>DALS-ED</t>
        </is>
      </c>
      <c r="G92" t="n">
        <v>4.6</v>
      </c>
      <c r="H92" t="n">
        <v>0</v>
      </c>
      <c r="I92" t="n">
        <v>0</v>
      </c>
      <c r="J92" t="n">
        <v>0</v>
      </c>
      <c r="K92" t="n">
        <v>0</v>
      </c>
      <c r="L92" t="n">
        <v>0</v>
      </c>
      <c r="M92" t="n">
        <v>0</v>
      </c>
      <c r="N92" t="n">
        <v>0</v>
      </c>
      <c r="O92" t="n">
        <v>0</v>
      </c>
      <c r="P92" t="n">
        <v>0</v>
      </c>
      <c r="Q92" t="n">
        <v>0</v>
      </c>
      <c r="R92" s="2" t="inlineStr"/>
    </row>
    <row r="93" ht="15" customHeight="1">
      <c r="A93" t="inlineStr">
        <is>
          <t>A 67868-2019</t>
        </is>
      </c>
      <c r="B93" s="1" t="n">
        <v>43816</v>
      </c>
      <c r="C93" s="1" t="n">
        <v>45829</v>
      </c>
      <c r="D93" t="inlineStr">
        <is>
          <t>VÄSTRA GÖTALANDS LÄN</t>
        </is>
      </c>
      <c r="E93" t="inlineStr">
        <is>
          <t>DALS-ED</t>
        </is>
      </c>
      <c r="G93" t="n">
        <v>3.6</v>
      </c>
      <c r="H93" t="n">
        <v>0</v>
      </c>
      <c r="I93" t="n">
        <v>0</v>
      </c>
      <c r="J93" t="n">
        <v>0</v>
      </c>
      <c r="K93" t="n">
        <v>0</v>
      </c>
      <c r="L93" t="n">
        <v>0</v>
      </c>
      <c r="M93" t="n">
        <v>0</v>
      </c>
      <c r="N93" t="n">
        <v>0</v>
      </c>
      <c r="O93" t="n">
        <v>0</v>
      </c>
      <c r="P93" t="n">
        <v>0</v>
      </c>
      <c r="Q93" t="n">
        <v>0</v>
      </c>
      <c r="R93" s="2" t="inlineStr"/>
    </row>
    <row r="94" ht="15" customHeight="1">
      <c r="A94" t="inlineStr">
        <is>
          <t>A 4601-2020</t>
        </is>
      </c>
      <c r="B94" s="1" t="n">
        <v>43851</v>
      </c>
      <c r="C94" s="1" t="n">
        <v>45829</v>
      </c>
      <c r="D94" t="inlineStr">
        <is>
          <t>VÄSTRA GÖTALANDS LÄN</t>
        </is>
      </c>
      <c r="E94" t="inlineStr">
        <is>
          <t>DALS-ED</t>
        </is>
      </c>
      <c r="G94" t="n">
        <v>1.2</v>
      </c>
      <c r="H94" t="n">
        <v>0</v>
      </c>
      <c r="I94" t="n">
        <v>0</v>
      </c>
      <c r="J94" t="n">
        <v>0</v>
      </c>
      <c r="K94" t="n">
        <v>0</v>
      </c>
      <c r="L94" t="n">
        <v>0</v>
      </c>
      <c r="M94" t="n">
        <v>0</v>
      </c>
      <c r="N94" t="n">
        <v>0</v>
      </c>
      <c r="O94" t="n">
        <v>0</v>
      </c>
      <c r="P94" t="n">
        <v>0</v>
      </c>
      <c r="Q94" t="n">
        <v>0</v>
      </c>
      <c r="R94" s="2" t="inlineStr"/>
    </row>
    <row r="95" ht="15" customHeight="1">
      <c r="A95" t="inlineStr">
        <is>
          <t>A 5324-2020</t>
        </is>
      </c>
      <c r="B95" s="1" t="n">
        <v>43857</v>
      </c>
      <c r="C95" s="1" t="n">
        <v>45829</v>
      </c>
      <c r="D95" t="inlineStr">
        <is>
          <t>VÄSTRA GÖTALANDS LÄN</t>
        </is>
      </c>
      <c r="E95" t="inlineStr">
        <is>
          <t>DALS-ED</t>
        </is>
      </c>
      <c r="G95" t="n">
        <v>0.6</v>
      </c>
      <c r="H95" t="n">
        <v>0</v>
      </c>
      <c r="I95" t="n">
        <v>0</v>
      </c>
      <c r="J95" t="n">
        <v>0</v>
      </c>
      <c r="K95" t="n">
        <v>0</v>
      </c>
      <c r="L95" t="n">
        <v>0</v>
      </c>
      <c r="M95" t="n">
        <v>0</v>
      </c>
      <c r="N95" t="n">
        <v>0</v>
      </c>
      <c r="O95" t="n">
        <v>0</v>
      </c>
      <c r="P95" t="n">
        <v>0</v>
      </c>
      <c r="Q95" t="n">
        <v>0</v>
      </c>
      <c r="R95" s="2" t="inlineStr"/>
    </row>
    <row r="96" ht="15" customHeight="1">
      <c r="A96" t="inlineStr">
        <is>
          <t>A 6322-2020</t>
        </is>
      </c>
      <c r="B96" s="1" t="n">
        <v>43866</v>
      </c>
      <c r="C96" s="1" t="n">
        <v>45829</v>
      </c>
      <c r="D96" t="inlineStr">
        <is>
          <t>VÄSTRA GÖTALANDS LÄN</t>
        </is>
      </c>
      <c r="E96" t="inlineStr">
        <is>
          <t>DALS-ED</t>
        </is>
      </c>
      <c r="G96" t="n">
        <v>7.4</v>
      </c>
      <c r="H96" t="n">
        <v>0</v>
      </c>
      <c r="I96" t="n">
        <v>0</v>
      </c>
      <c r="J96" t="n">
        <v>0</v>
      </c>
      <c r="K96" t="n">
        <v>0</v>
      </c>
      <c r="L96" t="n">
        <v>0</v>
      </c>
      <c r="M96" t="n">
        <v>0</v>
      </c>
      <c r="N96" t="n">
        <v>0</v>
      </c>
      <c r="O96" t="n">
        <v>0</v>
      </c>
      <c r="P96" t="n">
        <v>0</v>
      </c>
      <c r="Q96" t="n">
        <v>0</v>
      </c>
      <c r="R96" s="2" t="inlineStr"/>
    </row>
    <row r="97" ht="15" customHeight="1">
      <c r="A97" t="inlineStr">
        <is>
          <t>A 7594-2020</t>
        </is>
      </c>
      <c r="B97" s="1" t="n">
        <v>43871</v>
      </c>
      <c r="C97" s="1" t="n">
        <v>45829</v>
      </c>
      <c r="D97" t="inlineStr">
        <is>
          <t>VÄSTRA GÖTALANDS LÄN</t>
        </is>
      </c>
      <c r="E97" t="inlineStr">
        <is>
          <t>DALS-ED</t>
        </is>
      </c>
      <c r="G97" t="n">
        <v>3.2</v>
      </c>
      <c r="H97" t="n">
        <v>0</v>
      </c>
      <c r="I97" t="n">
        <v>0</v>
      </c>
      <c r="J97" t="n">
        <v>0</v>
      </c>
      <c r="K97" t="n">
        <v>0</v>
      </c>
      <c r="L97" t="n">
        <v>0</v>
      </c>
      <c r="M97" t="n">
        <v>0</v>
      </c>
      <c r="N97" t="n">
        <v>0</v>
      </c>
      <c r="O97" t="n">
        <v>0</v>
      </c>
      <c r="P97" t="n">
        <v>0</v>
      </c>
      <c r="Q97" t="n">
        <v>0</v>
      </c>
      <c r="R97" s="2" t="inlineStr"/>
    </row>
    <row r="98" ht="15" customHeight="1">
      <c r="A98" t="inlineStr">
        <is>
          <t>A 7522-2020</t>
        </is>
      </c>
      <c r="B98" s="1" t="n">
        <v>43872</v>
      </c>
      <c r="C98" s="1" t="n">
        <v>45829</v>
      </c>
      <c r="D98" t="inlineStr">
        <is>
          <t>VÄSTRA GÖTALANDS LÄN</t>
        </is>
      </c>
      <c r="E98" t="inlineStr">
        <is>
          <t>DALS-ED</t>
        </is>
      </c>
      <c r="F98" t="inlineStr">
        <is>
          <t>Kommuner</t>
        </is>
      </c>
      <c r="G98" t="n">
        <v>5.5</v>
      </c>
      <c r="H98" t="n">
        <v>0</v>
      </c>
      <c r="I98" t="n">
        <v>0</v>
      </c>
      <c r="J98" t="n">
        <v>0</v>
      </c>
      <c r="K98" t="n">
        <v>0</v>
      </c>
      <c r="L98" t="n">
        <v>0</v>
      </c>
      <c r="M98" t="n">
        <v>0</v>
      </c>
      <c r="N98" t="n">
        <v>0</v>
      </c>
      <c r="O98" t="n">
        <v>0</v>
      </c>
      <c r="P98" t="n">
        <v>0</v>
      </c>
      <c r="Q98" t="n">
        <v>0</v>
      </c>
      <c r="R98" s="2" t="inlineStr"/>
    </row>
    <row r="99" ht="15" customHeight="1">
      <c r="A99" t="inlineStr">
        <is>
          <t>A 7534-2020</t>
        </is>
      </c>
      <c r="B99" s="1" t="n">
        <v>43872</v>
      </c>
      <c r="C99" s="1" t="n">
        <v>45829</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7771-2020</t>
        </is>
      </c>
      <c r="B100" s="1" t="n">
        <v>43872</v>
      </c>
      <c r="C100" s="1" t="n">
        <v>45829</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9713-2020</t>
        </is>
      </c>
      <c r="B101" s="1" t="n">
        <v>43881</v>
      </c>
      <c r="C101" s="1" t="n">
        <v>45829</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9715-2020</t>
        </is>
      </c>
      <c r="B102" s="1" t="n">
        <v>43881</v>
      </c>
      <c r="C102" s="1" t="n">
        <v>45829</v>
      </c>
      <c r="D102" t="inlineStr">
        <is>
          <t>VÄSTRA GÖTALANDS LÄN</t>
        </is>
      </c>
      <c r="E102" t="inlineStr">
        <is>
          <t>DALS-ED</t>
        </is>
      </c>
      <c r="G102" t="n">
        <v>1.2</v>
      </c>
      <c r="H102" t="n">
        <v>0</v>
      </c>
      <c r="I102" t="n">
        <v>0</v>
      </c>
      <c r="J102" t="n">
        <v>0</v>
      </c>
      <c r="K102" t="n">
        <v>0</v>
      </c>
      <c r="L102" t="n">
        <v>0</v>
      </c>
      <c r="M102" t="n">
        <v>0</v>
      </c>
      <c r="N102" t="n">
        <v>0</v>
      </c>
      <c r="O102" t="n">
        <v>0</v>
      </c>
      <c r="P102" t="n">
        <v>0</v>
      </c>
      <c r="Q102" t="n">
        <v>0</v>
      </c>
      <c r="R102" s="2" t="inlineStr"/>
    </row>
    <row r="103" ht="15" customHeight="1">
      <c r="A103" t="inlineStr">
        <is>
          <t>A 9709-2020</t>
        </is>
      </c>
      <c r="B103" s="1" t="n">
        <v>43881</v>
      </c>
      <c r="C103" s="1" t="n">
        <v>45829</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10433-2020</t>
        </is>
      </c>
      <c r="B104" s="1" t="n">
        <v>43886</v>
      </c>
      <c r="C104" s="1" t="n">
        <v>45829</v>
      </c>
      <c r="D104" t="inlineStr">
        <is>
          <t>VÄSTRA GÖTALANDS LÄN</t>
        </is>
      </c>
      <c r="E104" t="inlineStr">
        <is>
          <t>DALS-ED</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11366-2020</t>
        </is>
      </c>
      <c r="B105" s="1" t="n">
        <v>43886</v>
      </c>
      <c r="C105" s="1" t="n">
        <v>45829</v>
      </c>
      <c r="D105" t="inlineStr">
        <is>
          <t>VÄSTRA GÖTALANDS LÄN</t>
        </is>
      </c>
      <c r="E105" t="inlineStr">
        <is>
          <t>DALS-ED</t>
        </is>
      </c>
      <c r="G105" t="n">
        <v>1.3</v>
      </c>
      <c r="H105" t="n">
        <v>0</v>
      </c>
      <c r="I105" t="n">
        <v>0</v>
      </c>
      <c r="J105" t="n">
        <v>0</v>
      </c>
      <c r="K105" t="n">
        <v>0</v>
      </c>
      <c r="L105" t="n">
        <v>0</v>
      </c>
      <c r="M105" t="n">
        <v>0</v>
      </c>
      <c r="N105" t="n">
        <v>0</v>
      </c>
      <c r="O105" t="n">
        <v>0</v>
      </c>
      <c r="P105" t="n">
        <v>0</v>
      </c>
      <c r="Q105" t="n">
        <v>0</v>
      </c>
      <c r="R105" s="2" t="inlineStr"/>
    </row>
    <row r="106" ht="15" customHeight="1">
      <c r="A106" t="inlineStr">
        <is>
          <t>A 11370-2020</t>
        </is>
      </c>
      <c r="B106" s="1" t="n">
        <v>43886</v>
      </c>
      <c r="C106" s="1" t="n">
        <v>45829</v>
      </c>
      <c r="D106" t="inlineStr">
        <is>
          <t>VÄSTRA GÖTALANDS LÄN</t>
        </is>
      </c>
      <c r="E106" t="inlineStr">
        <is>
          <t>DALS-ED</t>
        </is>
      </c>
      <c r="G106" t="n">
        <v>6.5</v>
      </c>
      <c r="H106" t="n">
        <v>0</v>
      </c>
      <c r="I106" t="n">
        <v>0</v>
      </c>
      <c r="J106" t="n">
        <v>0</v>
      </c>
      <c r="K106" t="n">
        <v>0</v>
      </c>
      <c r="L106" t="n">
        <v>0</v>
      </c>
      <c r="M106" t="n">
        <v>0</v>
      </c>
      <c r="N106" t="n">
        <v>0</v>
      </c>
      <c r="O106" t="n">
        <v>0</v>
      </c>
      <c r="P106" t="n">
        <v>0</v>
      </c>
      <c r="Q106" t="n">
        <v>0</v>
      </c>
      <c r="R106" s="2" t="inlineStr"/>
    </row>
    <row r="107" ht="15" customHeight="1">
      <c r="A107" t="inlineStr">
        <is>
          <t>A 11080-2020</t>
        </is>
      </c>
      <c r="B107" s="1" t="n">
        <v>43889</v>
      </c>
      <c r="C107" s="1" t="n">
        <v>45829</v>
      </c>
      <c r="D107" t="inlineStr">
        <is>
          <t>VÄSTRA GÖTALANDS LÄN</t>
        </is>
      </c>
      <c r="E107" t="inlineStr">
        <is>
          <t>DALS-ED</t>
        </is>
      </c>
      <c r="G107" t="n">
        <v>4.4</v>
      </c>
      <c r="H107" t="n">
        <v>0</v>
      </c>
      <c r="I107" t="n">
        <v>0</v>
      </c>
      <c r="J107" t="n">
        <v>0</v>
      </c>
      <c r="K107" t="n">
        <v>0</v>
      </c>
      <c r="L107" t="n">
        <v>0</v>
      </c>
      <c r="M107" t="n">
        <v>0</v>
      </c>
      <c r="N107" t="n">
        <v>0</v>
      </c>
      <c r="O107" t="n">
        <v>0</v>
      </c>
      <c r="P107" t="n">
        <v>0</v>
      </c>
      <c r="Q107" t="n">
        <v>0</v>
      </c>
      <c r="R107" s="2" t="inlineStr"/>
    </row>
    <row r="108" ht="15" customHeight="1">
      <c r="A108" t="inlineStr">
        <is>
          <t>A 11091-2020</t>
        </is>
      </c>
      <c r="B108" s="1" t="n">
        <v>43889</v>
      </c>
      <c r="C108" s="1" t="n">
        <v>45829</v>
      </c>
      <c r="D108" t="inlineStr">
        <is>
          <t>VÄSTRA GÖTALANDS LÄN</t>
        </is>
      </c>
      <c r="E108" t="inlineStr">
        <is>
          <t>DALS-ED</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13421-2020</t>
        </is>
      </c>
      <c r="B109" s="1" t="n">
        <v>43894</v>
      </c>
      <c r="C109" s="1" t="n">
        <v>45829</v>
      </c>
      <c r="D109" t="inlineStr">
        <is>
          <t>VÄSTRA GÖTALANDS LÄN</t>
        </is>
      </c>
      <c r="E109" t="inlineStr">
        <is>
          <t>DALS-ED</t>
        </is>
      </c>
      <c r="G109" t="n">
        <v>2.9</v>
      </c>
      <c r="H109" t="n">
        <v>0</v>
      </c>
      <c r="I109" t="n">
        <v>0</v>
      </c>
      <c r="J109" t="n">
        <v>0</v>
      </c>
      <c r="K109" t="n">
        <v>0</v>
      </c>
      <c r="L109" t="n">
        <v>0</v>
      </c>
      <c r="M109" t="n">
        <v>0</v>
      </c>
      <c r="N109" t="n">
        <v>0</v>
      </c>
      <c r="O109" t="n">
        <v>0</v>
      </c>
      <c r="P109" t="n">
        <v>0</v>
      </c>
      <c r="Q109" t="n">
        <v>0</v>
      </c>
      <c r="R109" s="2" t="inlineStr"/>
    </row>
    <row r="110" ht="15" customHeight="1">
      <c r="A110" t="inlineStr">
        <is>
          <t>A 12582-2020</t>
        </is>
      </c>
      <c r="B110" s="1" t="n">
        <v>43899</v>
      </c>
      <c r="C110" s="1" t="n">
        <v>45829</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12586-2020</t>
        </is>
      </c>
      <c r="B111" s="1" t="n">
        <v>43899</v>
      </c>
      <c r="C111" s="1" t="n">
        <v>45829</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13127-2020</t>
        </is>
      </c>
      <c r="B112" s="1" t="n">
        <v>43901</v>
      </c>
      <c r="C112" s="1" t="n">
        <v>45829</v>
      </c>
      <c r="D112" t="inlineStr">
        <is>
          <t>VÄSTRA GÖTALANDS LÄN</t>
        </is>
      </c>
      <c r="E112" t="inlineStr">
        <is>
          <t>DALS-ED</t>
        </is>
      </c>
      <c r="G112" t="n">
        <v>2.2</v>
      </c>
      <c r="H112" t="n">
        <v>0</v>
      </c>
      <c r="I112" t="n">
        <v>0</v>
      </c>
      <c r="J112" t="n">
        <v>0</v>
      </c>
      <c r="K112" t="n">
        <v>0</v>
      </c>
      <c r="L112" t="n">
        <v>0</v>
      </c>
      <c r="M112" t="n">
        <v>0</v>
      </c>
      <c r="N112" t="n">
        <v>0</v>
      </c>
      <c r="O112" t="n">
        <v>0</v>
      </c>
      <c r="P112" t="n">
        <v>0</v>
      </c>
      <c r="Q112" t="n">
        <v>0</v>
      </c>
      <c r="R112" s="2" t="inlineStr"/>
    </row>
    <row r="113" ht="15" customHeight="1">
      <c r="A113" t="inlineStr">
        <is>
          <t>A 13134-2020</t>
        </is>
      </c>
      <c r="B113" s="1" t="n">
        <v>43901</v>
      </c>
      <c r="C113" s="1" t="n">
        <v>45829</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14603-2020</t>
        </is>
      </c>
      <c r="B114" s="1" t="n">
        <v>43901</v>
      </c>
      <c r="C114" s="1" t="n">
        <v>45829</v>
      </c>
      <c r="D114" t="inlineStr">
        <is>
          <t>VÄSTRA GÖTALANDS LÄN</t>
        </is>
      </c>
      <c r="E114" t="inlineStr">
        <is>
          <t>DALS-ED</t>
        </is>
      </c>
      <c r="F114" t="inlineStr">
        <is>
          <t>Kyrkan</t>
        </is>
      </c>
      <c r="G114" t="n">
        <v>0.8</v>
      </c>
      <c r="H114" t="n">
        <v>0</v>
      </c>
      <c r="I114" t="n">
        <v>0</v>
      </c>
      <c r="J114" t="n">
        <v>0</v>
      </c>
      <c r="K114" t="n">
        <v>0</v>
      </c>
      <c r="L114" t="n">
        <v>0</v>
      </c>
      <c r="M114" t="n">
        <v>0</v>
      </c>
      <c r="N114" t="n">
        <v>0</v>
      </c>
      <c r="O114" t="n">
        <v>0</v>
      </c>
      <c r="P114" t="n">
        <v>0</v>
      </c>
      <c r="Q114" t="n">
        <v>0</v>
      </c>
      <c r="R114" s="2" t="inlineStr"/>
    </row>
    <row r="115" ht="15" customHeight="1">
      <c r="A115" t="inlineStr">
        <is>
          <t>A 14413-2020</t>
        </is>
      </c>
      <c r="B115" s="1" t="n">
        <v>43908</v>
      </c>
      <c r="C115" s="1" t="n">
        <v>45829</v>
      </c>
      <c r="D115" t="inlineStr">
        <is>
          <t>VÄSTRA GÖTALANDS LÄN</t>
        </is>
      </c>
      <c r="E115" t="inlineStr">
        <is>
          <t>DALS-ED</t>
        </is>
      </c>
      <c r="G115" t="n">
        <v>5.9</v>
      </c>
      <c r="H115" t="n">
        <v>0</v>
      </c>
      <c r="I115" t="n">
        <v>0</v>
      </c>
      <c r="J115" t="n">
        <v>0</v>
      </c>
      <c r="K115" t="n">
        <v>0</v>
      </c>
      <c r="L115" t="n">
        <v>0</v>
      </c>
      <c r="M115" t="n">
        <v>0</v>
      </c>
      <c r="N115" t="n">
        <v>0</v>
      </c>
      <c r="O115" t="n">
        <v>0</v>
      </c>
      <c r="P115" t="n">
        <v>0</v>
      </c>
      <c r="Q115" t="n">
        <v>0</v>
      </c>
      <c r="R115" s="2" t="inlineStr"/>
    </row>
    <row r="116" ht="15" customHeight="1">
      <c r="A116" t="inlineStr">
        <is>
          <t>A 14568-2020</t>
        </is>
      </c>
      <c r="B116" s="1" t="n">
        <v>43908</v>
      </c>
      <c r="C116" s="1" t="n">
        <v>45829</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14646-2020</t>
        </is>
      </c>
      <c r="B117" s="1" t="n">
        <v>43909</v>
      </c>
      <c r="C117" s="1" t="n">
        <v>45829</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15841-2020</t>
        </is>
      </c>
      <c r="B118" s="1" t="n">
        <v>43915</v>
      </c>
      <c r="C118" s="1" t="n">
        <v>45829</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15819-2020</t>
        </is>
      </c>
      <c r="B119" s="1" t="n">
        <v>43915</v>
      </c>
      <c r="C119" s="1" t="n">
        <v>45829</v>
      </c>
      <c r="D119" t="inlineStr">
        <is>
          <t>VÄSTRA GÖTALANDS LÄN</t>
        </is>
      </c>
      <c r="E119" t="inlineStr">
        <is>
          <t>DALS-ED</t>
        </is>
      </c>
      <c r="G119" t="n">
        <v>10.1</v>
      </c>
      <c r="H119" t="n">
        <v>0</v>
      </c>
      <c r="I119" t="n">
        <v>0</v>
      </c>
      <c r="J119" t="n">
        <v>0</v>
      </c>
      <c r="K119" t="n">
        <v>0</v>
      </c>
      <c r="L119" t="n">
        <v>0</v>
      </c>
      <c r="M119" t="n">
        <v>0</v>
      </c>
      <c r="N119" t="n">
        <v>0</v>
      </c>
      <c r="O119" t="n">
        <v>0</v>
      </c>
      <c r="P119" t="n">
        <v>0</v>
      </c>
      <c r="Q119" t="n">
        <v>0</v>
      </c>
      <c r="R119" s="2" t="inlineStr"/>
    </row>
    <row r="120" ht="15" customHeight="1">
      <c r="A120" t="inlineStr">
        <is>
          <t>A 15827-2020</t>
        </is>
      </c>
      <c r="B120" s="1" t="n">
        <v>43915</v>
      </c>
      <c r="C120" s="1" t="n">
        <v>45829</v>
      </c>
      <c r="D120" t="inlineStr">
        <is>
          <t>VÄSTRA GÖTALANDS LÄN</t>
        </is>
      </c>
      <c r="E120" t="inlineStr">
        <is>
          <t>DALS-ED</t>
        </is>
      </c>
      <c r="F120" t="inlineStr">
        <is>
          <t>Kommuner</t>
        </is>
      </c>
      <c r="G120" t="n">
        <v>1</v>
      </c>
      <c r="H120" t="n">
        <v>0</v>
      </c>
      <c r="I120" t="n">
        <v>0</v>
      </c>
      <c r="J120" t="n">
        <v>0</v>
      </c>
      <c r="K120" t="n">
        <v>0</v>
      </c>
      <c r="L120" t="n">
        <v>0</v>
      </c>
      <c r="M120" t="n">
        <v>0</v>
      </c>
      <c r="N120" t="n">
        <v>0</v>
      </c>
      <c r="O120" t="n">
        <v>0</v>
      </c>
      <c r="P120" t="n">
        <v>0</v>
      </c>
      <c r="Q120" t="n">
        <v>0</v>
      </c>
      <c r="R120" s="2" t="inlineStr"/>
    </row>
    <row r="121" ht="15" customHeight="1">
      <c r="A121" t="inlineStr">
        <is>
          <t>A 16256-2020</t>
        </is>
      </c>
      <c r="B121" s="1" t="n">
        <v>43917</v>
      </c>
      <c r="C121" s="1" t="n">
        <v>45829</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16411-2020</t>
        </is>
      </c>
      <c r="B122" s="1" t="n">
        <v>43918</v>
      </c>
      <c r="C122" s="1" t="n">
        <v>45829</v>
      </c>
      <c r="D122" t="inlineStr">
        <is>
          <t>VÄSTRA GÖTALANDS LÄN</t>
        </is>
      </c>
      <c r="E122" t="inlineStr">
        <is>
          <t>DALS-ED</t>
        </is>
      </c>
      <c r="G122" t="n">
        <v>1.7</v>
      </c>
      <c r="H122" t="n">
        <v>0</v>
      </c>
      <c r="I122" t="n">
        <v>0</v>
      </c>
      <c r="J122" t="n">
        <v>0</v>
      </c>
      <c r="K122" t="n">
        <v>0</v>
      </c>
      <c r="L122" t="n">
        <v>0</v>
      </c>
      <c r="M122" t="n">
        <v>0</v>
      </c>
      <c r="N122" t="n">
        <v>0</v>
      </c>
      <c r="O122" t="n">
        <v>0</v>
      </c>
      <c r="P122" t="n">
        <v>0</v>
      </c>
      <c r="Q122" t="n">
        <v>0</v>
      </c>
      <c r="R122" s="2" t="inlineStr"/>
    </row>
    <row r="123" ht="15" customHeight="1">
      <c r="A123" t="inlineStr">
        <is>
          <t>A 17539-2020</t>
        </is>
      </c>
      <c r="B123" s="1" t="n">
        <v>43923</v>
      </c>
      <c r="C123" s="1" t="n">
        <v>45829</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17537-2020</t>
        </is>
      </c>
      <c r="B124" s="1" t="n">
        <v>43923</v>
      </c>
      <c r="C124" s="1" t="n">
        <v>45829</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17839-2020</t>
        </is>
      </c>
      <c r="B125" s="1" t="n">
        <v>43924</v>
      </c>
      <c r="C125" s="1" t="n">
        <v>45829</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18152-2020</t>
        </is>
      </c>
      <c r="B126" s="1" t="n">
        <v>43927</v>
      </c>
      <c r="C126" s="1" t="n">
        <v>45829</v>
      </c>
      <c r="D126" t="inlineStr">
        <is>
          <t>VÄSTRA GÖTALANDS LÄN</t>
        </is>
      </c>
      <c r="E126" t="inlineStr">
        <is>
          <t>DALS-ED</t>
        </is>
      </c>
      <c r="G126" t="n">
        <v>1.9</v>
      </c>
      <c r="H126" t="n">
        <v>0</v>
      </c>
      <c r="I126" t="n">
        <v>0</v>
      </c>
      <c r="J126" t="n">
        <v>0</v>
      </c>
      <c r="K126" t="n">
        <v>0</v>
      </c>
      <c r="L126" t="n">
        <v>0</v>
      </c>
      <c r="M126" t="n">
        <v>0</v>
      </c>
      <c r="N126" t="n">
        <v>0</v>
      </c>
      <c r="O126" t="n">
        <v>0</v>
      </c>
      <c r="P126" t="n">
        <v>0</v>
      </c>
      <c r="Q126" t="n">
        <v>0</v>
      </c>
      <c r="R126" s="2" t="inlineStr"/>
    </row>
    <row r="127" ht="15" customHeight="1">
      <c r="A127" t="inlineStr">
        <is>
          <t>A 19132-2020</t>
        </is>
      </c>
      <c r="B127" s="1" t="n">
        <v>43936</v>
      </c>
      <c r="C127" s="1" t="n">
        <v>45829</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20265-2020</t>
        </is>
      </c>
      <c r="B128" s="1" t="n">
        <v>43945</v>
      </c>
      <c r="C128" s="1" t="n">
        <v>45829</v>
      </c>
      <c r="D128" t="inlineStr">
        <is>
          <t>VÄSTRA GÖTALANDS LÄN</t>
        </is>
      </c>
      <c r="E128" t="inlineStr">
        <is>
          <t>DALS-ED</t>
        </is>
      </c>
      <c r="G128" t="n">
        <v>3.9</v>
      </c>
      <c r="H128" t="n">
        <v>0</v>
      </c>
      <c r="I128" t="n">
        <v>0</v>
      </c>
      <c r="J128" t="n">
        <v>0</v>
      </c>
      <c r="K128" t="n">
        <v>0</v>
      </c>
      <c r="L128" t="n">
        <v>0</v>
      </c>
      <c r="M128" t="n">
        <v>0</v>
      </c>
      <c r="N128" t="n">
        <v>0</v>
      </c>
      <c r="O128" t="n">
        <v>0</v>
      </c>
      <c r="P128" t="n">
        <v>0</v>
      </c>
      <c r="Q128" t="n">
        <v>0</v>
      </c>
      <c r="R128" s="2" t="inlineStr"/>
    </row>
    <row r="129" ht="15" customHeight="1">
      <c r="A129" t="inlineStr">
        <is>
          <t>A 20470-2020</t>
        </is>
      </c>
      <c r="B129" s="1" t="n">
        <v>43945</v>
      </c>
      <c r="C129" s="1" t="n">
        <v>45829</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20966-2020</t>
        </is>
      </c>
      <c r="B130" s="1" t="n">
        <v>43950</v>
      </c>
      <c r="C130" s="1" t="n">
        <v>45829</v>
      </c>
      <c r="D130" t="inlineStr">
        <is>
          <t>VÄSTRA GÖTALANDS LÄN</t>
        </is>
      </c>
      <c r="E130" t="inlineStr">
        <is>
          <t>DALS-ED</t>
        </is>
      </c>
      <c r="G130" t="n">
        <v>2.1</v>
      </c>
      <c r="H130" t="n">
        <v>0</v>
      </c>
      <c r="I130" t="n">
        <v>0</v>
      </c>
      <c r="J130" t="n">
        <v>0</v>
      </c>
      <c r="K130" t="n">
        <v>0</v>
      </c>
      <c r="L130" t="n">
        <v>0</v>
      </c>
      <c r="M130" t="n">
        <v>0</v>
      </c>
      <c r="N130" t="n">
        <v>0</v>
      </c>
      <c r="O130" t="n">
        <v>0</v>
      </c>
      <c r="P130" t="n">
        <v>0</v>
      </c>
      <c r="Q130" t="n">
        <v>0</v>
      </c>
      <c r="R130" s="2" t="inlineStr"/>
    </row>
    <row r="131" ht="15" customHeight="1">
      <c r="A131" t="inlineStr">
        <is>
          <t>A 20882-2020</t>
        </is>
      </c>
      <c r="B131" s="1" t="n">
        <v>43950</v>
      </c>
      <c r="C131" s="1" t="n">
        <v>45829</v>
      </c>
      <c r="D131" t="inlineStr">
        <is>
          <t>VÄSTRA GÖTALANDS LÄN</t>
        </is>
      </c>
      <c r="E131" t="inlineStr">
        <is>
          <t>DALS-ED</t>
        </is>
      </c>
      <c r="G131" t="n">
        <v>10.2</v>
      </c>
      <c r="H131" t="n">
        <v>0</v>
      </c>
      <c r="I131" t="n">
        <v>0</v>
      </c>
      <c r="J131" t="n">
        <v>0</v>
      </c>
      <c r="K131" t="n">
        <v>0</v>
      </c>
      <c r="L131" t="n">
        <v>0</v>
      </c>
      <c r="M131" t="n">
        <v>0</v>
      </c>
      <c r="N131" t="n">
        <v>0</v>
      </c>
      <c r="O131" t="n">
        <v>0</v>
      </c>
      <c r="P131" t="n">
        <v>0</v>
      </c>
      <c r="Q131" t="n">
        <v>0</v>
      </c>
      <c r="R131" s="2" t="inlineStr"/>
    </row>
    <row r="132" ht="15" customHeight="1">
      <c r="A132" t="inlineStr">
        <is>
          <t>A 21253-2020</t>
        </is>
      </c>
      <c r="B132" s="1" t="n">
        <v>43955</v>
      </c>
      <c r="C132" s="1" t="n">
        <v>45829</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22559-2020</t>
        </is>
      </c>
      <c r="B133" s="1" t="n">
        <v>43959</v>
      </c>
      <c r="C133" s="1" t="n">
        <v>45829</v>
      </c>
      <c r="D133" t="inlineStr">
        <is>
          <t>VÄSTRA GÖTALANDS LÄN</t>
        </is>
      </c>
      <c r="E133" t="inlineStr">
        <is>
          <t>DALS-ED</t>
        </is>
      </c>
      <c r="F133" t="inlineStr">
        <is>
          <t>Kyrkan</t>
        </is>
      </c>
      <c r="G133" t="n">
        <v>3.7</v>
      </c>
      <c r="H133" t="n">
        <v>0</v>
      </c>
      <c r="I133" t="n">
        <v>0</v>
      </c>
      <c r="J133" t="n">
        <v>0</v>
      </c>
      <c r="K133" t="n">
        <v>0</v>
      </c>
      <c r="L133" t="n">
        <v>0</v>
      </c>
      <c r="M133" t="n">
        <v>0</v>
      </c>
      <c r="N133" t="n">
        <v>0</v>
      </c>
      <c r="O133" t="n">
        <v>0</v>
      </c>
      <c r="P133" t="n">
        <v>0</v>
      </c>
      <c r="Q133" t="n">
        <v>0</v>
      </c>
      <c r="R133" s="2" t="inlineStr"/>
    </row>
    <row r="134" ht="15" customHeight="1">
      <c r="A134" t="inlineStr">
        <is>
          <t>A 23239-2020</t>
        </is>
      </c>
      <c r="B134" s="1" t="n">
        <v>43964</v>
      </c>
      <c r="C134" s="1" t="n">
        <v>45829</v>
      </c>
      <c r="D134" t="inlineStr">
        <is>
          <t>VÄSTRA GÖTALANDS LÄN</t>
        </is>
      </c>
      <c r="E134" t="inlineStr">
        <is>
          <t>DALS-ED</t>
        </is>
      </c>
      <c r="G134" t="n">
        <v>5.5</v>
      </c>
      <c r="H134" t="n">
        <v>0</v>
      </c>
      <c r="I134" t="n">
        <v>0</v>
      </c>
      <c r="J134" t="n">
        <v>0</v>
      </c>
      <c r="K134" t="n">
        <v>0</v>
      </c>
      <c r="L134" t="n">
        <v>0</v>
      </c>
      <c r="M134" t="n">
        <v>0</v>
      </c>
      <c r="N134" t="n">
        <v>0</v>
      </c>
      <c r="O134" t="n">
        <v>0</v>
      </c>
      <c r="P134" t="n">
        <v>0</v>
      </c>
      <c r="Q134" t="n">
        <v>0</v>
      </c>
      <c r="R134" s="2" t="inlineStr"/>
    </row>
    <row r="135" ht="15" customHeight="1">
      <c r="A135" t="inlineStr">
        <is>
          <t>A 25847-2020</t>
        </is>
      </c>
      <c r="B135" s="1" t="n">
        <v>43983</v>
      </c>
      <c r="C135" s="1" t="n">
        <v>45829</v>
      </c>
      <c r="D135" t="inlineStr">
        <is>
          <t>VÄSTRA GÖTALANDS LÄN</t>
        </is>
      </c>
      <c r="E135" t="inlineStr">
        <is>
          <t>DALS-ED</t>
        </is>
      </c>
      <c r="G135" t="n">
        <v>3.4</v>
      </c>
      <c r="H135" t="n">
        <v>0</v>
      </c>
      <c r="I135" t="n">
        <v>0</v>
      </c>
      <c r="J135" t="n">
        <v>0</v>
      </c>
      <c r="K135" t="n">
        <v>0</v>
      </c>
      <c r="L135" t="n">
        <v>0</v>
      </c>
      <c r="M135" t="n">
        <v>0</v>
      </c>
      <c r="N135" t="n">
        <v>0</v>
      </c>
      <c r="O135" t="n">
        <v>0</v>
      </c>
      <c r="P135" t="n">
        <v>0</v>
      </c>
      <c r="Q135" t="n">
        <v>0</v>
      </c>
      <c r="R135" s="2" t="inlineStr"/>
    </row>
    <row r="136" ht="15" customHeight="1">
      <c r="A136" t="inlineStr">
        <is>
          <t>A 26804-2020</t>
        </is>
      </c>
      <c r="B136" s="1" t="n">
        <v>43987</v>
      </c>
      <c r="C136" s="1" t="n">
        <v>45829</v>
      </c>
      <c r="D136" t="inlineStr">
        <is>
          <t>VÄSTRA GÖTALANDS LÄN</t>
        </is>
      </c>
      <c r="E136" t="inlineStr">
        <is>
          <t>DALS-ED</t>
        </is>
      </c>
      <c r="G136" t="n">
        <v>3.3</v>
      </c>
      <c r="H136" t="n">
        <v>0</v>
      </c>
      <c r="I136" t="n">
        <v>0</v>
      </c>
      <c r="J136" t="n">
        <v>0</v>
      </c>
      <c r="K136" t="n">
        <v>0</v>
      </c>
      <c r="L136" t="n">
        <v>0</v>
      </c>
      <c r="M136" t="n">
        <v>0</v>
      </c>
      <c r="N136" t="n">
        <v>0</v>
      </c>
      <c r="O136" t="n">
        <v>0</v>
      </c>
      <c r="P136" t="n">
        <v>0</v>
      </c>
      <c r="Q136" t="n">
        <v>0</v>
      </c>
      <c r="R136" s="2" t="inlineStr"/>
    </row>
    <row r="137" ht="15" customHeight="1">
      <c r="A137" t="inlineStr">
        <is>
          <t>A 32111-2020</t>
        </is>
      </c>
      <c r="B137" s="1" t="n">
        <v>44014</v>
      </c>
      <c r="C137" s="1" t="n">
        <v>45829</v>
      </c>
      <c r="D137" t="inlineStr">
        <is>
          <t>VÄSTRA GÖTALANDS LÄN</t>
        </is>
      </c>
      <c r="E137" t="inlineStr">
        <is>
          <t>DALS-ED</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32100-2020</t>
        </is>
      </c>
      <c r="B138" s="1" t="n">
        <v>44014</v>
      </c>
      <c r="C138" s="1" t="n">
        <v>45829</v>
      </c>
      <c r="D138" t="inlineStr">
        <is>
          <t>VÄSTRA GÖTALANDS LÄN</t>
        </is>
      </c>
      <c r="E138" t="inlineStr">
        <is>
          <t>DALS-ED</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33377-2020</t>
        </is>
      </c>
      <c r="B139" s="1" t="n">
        <v>44021</v>
      </c>
      <c r="C139" s="1" t="n">
        <v>45829</v>
      </c>
      <c r="D139" t="inlineStr">
        <is>
          <t>VÄSTRA GÖTALANDS LÄN</t>
        </is>
      </c>
      <c r="E139" t="inlineStr">
        <is>
          <t>DALS-ED</t>
        </is>
      </c>
      <c r="G139" t="n">
        <v>4</v>
      </c>
      <c r="H139" t="n">
        <v>0</v>
      </c>
      <c r="I139" t="n">
        <v>0</v>
      </c>
      <c r="J139" t="n">
        <v>0</v>
      </c>
      <c r="K139" t="n">
        <v>0</v>
      </c>
      <c r="L139" t="n">
        <v>0</v>
      </c>
      <c r="M139" t="n">
        <v>0</v>
      </c>
      <c r="N139" t="n">
        <v>0</v>
      </c>
      <c r="O139" t="n">
        <v>0</v>
      </c>
      <c r="P139" t="n">
        <v>0</v>
      </c>
      <c r="Q139" t="n">
        <v>0</v>
      </c>
      <c r="R139" s="2" t="inlineStr"/>
    </row>
    <row r="140" ht="15" customHeight="1">
      <c r="A140" t="inlineStr">
        <is>
          <t>A 33698-2020</t>
        </is>
      </c>
      <c r="B140" s="1" t="n">
        <v>44022</v>
      </c>
      <c r="C140" s="1" t="n">
        <v>45829</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33706-2020</t>
        </is>
      </c>
      <c r="B141" s="1" t="n">
        <v>44022</v>
      </c>
      <c r="C141" s="1" t="n">
        <v>45829</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35885-2020</t>
        </is>
      </c>
      <c r="B142" s="1" t="n">
        <v>44047</v>
      </c>
      <c r="C142" s="1" t="n">
        <v>45829</v>
      </c>
      <c r="D142" t="inlineStr">
        <is>
          <t>VÄSTRA GÖTALANDS LÄN</t>
        </is>
      </c>
      <c r="E142" t="inlineStr">
        <is>
          <t>DALS-ED</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36266-2020</t>
        </is>
      </c>
      <c r="B143" s="1" t="n">
        <v>44049</v>
      </c>
      <c r="C143" s="1" t="n">
        <v>45829</v>
      </c>
      <c r="D143" t="inlineStr">
        <is>
          <t>VÄSTRA GÖTALANDS LÄN</t>
        </is>
      </c>
      <c r="E143" t="inlineStr">
        <is>
          <t>DALS-ED</t>
        </is>
      </c>
      <c r="G143" t="n">
        <v>5.7</v>
      </c>
      <c r="H143" t="n">
        <v>0</v>
      </c>
      <c r="I143" t="n">
        <v>0</v>
      </c>
      <c r="J143" t="n">
        <v>0</v>
      </c>
      <c r="K143" t="n">
        <v>0</v>
      </c>
      <c r="L143" t="n">
        <v>0</v>
      </c>
      <c r="M143" t="n">
        <v>0</v>
      </c>
      <c r="N143" t="n">
        <v>0</v>
      </c>
      <c r="O143" t="n">
        <v>0</v>
      </c>
      <c r="P143" t="n">
        <v>0</v>
      </c>
      <c r="Q143" t="n">
        <v>0</v>
      </c>
      <c r="R143" s="2" t="inlineStr"/>
    </row>
    <row r="144" ht="15" customHeight="1">
      <c r="A144" t="inlineStr">
        <is>
          <t>A 36260-2020</t>
        </is>
      </c>
      <c r="B144" s="1" t="n">
        <v>44049</v>
      </c>
      <c r="C144" s="1" t="n">
        <v>45829</v>
      </c>
      <c r="D144" t="inlineStr">
        <is>
          <t>VÄSTRA GÖTALANDS LÄN</t>
        </is>
      </c>
      <c r="E144" t="inlineStr">
        <is>
          <t>DALS-ED</t>
        </is>
      </c>
      <c r="G144" t="n">
        <v>13.6</v>
      </c>
      <c r="H144" t="n">
        <v>0</v>
      </c>
      <c r="I144" t="n">
        <v>0</v>
      </c>
      <c r="J144" t="n">
        <v>0</v>
      </c>
      <c r="K144" t="n">
        <v>0</v>
      </c>
      <c r="L144" t="n">
        <v>0</v>
      </c>
      <c r="M144" t="n">
        <v>0</v>
      </c>
      <c r="N144" t="n">
        <v>0</v>
      </c>
      <c r="O144" t="n">
        <v>0</v>
      </c>
      <c r="P144" t="n">
        <v>0</v>
      </c>
      <c r="Q144" t="n">
        <v>0</v>
      </c>
      <c r="R144" s="2" t="inlineStr"/>
      <c r="U144">
        <f>HYPERLINK("https://klasma.github.io/Logging_1438/knärot/A 36260-2020 karta knärot.png", "A 36260-2020")</f>
        <v/>
      </c>
      <c r="V144">
        <f>HYPERLINK("https://klasma.github.io/Logging_1438/klagomål/A 36260-2020 FSC-klagomål.docx", "A 36260-2020")</f>
        <v/>
      </c>
      <c r="W144">
        <f>HYPERLINK("https://klasma.github.io/Logging_1438/klagomålsmail/A 36260-2020 FSC-klagomål mail.docx", "A 36260-2020")</f>
        <v/>
      </c>
      <c r="X144">
        <f>HYPERLINK("https://klasma.github.io/Logging_1438/tillsyn/A 36260-2020 tillsynsbegäran.docx", "A 36260-2020")</f>
        <v/>
      </c>
      <c r="Y144">
        <f>HYPERLINK("https://klasma.github.io/Logging_1438/tillsynsmail/A 36260-2020 tillsynsbegäran mail.docx", "A 36260-2020")</f>
        <v/>
      </c>
    </row>
    <row r="145" ht="15" customHeight="1">
      <c r="A145" t="inlineStr">
        <is>
          <t>A 38892-2020</t>
        </is>
      </c>
      <c r="B145" s="1" t="n">
        <v>44062</v>
      </c>
      <c r="C145" s="1" t="n">
        <v>45829</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40706-2020</t>
        </is>
      </c>
      <c r="B146" s="1" t="n">
        <v>44069</v>
      </c>
      <c r="C146" s="1" t="n">
        <v>45829</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42497-2020</t>
        </is>
      </c>
      <c r="B147" s="1" t="n">
        <v>44077</v>
      </c>
      <c r="C147" s="1" t="n">
        <v>45829</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46213-2020</t>
        </is>
      </c>
      <c r="B148" s="1" t="n">
        <v>44092</v>
      </c>
      <c r="C148" s="1" t="n">
        <v>45829</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50118-2020</t>
        </is>
      </c>
      <c r="B149" s="1" t="n">
        <v>44109</v>
      </c>
      <c r="C149" s="1" t="n">
        <v>45829</v>
      </c>
      <c r="D149" t="inlineStr">
        <is>
          <t>VÄSTRA GÖTALANDS LÄN</t>
        </is>
      </c>
      <c r="E149" t="inlineStr">
        <is>
          <t>DALS-ED</t>
        </is>
      </c>
      <c r="G149" t="n">
        <v>13.4</v>
      </c>
      <c r="H149" t="n">
        <v>0</v>
      </c>
      <c r="I149" t="n">
        <v>0</v>
      </c>
      <c r="J149" t="n">
        <v>0</v>
      </c>
      <c r="K149" t="n">
        <v>0</v>
      </c>
      <c r="L149" t="n">
        <v>0</v>
      </c>
      <c r="M149" t="n">
        <v>0</v>
      </c>
      <c r="N149" t="n">
        <v>0</v>
      </c>
      <c r="O149" t="n">
        <v>0</v>
      </c>
      <c r="P149" t="n">
        <v>0</v>
      </c>
      <c r="Q149" t="n">
        <v>0</v>
      </c>
      <c r="R149" s="2" t="inlineStr"/>
    </row>
    <row r="150" ht="15" customHeight="1">
      <c r="A150" t="inlineStr">
        <is>
          <t>A 50064-2020</t>
        </is>
      </c>
      <c r="B150" s="1" t="n">
        <v>44109</v>
      </c>
      <c r="C150" s="1" t="n">
        <v>45829</v>
      </c>
      <c r="D150" t="inlineStr">
        <is>
          <t>VÄSTRA GÖTALANDS LÄN</t>
        </is>
      </c>
      <c r="E150" t="inlineStr">
        <is>
          <t>DALS-ED</t>
        </is>
      </c>
      <c r="G150" t="n">
        <v>3.8</v>
      </c>
      <c r="H150" t="n">
        <v>0</v>
      </c>
      <c r="I150" t="n">
        <v>0</v>
      </c>
      <c r="J150" t="n">
        <v>0</v>
      </c>
      <c r="K150" t="n">
        <v>0</v>
      </c>
      <c r="L150" t="n">
        <v>0</v>
      </c>
      <c r="M150" t="n">
        <v>0</v>
      </c>
      <c r="N150" t="n">
        <v>0</v>
      </c>
      <c r="O150" t="n">
        <v>0</v>
      </c>
      <c r="P150" t="n">
        <v>0</v>
      </c>
      <c r="Q150" t="n">
        <v>0</v>
      </c>
      <c r="R150" s="2" t="inlineStr"/>
    </row>
    <row r="151" ht="15" customHeight="1">
      <c r="A151" t="inlineStr">
        <is>
          <t>A 50104-2020</t>
        </is>
      </c>
      <c r="B151" s="1" t="n">
        <v>44109</v>
      </c>
      <c r="C151" s="1" t="n">
        <v>45829</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53567-2020</t>
        </is>
      </c>
      <c r="B152" s="1" t="n">
        <v>44124</v>
      </c>
      <c r="C152" s="1" t="n">
        <v>45829</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53595-2020</t>
        </is>
      </c>
      <c r="B153" s="1" t="n">
        <v>44124</v>
      </c>
      <c r="C153" s="1" t="n">
        <v>45829</v>
      </c>
      <c r="D153" t="inlineStr">
        <is>
          <t>VÄSTRA GÖTALANDS LÄN</t>
        </is>
      </c>
      <c r="E153" t="inlineStr">
        <is>
          <t>DALS-ED</t>
        </is>
      </c>
      <c r="G153" t="n">
        <v>5</v>
      </c>
      <c r="H153" t="n">
        <v>0</v>
      </c>
      <c r="I153" t="n">
        <v>0</v>
      </c>
      <c r="J153" t="n">
        <v>0</v>
      </c>
      <c r="K153" t="n">
        <v>0</v>
      </c>
      <c r="L153" t="n">
        <v>0</v>
      </c>
      <c r="M153" t="n">
        <v>0</v>
      </c>
      <c r="N153" t="n">
        <v>0</v>
      </c>
      <c r="O153" t="n">
        <v>0</v>
      </c>
      <c r="P153" t="n">
        <v>0</v>
      </c>
      <c r="Q153" t="n">
        <v>0</v>
      </c>
      <c r="R153" s="2" t="inlineStr"/>
    </row>
    <row r="154" ht="15" customHeight="1">
      <c r="A154" t="inlineStr">
        <is>
          <t>A 53606-2020</t>
        </is>
      </c>
      <c r="B154" s="1" t="n">
        <v>44124</v>
      </c>
      <c r="C154" s="1" t="n">
        <v>45829</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55728-2020</t>
        </is>
      </c>
      <c r="B155" s="1" t="n">
        <v>44132</v>
      </c>
      <c r="C155" s="1" t="n">
        <v>45829</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55763-2020</t>
        </is>
      </c>
      <c r="B156" s="1" t="n">
        <v>44132</v>
      </c>
      <c r="C156" s="1" t="n">
        <v>45829</v>
      </c>
      <c r="D156" t="inlineStr">
        <is>
          <t>VÄSTRA GÖTALANDS LÄN</t>
        </is>
      </c>
      <c r="E156" t="inlineStr">
        <is>
          <t>DALS-ED</t>
        </is>
      </c>
      <c r="G156" t="n">
        <v>3</v>
      </c>
      <c r="H156" t="n">
        <v>0</v>
      </c>
      <c r="I156" t="n">
        <v>0</v>
      </c>
      <c r="J156" t="n">
        <v>0</v>
      </c>
      <c r="K156" t="n">
        <v>0</v>
      </c>
      <c r="L156" t="n">
        <v>0</v>
      </c>
      <c r="M156" t="n">
        <v>0</v>
      </c>
      <c r="N156" t="n">
        <v>0</v>
      </c>
      <c r="O156" t="n">
        <v>0</v>
      </c>
      <c r="P156" t="n">
        <v>0</v>
      </c>
      <c r="Q156" t="n">
        <v>0</v>
      </c>
      <c r="R156" s="2" t="inlineStr"/>
    </row>
    <row r="157" ht="15" customHeight="1">
      <c r="A157" t="inlineStr">
        <is>
          <t>A 55940-2020</t>
        </is>
      </c>
      <c r="B157" s="1" t="n">
        <v>44133</v>
      </c>
      <c r="C157" s="1" t="n">
        <v>45829</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56016-2020</t>
        </is>
      </c>
      <c r="B158" s="1" t="n">
        <v>44133</v>
      </c>
      <c r="C158" s="1" t="n">
        <v>45829</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57201-2020</t>
        </is>
      </c>
      <c r="B159" s="1" t="n">
        <v>44139</v>
      </c>
      <c r="C159" s="1" t="n">
        <v>45829</v>
      </c>
      <c r="D159" t="inlineStr">
        <is>
          <t>VÄSTRA GÖTALANDS LÄN</t>
        </is>
      </c>
      <c r="E159" t="inlineStr">
        <is>
          <t>DALS-ED</t>
        </is>
      </c>
      <c r="G159" t="n">
        <v>10.8</v>
      </c>
      <c r="H159" t="n">
        <v>0</v>
      </c>
      <c r="I159" t="n">
        <v>0</v>
      </c>
      <c r="J159" t="n">
        <v>0</v>
      </c>
      <c r="K159" t="n">
        <v>0</v>
      </c>
      <c r="L159" t="n">
        <v>0</v>
      </c>
      <c r="M159" t="n">
        <v>0</v>
      </c>
      <c r="N159" t="n">
        <v>0</v>
      </c>
      <c r="O159" t="n">
        <v>0</v>
      </c>
      <c r="P159" t="n">
        <v>0</v>
      </c>
      <c r="Q159" t="n">
        <v>0</v>
      </c>
      <c r="R159" s="2" t="inlineStr"/>
    </row>
    <row r="160" ht="15" customHeight="1">
      <c r="A160" t="inlineStr">
        <is>
          <t>A 59943-2020</t>
        </is>
      </c>
      <c r="B160" s="1" t="n">
        <v>44151</v>
      </c>
      <c r="C160" s="1" t="n">
        <v>45829</v>
      </c>
      <c r="D160" t="inlineStr">
        <is>
          <t>VÄSTRA GÖTALANDS LÄN</t>
        </is>
      </c>
      <c r="E160" t="inlineStr">
        <is>
          <t>DALS-ED</t>
        </is>
      </c>
      <c r="G160" t="n">
        <v>3.4</v>
      </c>
      <c r="H160" t="n">
        <v>0</v>
      </c>
      <c r="I160" t="n">
        <v>0</v>
      </c>
      <c r="J160" t="n">
        <v>0</v>
      </c>
      <c r="K160" t="n">
        <v>0</v>
      </c>
      <c r="L160" t="n">
        <v>0</v>
      </c>
      <c r="M160" t="n">
        <v>0</v>
      </c>
      <c r="N160" t="n">
        <v>0</v>
      </c>
      <c r="O160" t="n">
        <v>0</v>
      </c>
      <c r="P160" t="n">
        <v>0</v>
      </c>
      <c r="Q160" t="n">
        <v>0</v>
      </c>
      <c r="R160" s="2" t="inlineStr"/>
    </row>
    <row r="161" ht="15" customHeight="1">
      <c r="A161" t="inlineStr">
        <is>
          <t>A 63280-2020</t>
        </is>
      </c>
      <c r="B161" s="1" t="n">
        <v>44165</v>
      </c>
      <c r="C161" s="1" t="n">
        <v>45829</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65174-2020</t>
        </is>
      </c>
      <c r="B162" s="1" t="n">
        <v>44168</v>
      </c>
      <c r="C162" s="1" t="n">
        <v>45829</v>
      </c>
      <c r="D162" t="inlineStr">
        <is>
          <t>VÄSTRA GÖTALANDS LÄN</t>
        </is>
      </c>
      <c r="E162" t="inlineStr">
        <is>
          <t>DALS-ED</t>
        </is>
      </c>
      <c r="F162" t="inlineStr">
        <is>
          <t>Kyrkan</t>
        </is>
      </c>
      <c r="G162" t="n">
        <v>5.3</v>
      </c>
      <c r="H162" t="n">
        <v>0</v>
      </c>
      <c r="I162" t="n">
        <v>0</v>
      </c>
      <c r="J162" t="n">
        <v>0</v>
      </c>
      <c r="K162" t="n">
        <v>0</v>
      </c>
      <c r="L162" t="n">
        <v>0</v>
      </c>
      <c r="M162" t="n">
        <v>0</v>
      </c>
      <c r="N162" t="n">
        <v>0</v>
      </c>
      <c r="O162" t="n">
        <v>0</v>
      </c>
      <c r="P162" t="n">
        <v>0</v>
      </c>
      <c r="Q162" t="n">
        <v>0</v>
      </c>
      <c r="R162" s="2" t="inlineStr"/>
    </row>
    <row r="163" ht="15" customHeight="1">
      <c r="A163" t="inlineStr">
        <is>
          <t>A 67113-2020</t>
        </is>
      </c>
      <c r="B163" s="1" t="n">
        <v>44180</v>
      </c>
      <c r="C163" s="1" t="n">
        <v>45829</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67873-2020</t>
        </is>
      </c>
      <c r="B164" s="1" t="n">
        <v>44182</v>
      </c>
      <c r="C164" s="1" t="n">
        <v>45829</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68347-2020</t>
        </is>
      </c>
      <c r="B165" s="1" t="n">
        <v>44182</v>
      </c>
      <c r="C165" s="1" t="n">
        <v>45829</v>
      </c>
      <c r="D165" t="inlineStr">
        <is>
          <t>VÄSTRA GÖTALANDS LÄN</t>
        </is>
      </c>
      <c r="E165" t="inlineStr">
        <is>
          <t>DALS-ED</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69122-2020</t>
        </is>
      </c>
      <c r="B166" s="1" t="n">
        <v>44188</v>
      </c>
      <c r="C166" s="1" t="n">
        <v>45829</v>
      </c>
      <c r="D166" t="inlineStr">
        <is>
          <t>VÄSTRA GÖTALANDS LÄN</t>
        </is>
      </c>
      <c r="E166" t="inlineStr">
        <is>
          <t>DALS-ED</t>
        </is>
      </c>
      <c r="G166" t="n">
        <v>2.7</v>
      </c>
      <c r="H166" t="n">
        <v>0</v>
      </c>
      <c r="I166" t="n">
        <v>0</v>
      </c>
      <c r="J166" t="n">
        <v>0</v>
      </c>
      <c r="K166" t="n">
        <v>0</v>
      </c>
      <c r="L166" t="n">
        <v>0</v>
      </c>
      <c r="M166" t="n">
        <v>0</v>
      </c>
      <c r="N166" t="n">
        <v>0</v>
      </c>
      <c r="O166" t="n">
        <v>0</v>
      </c>
      <c r="P166" t="n">
        <v>0</v>
      </c>
      <c r="Q166" t="n">
        <v>0</v>
      </c>
      <c r="R166" s="2" t="inlineStr"/>
    </row>
    <row r="167" ht="15" customHeight="1">
      <c r="A167" t="inlineStr">
        <is>
          <t>A 3147-2021</t>
        </is>
      </c>
      <c r="B167" s="1" t="n">
        <v>44217</v>
      </c>
      <c r="C167" s="1" t="n">
        <v>45829</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3846-2021</t>
        </is>
      </c>
      <c r="B168" s="1" t="n">
        <v>44217</v>
      </c>
      <c r="C168" s="1" t="n">
        <v>45829</v>
      </c>
      <c r="D168" t="inlineStr">
        <is>
          <t>VÄSTRA GÖTALANDS LÄN</t>
        </is>
      </c>
      <c r="E168" t="inlineStr">
        <is>
          <t>DALS-ED</t>
        </is>
      </c>
      <c r="G168" t="n">
        <v>8.5</v>
      </c>
      <c r="H168" t="n">
        <v>0</v>
      </c>
      <c r="I168" t="n">
        <v>0</v>
      </c>
      <c r="J168" t="n">
        <v>0</v>
      </c>
      <c r="K168" t="n">
        <v>0</v>
      </c>
      <c r="L168" t="n">
        <v>0</v>
      </c>
      <c r="M168" t="n">
        <v>0</v>
      </c>
      <c r="N168" t="n">
        <v>0</v>
      </c>
      <c r="O168" t="n">
        <v>0</v>
      </c>
      <c r="P168" t="n">
        <v>0</v>
      </c>
      <c r="Q168" t="n">
        <v>0</v>
      </c>
      <c r="R168" s="2" t="inlineStr"/>
    </row>
    <row r="169" ht="15" customHeight="1">
      <c r="A169" t="inlineStr">
        <is>
          <t>A 3773-2021</t>
        </is>
      </c>
      <c r="B169" s="1" t="n">
        <v>44217</v>
      </c>
      <c r="C169" s="1" t="n">
        <v>45829</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3468-2021</t>
        </is>
      </c>
      <c r="B170" s="1" t="n">
        <v>44218</v>
      </c>
      <c r="C170" s="1" t="n">
        <v>45829</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3390-2021</t>
        </is>
      </c>
      <c r="B171" s="1" t="n">
        <v>44218</v>
      </c>
      <c r="C171" s="1" t="n">
        <v>45829</v>
      </c>
      <c r="D171" t="inlineStr">
        <is>
          <t>VÄSTRA GÖTALANDS LÄN</t>
        </is>
      </c>
      <c r="E171" t="inlineStr">
        <is>
          <t>DALS-ED</t>
        </is>
      </c>
      <c r="G171" t="n">
        <v>2.3</v>
      </c>
      <c r="H171" t="n">
        <v>0</v>
      </c>
      <c r="I171" t="n">
        <v>0</v>
      </c>
      <c r="J171" t="n">
        <v>0</v>
      </c>
      <c r="K171" t="n">
        <v>0</v>
      </c>
      <c r="L171" t="n">
        <v>0</v>
      </c>
      <c r="M171" t="n">
        <v>0</v>
      </c>
      <c r="N171" t="n">
        <v>0</v>
      </c>
      <c r="O171" t="n">
        <v>0</v>
      </c>
      <c r="P171" t="n">
        <v>0</v>
      </c>
      <c r="Q171" t="n">
        <v>0</v>
      </c>
      <c r="R171" s="2" t="inlineStr"/>
    </row>
    <row r="172" ht="15" customHeight="1">
      <c r="A172" t="inlineStr">
        <is>
          <t>A 4075-2021</t>
        </is>
      </c>
      <c r="B172" s="1" t="n">
        <v>44222</v>
      </c>
      <c r="C172" s="1" t="n">
        <v>45829</v>
      </c>
      <c r="D172" t="inlineStr">
        <is>
          <t>VÄSTRA GÖTALANDS LÄN</t>
        </is>
      </c>
      <c r="E172" t="inlineStr">
        <is>
          <t>DALS-ED</t>
        </is>
      </c>
      <c r="G172" t="n">
        <v>10.4</v>
      </c>
      <c r="H172" t="n">
        <v>0</v>
      </c>
      <c r="I172" t="n">
        <v>0</v>
      </c>
      <c r="J172" t="n">
        <v>0</v>
      </c>
      <c r="K172" t="n">
        <v>0</v>
      </c>
      <c r="L172" t="n">
        <v>0</v>
      </c>
      <c r="M172" t="n">
        <v>0</v>
      </c>
      <c r="N172" t="n">
        <v>0</v>
      </c>
      <c r="O172" t="n">
        <v>0</v>
      </c>
      <c r="P172" t="n">
        <v>0</v>
      </c>
      <c r="Q172" t="n">
        <v>0</v>
      </c>
      <c r="R172" s="2" t="inlineStr"/>
    </row>
    <row r="173" ht="15" customHeight="1">
      <c r="A173" t="inlineStr">
        <is>
          <t>A 5003-2021</t>
        </is>
      </c>
      <c r="B173" s="1" t="n">
        <v>44228</v>
      </c>
      <c r="C173" s="1" t="n">
        <v>45829</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5532-2021</t>
        </is>
      </c>
      <c r="B174" s="1" t="n">
        <v>44230</v>
      </c>
      <c r="C174" s="1" t="n">
        <v>45829</v>
      </c>
      <c r="D174" t="inlineStr">
        <is>
          <t>VÄSTRA GÖTALANDS LÄN</t>
        </is>
      </c>
      <c r="E174" t="inlineStr">
        <is>
          <t>DALS-ED</t>
        </is>
      </c>
      <c r="G174" t="n">
        <v>9</v>
      </c>
      <c r="H174" t="n">
        <v>0</v>
      </c>
      <c r="I174" t="n">
        <v>0</v>
      </c>
      <c r="J174" t="n">
        <v>0</v>
      </c>
      <c r="K174" t="n">
        <v>0</v>
      </c>
      <c r="L174" t="n">
        <v>0</v>
      </c>
      <c r="M174" t="n">
        <v>0</v>
      </c>
      <c r="N174" t="n">
        <v>0</v>
      </c>
      <c r="O174" t="n">
        <v>0</v>
      </c>
      <c r="P174" t="n">
        <v>0</v>
      </c>
      <c r="Q174" t="n">
        <v>0</v>
      </c>
      <c r="R174" s="2" t="inlineStr"/>
    </row>
    <row r="175" ht="15" customHeight="1">
      <c r="A175" t="inlineStr">
        <is>
          <t>A 5766-2021</t>
        </is>
      </c>
      <c r="B175" s="1" t="n">
        <v>44230</v>
      </c>
      <c r="C175" s="1" t="n">
        <v>45829</v>
      </c>
      <c r="D175" t="inlineStr">
        <is>
          <t>VÄSTRA GÖTALANDS LÄN</t>
        </is>
      </c>
      <c r="E175" t="inlineStr">
        <is>
          <t>DALS-ED</t>
        </is>
      </c>
      <c r="G175" t="n">
        <v>3.5</v>
      </c>
      <c r="H175" t="n">
        <v>0</v>
      </c>
      <c r="I175" t="n">
        <v>0</v>
      </c>
      <c r="J175" t="n">
        <v>0</v>
      </c>
      <c r="K175" t="n">
        <v>0</v>
      </c>
      <c r="L175" t="n">
        <v>0</v>
      </c>
      <c r="M175" t="n">
        <v>0</v>
      </c>
      <c r="N175" t="n">
        <v>0</v>
      </c>
      <c r="O175" t="n">
        <v>0</v>
      </c>
      <c r="P175" t="n">
        <v>0</v>
      </c>
      <c r="Q175" t="n">
        <v>0</v>
      </c>
      <c r="R175" s="2" t="inlineStr"/>
    </row>
    <row r="176" ht="15" customHeight="1">
      <c r="A176" t="inlineStr">
        <is>
          <t>A 6113-2021</t>
        </is>
      </c>
      <c r="B176" s="1" t="n">
        <v>44232</v>
      </c>
      <c r="C176" s="1" t="n">
        <v>45829</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6690-2021</t>
        </is>
      </c>
      <c r="B177" s="1" t="n">
        <v>44236</v>
      </c>
      <c r="C177" s="1" t="n">
        <v>45829</v>
      </c>
      <c r="D177" t="inlineStr">
        <is>
          <t>VÄSTRA GÖTALANDS LÄN</t>
        </is>
      </c>
      <c r="E177" t="inlineStr">
        <is>
          <t>DALS-ED</t>
        </is>
      </c>
      <c r="G177" t="n">
        <v>1.7</v>
      </c>
      <c r="H177" t="n">
        <v>0</v>
      </c>
      <c r="I177" t="n">
        <v>0</v>
      </c>
      <c r="J177" t="n">
        <v>0</v>
      </c>
      <c r="K177" t="n">
        <v>0</v>
      </c>
      <c r="L177" t="n">
        <v>0</v>
      </c>
      <c r="M177" t="n">
        <v>0</v>
      </c>
      <c r="N177" t="n">
        <v>0</v>
      </c>
      <c r="O177" t="n">
        <v>0</v>
      </c>
      <c r="P177" t="n">
        <v>0</v>
      </c>
      <c r="Q177" t="n">
        <v>0</v>
      </c>
      <c r="R177" s="2" t="inlineStr"/>
    </row>
    <row r="178" ht="15" customHeight="1">
      <c r="A178" t="inlineStr">
        <is>
          <t>A 6668-2021</t>
        </is>
      </c>
      <c r="B178" s="1" t="n">
        <v>44236</v>
      </c>
      <c r="C178" s="1" t="n">
        <v>45829</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6674-2021</t>
        </is>
      </c>
      <c r="B179" s="1" t="n">
        <v>44236</v>
      </c>
      <c r="C179" s="1" t="n">
        <v>45829</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6829-2021</t>
        </is>
      </c>
      <c r="B180" s="1" t="n">
        <v>44237</v>
      </c>
      <c r="C180" s="1" t="n">
        <v>45829</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6826-2021</t>
        </is>
      </c>
      <c r="B181" s="1" t="n">
        <v>44237</v>
      </c>
      <c r="C181" s="1" t="n">
        <v>45829</v>
      </c>
      <c r="D181" t="inlineStr">
        <is>
          <t>VÄSTRA GÖTALANDS LÄN</t>
        </is>
      </c>
      <c r="E181" t="inlineStr">
        <is>
          <t>DALS-ED</t>
        </is>
      </c>
      <c r="G181" t="n">
        <v>3.2</v>
      </c>
      <c r="H181" t="n">
        <v>0</v>
      </c>
      <c r="I181" t="n">
        <v>0</v>
      </c>
      <c r="J181" t="n">
        <v>0</v>
      </c>
      <c r="K181" t="n">
        <v>0</v>
      </c>
      <c r="L181" t="n">
        <v>0</v>
      </c>
      <c r="M181" t="n">
        <v>0</v>
      </c>
      <c r="N181" t="n">
        <v>0</v>
      </c>
      <c r="O181" t="n">
        <v>0</v>
      </c>
      <c r="P181" t="n">
        <v>0</v>
      </c>
      <c r="Q181" t="n">
        <v>0</v>
      </c>
      <c r="R181" s="2" t="inlineStr"/>
    </row>
    <row r="182" ht="15" customHeight="1">
      <c r="A182" t="inlineStr">
        <is>
          <t>A 9084-2021</t>
        </is>
      </c>
      <c r="B182" s="1" t="n">
        <v>44249</v>
      </c>
      <c r="C182" s="1" t="n">
        <v>45829</v>
      </c>
      <c r="D182" t="inlineStr">
        <is>
          <t>VÄSTRA GÖTALANDS LÄN</t>
        </is>
      </c>
      <c r="E182" t="inlineStr">
        <is>
          <t>DALS-ED</t>
        </is>
      </c>
      <c r="F182" t="inlineStr">
        <is>
          <t>Övriga Aktiebolag</t>
        </is>
      </c>
      <c r="G182" t="n">
        <v>3.8</v>
      </c>
      <c r="H182" t="n">
        <v>0</v>
      </c>
      <c r="I182" t="n">
        <v>0</v>
      </c>
      <c r="J182" t="n">
        <v>0</v>
      </c>
      <c r="K182" t="n">
        <v>0</v>
      </c>
      <c r="L182" t="n">
        <v>0</v>
      </c>
      <c r="M182" t="n">
        <v>0</v>
      </c>
      <c r="N182" t="n">
        <v>0</v>
      </c>
      <c r="O182" t="n">
        <v>0</v>
      </c>
      <c r="P182" t="n">
        <v>0</v>
      </c>
      <c r="Q182" t="n">
        <v>0</v>
      </c>
      <c r="R182" s="2" t="inlineStr"/>
    </row>
    <row r="183" ht="15" customHeight="1">
      <c r="A183" t="inlineStr">
        <is>
          <t>A 10321-2021</t>
        </is>
      </c>
      <c r="B183" s="1" t="n">
        <v>44257</v>
      </c>
      <c r="C183" s="1" t="n">
        <v>45829</v>
      </c>
      <c r="D183" t="inlineStr">
        <is>
          <t>VÄSTRA GÖTALANDS LÄN</t>
        </is>
      </c>
      <c r="E183" t="inlineStr">
        <is>
          <t>DALS-ED</t>
        </is>
      </c>
      <c r="G183" t="n">
        <v>3.1</v>
      </c>
      <c r="H183" t="n">
        <v>0</v>
      </c>
      <c r="I183" t="n">
        <v>0</v>
      </c>
      <c r="J183" t="n">
        <v>0</v>
      </c>
      <c r="K183" t="n">
        <v>0</v>
      </c>
      <c r="L183" t="n">
        <v>0</v>
      </c>
      <c r="M183" t="n">
        <v>0</v>
      </c>
      <c r="N183" t="n">
        <v>0</v>
      </c>
      <c r="O183" t="n">
        <v>0</v>
      </c>
      <c r="P183" t="n">
        <v>0</v>
      </c>
      <c r="Q183" t="n">
        <v>0</v>
      </c>
      <c r="R183" s="2" t="inlineStr"/>
    </row>
    <row r="184" ht="15" customHeight="1">
      <c r="A184" t="inlineStr">
        <is>
          <t>A 11526-2021</t>
        </is>
      </c>
      <c r="B184" s="1" t="n">
        <v>44264</v>
      </c>
      <c r="C184" s="1" t="n">
        <v>45829</v>
      </c>
      <c r="D184" t="inlineStr">
        <is>
          <t>VÄSTRA GÖTALANDS LÄN</t>
        </is>
      </c>
      <c r="E184" t="inlineStr">
        <is>
          <t>DALS-ED</t>
        </is>
      </c>
      <c r="G184" t="n">
        <v>5.6</v>
      </c>
      <c r="H184" t="n">
        <v>0</v>
      </c>
      <c r="I184" t="n">
        <v>0</v>
      </c>
      <c r="J184" t="n">
        <v>0</v>
      </c>
      <c r="K184" t="n">
        <v>0</v>
      </c>
      <c r="L184" t="n">
        <v>0</v>
      </c>
      <c r="M184" t="n">
        <v>0</v>
      </c>
      <c r="N184" t="n">
        <v>0</v>
      </c>
      <c r="O184" t="n">
        <v>0</v>
      </c>
      <c r="P184" t="n">
        <v>0</v>
      </c>
      <c r="Q184" t="n">
        <v>0</v>
      </c>
      <c r="R184" s="2" t="inlineStr"/>
    </row>
    <row r="185" ht="15" customHeight="1">
      <c r="A185" t="inlineStr">
        <is>
          <t>A 11656-2021</t>
        </is>
      </c>
      <c r="B185" s="1" t="n">
        <v>44264</v>
      </c>
      <c r="C185" s="1" t="n">
        <v>45829</v>
      </c>
      <c r="D185" t="inlineStr">
        <is>
          <t>VÄSTRA GÖTALANDS LÄN</t>
        </is>
      </c>
      <c r="E185" t="inlineStr">
        <is>
          <t>DALS-ED</t>
        </is>
      </c>
      <c r="G185" t="n">
        <v>0.9</v>
      </c>
      <c r="H185" t="n">
        <v>0</v>
      </c>
      <c r="I185" t="n">
        <v>0</v>
      </c>
      <c r="J185" t="n">
        <v>0</v>
      </c>
      <c r="K185" t="n">
        <v>0</v>
      </c>
      <c r="L185" t="n">
        <v>0</v>
      </c>
      <c r="M185" t="n">
        <v>0</v>
      </c>
      <c r="N185" t="n">
        <v>0</v>
      </c>
      <c r="O185" t="n">
        <v>0</v>
      </c>
      <c r="P185" t="n">
        <v>0</v>
      </c>
      <c r="Q185" t="n">
        <v>0</v>
      </c>
      <c r="R185" s="2" t="inlineStr"/>
    </row>
    <row r="186" ht="15" customHeight="1">
      <c r="A186" t="inlineStr">
        <is>
          <t>A 12046-2021</t>
        </is>
      </c>
      <c r="B186" s="1" t="n">
        <v>44266</v>
      </c>
      <c r="C186" s="1" t="n">
        <v>45829</v>
      </c>
      <c r="D186" t="inlineStr">
        <is>
          <t>VÄSTRA GÖTALANDS LÄN</t>
        </is>
      </c>
      <c r="E186" t="inlineStr">
        <is>
          <t>DALS-ED</t>
        </is>
      </c>
      <c r="G186" t="n">
        <v>1.3</v>
      </c>
      <c r="H186" t="n">
        <v>0</v>
      </c>
      <c r="I186" t="n">
        <v>0</v>
      </c>
      <c r="J186" t="n">
        <v>0</v>
      </c>
      <c r="K186" t="n">
        <v>0</v>
      </c>
      <c r="L186" t="n">
        <v>0</v>
      </c>
      <c r="M186" t="n">
        <v>0</v>
      </c>
      <c r="N186" t="n">
        <v>0</v>
      </c>
      <c r="O186" t="n">
        <v>0</v>
      </c>
      <c r="P186" t="n">
        <v>0</v>
      </c>
      <c r="Q186" t="n">
        <v>0</v>
      </c>
      <c r="R186" s="2" t="inlineStr"/>
    </row>
    <row r="187" ht="15" customHeight="1">
      <c r="A187" t="inlineStr">
        <is>
          <t>A 12052-2021</t>
        </is>
      </c>
      <c r="B187" s="1" t="n">
        <v>44266</v>
      </c>
      <c r="C187" s="1" t="n">
        <v>45829</v>
      </c>
      <c r="D187" t="inlineStr">
        <is>
          <t>VÄSTRA GÖTALANDS LÄN</t>
        </is>
      </c>
      <c r="E187" t="inlineStr">
        <is>
          <t>DALS-ED</t>
        </is>
      </c>
      <c r="G187" t="n">
        <v>2.1</v>
      </c>
      <c r="H187" t="n">
        <v>0</v>
      </c>
      <c r="I187" t="n">
        <v>0</v>
      </c>
      <c r="J187" t="n">
        <v>0</v>
      </c>
      <c r="K187" t="n">
        <v>0</v>
      </c>
      <c r="L187" t="n">
        <v>0</v>
      </c>
      <c r="M187" t="n">
        <v>0</v>
      </c>
      <c r="N187" t="n">
        <v>0</v>
      </c>
      <c r="O187" t="n">
        <v>0</v>
      </c>
      <c r="P187" t="n">
        <v>0</v>
      </c>
      <c r="Q187" t="n">
        <v>0</v>
      </c>
      <c r="R187" s="2" t="inlineStr"/>
    </row>
    <row r="188" ht="15" customHeight="1">
      <c r="A188" t="inlineStr">
        <is>
          <t>A 13413-2021</t>
        </is>
      </c>
      <c r="B188" s="1" t="n">
        <v>44273</v>
      </c>
      <c r="C188" s="1" t="n">
        <v>45829</v>
      </c>
      <c r="D188" t="inlineStr">
        <is>
          <t>VÄSTRA GÖTALANDS LÄN</t>
        </is>
      </c>
      <c r="E188" t="inlineStr">
        <is>
          <t>DALS-ED</t>
        </is>
      </c>
      <c r="F188" t="inlineStr">
        <is>
          <t>Övriga Aktiebolag</t>
        </is>
      </c>
      <c r="G188" t="n">
        <v>4.6</v>
      </c>
      <c r="H188" t="n">
        <v>0</v>
      </c>
      <c r="I188" t="n">
        <v>0</v>
      </c>
      <c r="J188" t="n">
        <v>0</v>
      </c>
      <c r="K188" t="n">
        <v>0</v>
      </c>
      <c r="L188" t="n">
        <v>0</v>
      </c>
      <c r="M188" t="n">
        <v>0</v>
      </c>
      <c r="N188" t="n">
        <v>0</v>
      </c>
      <c r="O188" t="n">
        <v>0</v>
      </c>
      <c r="P188" t="n">
        <v>0</v>
      </c>
      <c r="Q188" t="n">
        <v>0</v>
      </c>
      <c r="R188" s="2" t="inlineStr"/>
    </row>
    <row r="189" ht="15" customHeight="1">
      <c r="A189" t="inlineStr">
        <is>
          <t>A 13940-2021</t>
        </is>
      </c>
      <c r="B189" s="1" t="n">
        <v>44277</v>
      </c>
      <c r="C189" s="1" t="n">
        <v>45829</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13998-2021</t>
        </is>
      </c>
      <c r="B190" s="1" t="n">
        <v>44277</v>
      </c>
      <c r="C190" s="1" t="n">
        <v>45829</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13949-2021</t>
        </is>
      </c>
      <c r="B191" s="1" t="n">
        <v>44277</v>
      </c>
      <c r="C191" s="1" t="n">
        <v>45829</v>
      </c>
      <c r="D191" t="inlineStr">
        <is>
          <t>VÄSTRA GÖTALANDS LÄN</t>
        </is>
      </c>
      <c r="E191" t="inlineStr">
        <is>
          <t>DALS-ED</t>
        </is>
      </c>
      <c r="F191" t="inlineStr">
        <is>
          <t>Övriga Aktiebolag</t>
        </is>
      </c>
      <c r="G191" t="n">
        <v>1.3</v>
      </c>
      <c r="H191" t="n">
        <v>0</v>
      </c>
      <c r="I191" t="n">
        <v>0</v>
      </c>
      <c r="J191" t="n">
        <v>0</v>
      </c>
      <c r="K191" t="n">
        <v>0</v>
      </c>
      <c r="L191" t="n">
        <v>0</v>
      </c>
      <c r="M191" t="n">
        <v>0</v>
      </c>
      <c r="N191" t="n">
        <v>0</v>
      </c>
      <c r="O191" t="n">
        <v>0</v>
      </c>
      <c r="P191" t="n">
        <v>0</v>
      </c>
      <c r="Q191" t="n">
        <v>0</v>
      </c>
      <c r="R191" s="2" t="inlineStr"/>
    </row>
    <row r="192" ht="15" customHeight="1">
      <c r="A192" t="inlineStr">
        <is>
          <t>A 15009-2021</t>
        </is>
      </c>
      <c r="B192" s="1" t="n">
        <v>44281</v>
      </c>
      <c r="C192" s="1" t="n">
        <v>45829</v>
      </c>
      <c r="D192" t="inlineStr">
        <is>
          <t>VÄSTRA GÖTALANDS LÄN</t>
        </is>
      </c>
      <c r="E192" t="inlineStr">
        <is>
          <t>DALS-ED</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16924-2021</t>
        </is>
      </c>
      <c r="B193" s="1" t="n">
        <v>44295</v>
      </c>
      <c r="C193" s="1" t="n">
        <v>45829</v>
      </c>
      <c r="D193" t="inlineStr">
        <is>
          <t>VÄSTRA GÖTALANDS LÄN</t>
        </is>
      </c>
      <c r="E193" t="inlineStr">
        <is>
          <t>DALS-ED</t>
        </is>
      </c>
      <c r="G193" t="n">
        <v>0.3</v>
      </c>
      <c r="H193" t="n">
        <v>0</v>
      </c>
      <c r="I193" t="n">
        <v>0</v>
      </c>
      <c r="J193" t="n">
        <v>0</v>
      </c>
      <c r="K193" t="n">
        <v>0</v>
      </c>
      <c r="L193" t="n">
        <v>0</v>
      </c>
      <c r="M193" t="n">
        <v>0</v>
      </c>
      <c r="N193" t="n">
        <v>0</v>
      </c>
      <c r="O193" t="n">
        <v>0</v>
      </c>
      <c r="P193" t="n">
        <v>0</v>
      </c>
      <c r="Q193" t="n">
        <v>0</v>
      </c>
      <c r="R193" s="2" t="inlineStr"/>
    </row>
    <row r="194" ht="15" customHeight="1">
      <c r="A194" t="inlineStr">
        <is>
          <t>A 17156-2021</t>
        </is>
      </c>
      <c r="B194" s="1" t="n">
        <v>44298</v>
      </c>
      <c r="C194" s="1" t="n">
        <v>45829</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17193-2021</t>
        </is>
      </c>
      <c r="B195" s="1" t="n">
        <v>44298</v>
      </c>
      <c r="C195" s="1" t="n">
        <v>45829</v>
      </c>
      <c r="D195" t="inlineStr">
        <is>
          <t>VÄSTRA GÖTALANDS LÄN</t>
        </is>
      </c>
      <c r="E195" t="inlineStr">
        <is>
          <t>DALS-ED</t>
        </is>
      </c>
      <c r="G195" t="n">
        <v>1.5</v>
      </c>
      <c r="H195" t="n">
        <v>0</v>
      </c>
      <c r="I195" t="n">
        <v>0</v>
      </c>
      <c r="J195" t="n">
        <v>0</v>
      </c>
      <c r="K195" t="n">
        <v>0</v>
      </c>
      <c r="L195" t="n">
        <v>0</v>
      </c>
      <c r="M195" t="n">
        <v>0</v>
      </c>
      <c r="N195" t="n">
        <v>0</v>
      </c>
      <c r="O195" t="n">
        <v>0</v>
      </c>
      <c r="P195" t="n">
        <v>0</v>
      </c>
      <c r="Q195" t="n">
        <v>0</v>
      </c>
      <c r="R195" s="2" t="inlineStr"/>
    </row>
    <row r="196" ht="15" customHeight="1">
      <c r="A196" t="inlineStr">
        <is>
          <t>A 17681-2021</t>
        </is>
      </c>
      <c r="B196" s="1" t="n">
        <v>44299</v>
      </c>
      <c r="C196" s="1" t="n">
        <v>45829</v>
      </c>
      <c r="D196" t="inlineStr">
        <is>
          <t>VÄSTRA GÖTALANDS LÄN</t>
        </is>
      </c>
      <c r="E196" t="inlineStr">
        <is>
          <t>DALS-ED</t>
        </is>
      </c>
      <c r="G196" t="n">
        <v>12.7</v>
      </c>
      <c r="H196" t="n">
        <v>0</v>
      </c>
      <c r="I196" t="n">
        <v>0</v>
      </c>
      <c r="J196" t="n">
        <v>0</v>
      </c>
      <c r="K196" t="n">
        <v>0</v>
      </c>
      <c r="L196" t="n">
        <v>0</v>
      </c>
      <c r="M196" t="n">
        <v>0</v>
      </c>
      <c r="N196" t="n">
        <v>0</v>
      </c>
      <c r="O196" t="n">
        <v>0</v>
      </c>
      <c r="P196" t="n">
        <v>0</v>
      </c>
      <c r="Q196" t="n">
        <v>0</v>
      </c>
      <c r="R196" s="2" t="inlineStr"/>
    </row>
    <row r="197" ht="15" customHeight="1">
      <c r="A197" t="inlineStr">
        <is>
          <t>A 17842-2021</t>
        </is>
      </c>
      <c r="B197" s="1" t="n">
        <v>44300</v>
      </c>
      <c r="C197" s="1" t="n">
        <v>45829</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22200-2021</t>
        </is>
      </c>
      <c r="B198" s="1" t="n">
        <v>44326</v>
      </c>
      <c r="C198" s="1" t="n">
        <v>45829</v>
      </c>
      <c r="D198" t="inlineStr">
        <is>
          <t>VÄSTRA GÖTALANDS LÄN</t>
        </is>
      </c>
      <c r="E198" t="inlineStr">
        <is>
          <t>DALS-ED</t>
        </is>
      </c>
      <c r="G198" t="n">
        <v>5.4</v>
      </c>
      <c r="H198" t="n">
        <v>0</v>
      </c>
      <c r="I198" t="n">
        <v>0</v>
      </c>
      <c r="J198" t="n">
        <v>0</v>
      </c>
      <c r="K198" t="n">
        <v>0</v>
      </c>
      <c r="L198" t="n">
        <v>0</v>
      </c>
      <c r="M198" t="n">
        <v>0</v>
      </c>
      <c r="N198" t="n">
        <v>0</v>
      </c>
      <c r="O198" t="n">
        <v>0</v>
      </c>
      <c r="P198" t="n">
        <v>0</v>
      </c>
      <c r="Q198" t="n">
        <v>0</v>
      </c>
      <c r="R198" s="2" t="inlineStr"/>
    </row>
    <row r="199" ht="15" customHeight="1">
      <c r="A199" t="inlineStr">
        <is>
          <t>A 22847-2021</t>
        </is>
      </c>
      <c r="B199" s="1" t="n">
        <v>44328</v>
      </c>
      <c r="C199" s="1" t="n">
        <v>45829</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26787-2021</t>
        </is>
      </c>
      <c r="B200" s="1" t="n">
        <v>44349</v>
      </c>
      <c r="C200" s="1" t="n">
        <v>45829</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30385-2021</t>
        </is>
      </c>
      <c r="B201" s="1" t="n">
        <v>44364</v>
      </c>
      <c r="C201" s="1" t="n">
        <v>45829</v>
      </c>
      <c r="D201" t="inlineStr">
        <is>
          <t>VÄSTRA GÖTALANDS LÄN</t>
        </is>
      </c>
      <c r="E201" t="inlineStr">
        <is>
          <t>DALS-ED</t>
        </is>
      </c>
      <c r="G201" t="n">
        <v>10.5</v>
      </c>
      <c r="H201" t="n">
        <v>0</v>
      </c>
      <c r="I201" t="n">
        <v>0</v>
      </c>
      <c r="J201" t="n">
        <v>0</v>
      </c>
      <c r="K201" t="n">
        <v>0</v>
      </c>
      <c r="L201" t="n">
        <v>0</v>
      </c>
      <c r="M201" t="n">
        <v>0</v>
      </c>
      <c r="N201" t="n">
        <v>0</v>
      </c>
      <c r="O201" t="n">
        <v>0</v>
      </c>
      <c r="P201" t="n">
        <v>0</v>
      </c>
      <c r="Q201" t="n">
        <v>0</v>
      </c>
      <c r="R201" s="2" t="inlineStr"/>
    </row>
    <row r="202" ht="15" customHeight="1">
      <c r="A202" t="inlineStr">
        <is>
          <t>A 30380-2021</t>
        </is>
      </c>
      <c r="B202" s="1" t="n">
        <v>44364</v>
      </c>
      <c r="C202" s="1" t="n">
        <v>45829</v>
      </c>
      <c r="D202" t="inlineStr">
        <is>
          <t>VÄSTRA GÖTALANDS LÄN</t>
        </is>
      </c>
      <c r="E202" t="inlineStr">
        <is>
          <t>DALS-ED</t>
        </is>
      </c>
      <c r="G202" t="n">
        <v>4.5</v>
      </c>
      <c r="H202" t="n">
        <v>0</v>
      </c>
      <c r="I202" t="n">
        <v>0</v>
      </c>
      <c r="J202" t="n">
        <v>0</v>
      </c>
      <c r="K202" t="n">
        <v>0</v>
      </c>
      <c r="L202" t="n">
        <v>0</v>
      </c>
      <c r="M202" t="n">
        <v>0</v>
      </c>
      <c r="N202" t="n">
        <v>0</v>
      </c>
      <c r="O202" t="n">
        <v>0</v>
      </c>
      <c r="P202" t="n">
        <v>0</v>
      </c>
      <c r="Q202" t="n">
        <v>0</v>
      </c>
      <c r="R202" s="2" t="inlineStr"/>
    </row>
    <row r="203" ht="15" customHeight="1">
      <c r="A203" t="inlineStr">
        <is>
          <t>A 31078-2021</t>
        </is>
      </c>
      <c r="B203" s="1" t="n">
        <v>44368</v>
      </c>
      <c r="C203" s="1" t="n">
        <v>45829</v>
      </c>
      <c r="D203" t="inlineStr">
        <is>
          <t>VÄSTRA GÖTALANDS LÄN</t>
        </is>
      </c>
      <c r="E203" t="inlineStr">
        <is>
          <t>DALS-ED</t>
        </is>
      </c>
      <c r="G203" t="n">
        <v>5.2</v>
      </c>
      <c r="H203" t="n">
        <v>0</v>
      </c>
      <c r="I203" t="n">
        <v>0</v>
      </c>
      <c r="J203" t="n">
        <v>0</v>
      </c>
      <c r="K203" t="n">
        <v>0</v>
      </c>
      <c r="L203" t="n">
        <v>0</v>
      </c>
      <c r="M203" t="n">
        <v>0</v>
      </c>
      <c r="N203" t="n">
        <v>0</v>
      </c>
      <c r="O203" t="n">
        <v>0</v>
      </c>
      <c r="P203" t="n">
        <v>0</v>
      </c>
      <c r="Q203" t="n">
        <v>0</v>
      </c>
      <c r="R203" s="2" t="inlineStr"/>
    </row>
    <row r="204" ht="15" customHeight="1">
      <c r="A204" t="inlineStr">
        <is>
          <t>A 33190-2021</t>
        </is>
      </c>
      <c r="B204" s="1" t="n">
        <v>44376</v>
      </c>
      <c r="C204" s="1" t="n">
        <v>45829</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34030-2021</t>
        </is>
      </c>
      <c r="B205" s="1" t="n">
        <v>44378</v>
      </c>
      <c r="C205" s="1" t="n">
        <v>45829</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34760-2021</t>
        </is>
      </c>
      <c r="B206" s="1" t="n">
        <v>44382</v>
      </c>
      <c r="C206" s="1" t="n">
        <v>45829</v>
      </c>
      <c r="D206" t="inlineStr">
        <is>
          <t>VÄSTRA GÖTALANDS LÄN</t>
        </is>
      </c>
      <c r="E206" t="inlineStr">
        <is>
          <t>DALS-ED</t>
        </is>
      </c>
      <c r="G206" t="n">
        <v>0.2</v>
      </c>
      <c r="H206" t="n">
        <v>0</v>
      </c>
      <c r="I206" t="n">
        <v>0</v>
      </c>
      <c r="J206" t="n">
        <v>0</v>
      </c>
      <c r="K206" t="n">
        <v>0</v>
      </c>
      <c r="L206" t="n">
        <v>0</v>
      </c>
      <c r="M206" t="n">
        <v>0</v>
      </c>
      <c r="N206" t="n">
        <v>0</v>
      </c>
      <c r="O206" t="n">
        <v>0</v>
      </c>
      <c r="P206" t="n">
        <v>0</v>
      </c>
      <c r="Q206" t="n">
        <v>0</v>
      </c>
      <c r="R206" s="2" t="inlineStr"/>
    </row>
    <row r="207" ht="15" customHeight="1">
      <c r="A207" t="inlineStr">
        <is>
          <t>A 36167-2021</t>
        </is>
      </c>
      <c r="B207" s="1" t="n">
        <v>44386</v>
      </c>
      <c r="C207" s="1" t="n">
        <v>45829</v>
      </c>
      <c r="D207" t="inlineStr">
        <is>
          <t>VÄSTRA GÖTALANDS LÄN</t>
        </is>
      </c>
      <c r="E207" t="inlineStr">
        <is>
          <t>DALS-ED</t>
        </is>
      </c>
      <c r="F207" t="inlineStr">
        <is>
          <t>Kyrkan</t>
        </is>
      </c>
      <c r="G207" t="n">
        <v>5.4</v>
      </c>
      <c r="H207" t="n">
        <v>0</v>
      </c>
      <c r="I207" t="n">
        <v>0</v>
      </c>
      <c r="J207" t="n">
        <v>0</v>
      </c>
      <c r="K207" t="n">
        <v>0</v>
      </c>
      <c r="L207" t="n">
        <v>0</v>
      </c>
      <c r="M207" t="n">
        <v>0</v>
      </c>
      <c r="N207" t="n">
        <v>0</v>
      </c>
      <c r="O207" t="n">
        <v>0</v>
      </c>
      <c r="P207" t="n">
        <v>0</v>
      </c>
      <c r="Q207" t="n">
        <v>0</v>
      </c>
      <c r="R207" s="2" t="inlineStr"/>
    </row>
    <row r="208" ht="15" customHeight="1">
      <c r="A208" t="inlineStr">
        <is>
          <t>A 35948-2021</t>
        </is>
      </c>
      <c r="B208" s="1" t="n">
        <v>44388</v>
      </c>
      <c r="C208" s="1" t="n">
        <v>45829</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39093-2021</t>
        </is>
      </c>
      <c r="B209" s="1" t="n">
        <v>44412</v>
      </c>
      <c r="C209" s="1" t="n">
        <v>45829</v>
      </c>
      <c r="D209" t="inlineStr">
        <is>
          <t>VÄSTRA GÖTALANDS LÄN</t>
        </is>
      </c>
      <c r="E209" t="inlineStr">
        <is>
          <t>DALS-ED</t>
        </is>
      </c>
      <c r="G209" t="n">
        <v>1.3</v>
      </c>
      <c r="H209" t="n">
        <v>0</v>
      </c>
      <c r="I209" t="n">
        <v>0</v>
      </c>
      <c r="J209" t="n">
        <v>0</v>
      </c>
      <c r="K209" t="n">
        <v>0</v>
      </c>
      <c r="L209" t="n">
        <v>0</v>
      </c>
      <c r="M209" t="n">
        <v>0</v>
      </c>
      <c r="N209" t="n">
        <v>0</v>
      </c>
      <c r="O209" t="n">
        <v>0</v>
      </c>
      <c r="P209" t="n">
        <v>0</v>
      </c>
      <c r="Q209" t="n">
        <v>0</v>
      </c>
      <c r="R209" s="2" t="inlineStr"/>
    </row>
    <row r="210" ht="15" customHeight="1">
      <c r="A210" t="inlineStr">
        <is>
          <t>A 39016-2021</t>
        </is>
      </c>
      <c r="B210" s="1" t="n">
        <v>44412</v>
      </c>
      <c r="C210" s="1" t="n">
        <v>45829</v>
      </c>
      <c r="D210" t="inlineStr">
        <is>
          <t>VÄSTRA GÖTALANDS LÄN</t>
        </is>
      </c>
      <c r="E210" t="inlineStr">
        <is>
          <t>DALS-ED</t>
        </is>
      </c>
      <c r="G210" t="n">
        <v>12.3</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45829</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42341-2021</t>
        </is>
      </c>
      <c r="B212" s="1" t="n">
        <v>44427</v>
      </c>
      <c r="C212" s="1" t="n">
        <v>45829</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42588-2021</t>
        </is>
      </c>
      <c r="B213" s="1" t="n">
        <v>44428</v>
      </c>
      <c r="C213" s="1" t="n">
        <v>45829</v>
      </c>
      <c r="D213" t="inlineStr">
        <is>
          <t>VÄSTRA GÖTALANDS LÄN</t>
        </is>
      </c>
      <c r="E213" t="inlineStr">
        <is>
          <t>DALS-ED</t>
        </is>
      </c>
      <c r="G213" t="n">
        <v>5.7</v>
      </c>
      <c r="H213" t="n">
        <v>0</v>
      </c>
      <c r="I213" t="n">
        <v>0</v>
      </c>
      <c r="J213" t="n">
        <v>0</v>
      </c>
      <c r="K213" t="n">
        <v>0</v>
      </c>
      <c r="L213" t="n">
        <v>0</v>
      </c>
      <c r="M213" t="n">
        <v>0</v>
      </c>
      <c r="N213" t="n">
        <v>0</v>
      </c>
      <c r="O213" t="n">
        <v>0</v>
      </c>
      <c r="P213" t="n">
        <v>0</v>
      </c>
      <c r="Q213" t="n">
        <v>0</v>
      </c>
      <c r="R213" s="2" t="inlineStr"/>
    </row>
    <row r="214" ht="15" customHeight="1">
      <c r="A214" t="inlineStr">
        <is>
          <t>A 43380-2021</t>
        </is>
      </c>
      <c r="B214" s="1" t="n">
        <v>44432</v>
      </c>
      <c r="C214" s="1" t="n">
        <v>45829</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44403-2021</t>
        </is>
      </c>
      <c r="B215" s="1" t="n">
        <v>44435</v>
      </c>
      <c r="C215" s="1" t="n">
        <v>45829</v>
      </c>
      <c r="D215" t="inlineStr">
        <is>
          <t>VÄSTRA GÖTALANDS LÄN</t>
        </is>
      </c>
      <c r="E215" t="inlineStr">
        <is>
          <t>DALS-ED</t>
        </is>
      </c>
      <c r="G215" t="n">
        <v>7.9</v>
      </c>
      <c r="H215" t="n">
        <v>0</v>
      </c>
      <c r="I215" t="n">
        <v>0</v>
      </c>
      <c r="J215" t="n">
        <v>0</v>
      </c>
      <c r="K215" t="n">
        <v>0</v>
      </c>
      <c r="L215" t="n">
        <v>0</v>
      </c>
      <c r="M215" t="n">
        <v>0</v>
      </c>
      <c r="N215" t="n">
        <v>0</v>
      </c>
      <c r="O215" t="n">
        <v>0</v>
      </c>
      <c r="P215" t="n">
        <v>0</v>
      </c>
      <c r="Q215" t="n">
        <v>0</v>
      </c>
      <c r="R215" s="2" t="inlineStr"/>
    </row>
    <row r="216" ht="15" customHeight="1">
      <c r="A216" t="inlineStr">
        <is>
          <t>A 46306-2021</t>
        </is>
      </c>
      <c r="B216" s="1" t="n">
        <v>44442</v>
      </c>
      <c r="C216" s="1" t="n">
        <v>45829</v>
      </c>
      <c r="D216" t="inlineStr">
        <is>
          <t>VÄSTRA GÖTALANDS LÄN</t>
        </is>
      </c>
      <c r="E216" t="inlineStr">
        <is>
          <t>DALS-ED</t>
        </is>
      </c>
      <c r="G216" t="n">
        <v>0.8</v>
      </c>
      <c r="H216" t="n">
        <v>0</v>
      </c>
      <c r="I216" t="n">
        <v>0</v>
      </c>
      <c r="J216" t="n">
        <v>0</v>
      </c>
      <c r="K216" t="n">
        <v>0</v>
      </c>
      <c r="L216" t="n">
        <v>0</v>
      </c>
      <c r="M216" t="n">
        <v>0</v>
      </c>
      <c r="N216" t="n">
        <v>0</v>
      </c>
      <c r="O216" t="n">
        <v>0</v>
      </c>
      <c r="P216" t="n">
        <v>0</v>
      </c>
      <c r="Q216" t="n">
        <v>0</v>
      </c>
      <c r="R216" s="2" t="inlineStr"/>
    </row>
    <row r="217" ht="15" customHeight="1">
      <c r="A217" t="inlineStr">
        <is>
          <t>A 46336-2021</t>
        </is>
      </c>
      <c r="B217" s="1" t="n">
        <v>44442</v>
      </c>
      <c r="C217" s="1" t="n">
        <v>45829</v>
      </c>
      <c r="D217" t="inlineStr">
        <is>
          <t>VÄSTRA GÖTALANDS LÄN</t>
        </is>
      </c>
      <c r="E217" t="inlineStr">
        <is>
          <t>DALS-ED</t>
        </is>
      </c>
      <c r="G217" t="n">
        <v>3.4</v>
      </c>
      <c r="H217" t="n">
        <v>0</v>
      </c>
      <c r="I217" t="n">
        <v>0</v>
      </c>
      <c r="J217" t="n">
        <v>0</v>
      </c>
      <c r="K217" t="n">
        <v>0</v>
      </c>
      <c r="L217" t="n">
        <v>0</v>
      </c>
      <c r="M217" t="n">
        <v>0</v>
      </c>
      <c r="N217" t="n">
        <v>0</v>
      </c>
      <c r="O217" t="n">
        <v>0</v>
      </c>
      <c r="P217" t="n">
        <v>0</v>
      </c>
      <c r="Q217" t="n">
        <v>0</v>
      </c>
      <c r="R217" s="2" t="inlineStr"/>
    </row>
    <row r="218" ht="15" customHeight="1">
      <c r="A218" t="inlineStr">
        <is>
          <t>A 46447-2021</t>
        </is>
      </c>
      <c r="B218" s="1" t="n">
        <v>44442</v>
      </c>
      <c r="C218" s="1" t="n">
        <v>45829</v>
      </c>
      <c r="D218" t="inlineStr">
        <is>
          <t>VÄSTRA GÖTALANDS LÄN</t>
        </is>
      </c>
      <c r="E218" t="inlineStr">
        <is>
          <t>DALS-ED</t>
        </is>
      </c>
      <c r="G218" t="n">
        <v>3.6</v>
      </c>
      <c r="H218" t="n">
        <v>0</v>
      </c>
      <c r="I218" t="n">
        <v>0</v>
      </c>
      <c r="J218" t="n">
        <v>0</v>
      </c>
      <c r="K218" t="n">
        <v>0</v>
      </c>
      <c r="L218" t="n">
        <v>0</v>
      </c>
      <c r="M218" t="n">
        <v>0</v>
      </c>
      <c r="N218" t="n">
        <v>0</v>
      </c>
      <c r="O218" t="n">
        <v>0</v>
      </c>
      <c r="P218" t="n">
        <v>0</v>
      </c>
      <c r="Q218" t="n">
        <v>0</v>
      </c>
      <c r="R218" s="2" t="inlineStr"/>
    </row>
    <row r="219" ht="15" customHeight="1">
      <c r="A219" t="inlineStr">
        <is>
          <t>A 47227-2021</t>
        </is>
      </c>
      <c r="B219" s="1" t="n">
        <v>44446</v>
      </c>
      <c r="C219" s="1" t="n">
        <v>45829</v>
      </c>
      <c r="D219" t="inlineStr">
        <is>
          <t>VÄSTRA GÖTALANDS LÄN</t>
        </is>
      </c>
      <c r="E219" t="inlineStr">
        <is>
          <t>DALS-ED</t>
        </is>
      </c>
      <c r="G219" t="n">
        <v>5.5</v>
      </c>
      <c r="H219" t="n">
        <v>0</v>
      </c>
      <c r="I219" t="n">
        <v>0</v>
      </c>
      <c r="J219" t="n">
        <v>0</v>
      </c>
      <c r="K219" t="n">
        <v>0</v>
      </c>
      <c r="L219" t="n">
        <v>0</v>
      </c>
      <c r="M219" t="n">
        <v>0</v>
      </c>
      <c r="N219" t="n">
        <v>0</v>
      </c>
      <c r="O219" t="n">
        <v>0</v>
      </c>
      <c r="P219" t="n">
        <v>0</v>
      </c>
      <c r="Q219" t="n">
        <v>0</v>
      </c>
      <c r="R219" s="2" t="inlineStr"/>
    </row>
    <row r="220" ht="15" customHeight="1">
      <c r="A220" t="inlineStr">
        <is>
          <t>A 48658-2021</t>
        </is>
      </c>
      <c r="B220" s="1" t="n">
        <v>44452</v>
      </c>
      <c r="C220" s="1" t="n">
        <v>45829</v>
      </c>
      <c r="D220" t="inlineStr">
        <is>
          <t>VÄSTRA GÖTALANDS LÄN</t>
        </is>
      </c>
      <c r="E220" t="inlineStr">
        <is>
          <t>DALS-ED</t>
        </is>
      </c>
      <c r="G220" t="n">
        <v>1</v>
      </c>
      <c r="H220" t="n">
        <v>0</v>
      </c>
      <c r="I220" t="n">
        <v>0</v>
      </c>
      <c r="J220" t="n">
        <v>0</v>
      </c>
      <c r="K220" t="n">
        <v>0</v>
      </c>
      <c r="L220" t="n">
        <v>0</v>
      </c>
      <c r="M220" t="n">
        <v>0</v>
      </c>
      <c r="N220" t="n">
        <v>0</v>
      </c>
      <c r="O220" t="n">
        <v>0</v>
      </c>
      <c r="P220" t="n">
        <v>0</v>
      </c>
      <c r="Q220" t="n">
        <v>0</v>
      </c>
      <c r="R220" s="2" t="inlineStr"/>
    </row>
    <row r="221" ht="15" customHeight="1">
      <c r="A221" t="inlineStr">
        <is>
          <t>A 50465-2021</t>
        </is>
      </c>
      <c r="B221" s="1" t="n">
        <v>44459</v>
      </c>
      <c r="C221" s="1" t="n">
        <v>45829</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50459-2021</t>
        </is>
      </c>
      <c r="B222" s="1" t="n">
        <v>44459</v>
      </c>
      <c r="C222" s="1" t="n">
        <v>45829</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50462-2021</t>
        </is>
      </c>
      <c r="B223" s="1" t="n">
        <v>44459</v>
      </c>
      <c r="C223" s="1" t="n">
        <v>45829</v>
      </c>
      <c r="D223" t="inlineStr">
        <is>
          <t>VÄSTRA GÖTALANDS LÄN</t>
        </is>
      </c>
      <c r="E223" t="inlineStr">
        <is>
          <t>DALS-ED</t>
        </is>
      </c>
      <c r="G223" t="n">
        <v>2.1</v>
      </c>
      <c r="H223" t="n">
        <v>0</v>
      </c>
      <c r="I223" t="n">
        <v>0</v>
      </c>
      <c r="J223" t="n">
        <v>0</v>
      </c>
      <c r="K223" t="n">
        <v>0</v>
      </c>
      <c r="L223" t="n">
        <v>0</v>
      </c>
      <c r="M223" t="n">
        <v>0</v>
      </c>
      <c r="N223" t="n">
        <v>0</v>
      </c>
      <c r="O223" t="n">
        <v>0</v>
      </c>
      <c r="P223" t="n">
        <v>0</v>
      </c>
      <c r="Q223" t="n">
        <v>0</v>
      </c>
      <c r="R223" s="2" t="inlineStr"/>
    </row>
    <row r="224" ht="15" customHeight="1">
      <c r="A224" t="inlineStr">
        <is>
          <t>A 50665-2021</t>
        </is>
      </c>
      <c r="B224" s="1" t="n">
        <v>44460</v>
      </c>
      <c r="C224" s="1" t="n">
        <v>45829</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51701-2021</t>
        </is>
      </c>
      <c r="B225" s="1" t="n">
        <v>44462</v>
      </c>
      <c r="C225" s="1" t="n">
        <v>45829</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51564-2021</t>
        </is>
      </c>
      <c r="B226" s="1" t="n">
        <v>44462</v>
      </c>
      <c r="C226" s="1" t="n">
        <v>45829</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54018-2021</t>
        </is>
      </c>
      <c r="B227" s="1" t="n">
        <v>44468</v>
      </c>
      <c r="C227" s="1" t="n">
        <v>45829</v>
      </c>
      <c r="D227" t="inlineStr">
        <is>
          <t>VÄSTRA GÖTALANDS LÄN</t>
        </is>
      </c>
      <c r="E227" t="inlineStr">
        <is>
          <t>DALS-ED</t>
        </is>
      </c>
      <c r="G227" t="n">
        <v>6</v>
      </c>
      <c r="H227" t="n">
        <v>0</v>
      </c>
      <c r="I227" t="n">
        <v>0</v>
      </c>
      <c r="J227" t="n">
        <v>0</v>
      </c>
      <c r="K227" t="n">
        <v>0</v>
      </c>
      <c r="L227" t="n">
        <v>0</v>
      </c>
      <c r="M227" t="n">
        <v>0</v>
      </c>
      <c r="N227" t="n">
        <v>0</v>
      </c>
      <c r="O227" t="n">
        <v>0</v>
      </c>
      <c r="P227" t="n">
        <v>0</v>
      </c>
      <c r="Q227" t="n">
        <v>0</v>
      </c>
      <c r="R227" s="2" t="inlineStr"/>
    </row>
    <row r="228" ht="15" customHeight="1">
      <c r="A228" t="inlineStr">
        <is>
          <t>A 54107-2021</t>
        </is>
      </c>
      <c r="B228" s="1" t="n">
        <v>44470</v>
      </c>
      <c r="C228" s="1" t="n">
        <v>45829</v>
      </c>
      <c r="D228" t="inlineStr">
        <is>
          <t>VÄSTRA GÖTALANDS LÄN</t>
        </is>
      </c>
      <c r="E228" t="inlineStr">
        <is>
          <t>DALS-ED</t>
        </is>
      </c>
      <c r="G228" t="n">
        <v>7.1</v>
      </c>
      <c r="H228" t="n">
        <v>0</v>
      </c>
      <c r="I228" t="n">
        <v>0</v>
      </c>
      <c r="J228" t="n">
        <v>0</v>
      </c>
      <c r="K228" t="n">
        <v>0</v>
      </c>
      <c r="L228" t="n">
        <v>0</v>
      </c>
      <c r="M228" t="n">
        <v>0</v>
      </c>
      <c r="N228" t="n">
        <v>0</v>
      </c>
      <c r="O228" t="n">
        <v>0</v>
      </c>
      <c r="P228" t="n">
        <v>0</v>
      </c>
      <c r="Q228" t="n">
        <v>0</v>
      </c>
      <c r="R228" s="2" t="inlineStr"/>
    </row>
    <row r="229" ht="15" customHeight="1">
      <c r="A229" t="inlineStr">
        <is>
          <t>A 54161-2021</t>
        </is>
      </c>
      <c r="B229" s="1" t="n">
        <v>44470</v>
      </c>
      <c r="C229" s="1" t="n">
        <v>45829</v>
      </c>
      <c r="D229" t="inlineStr">
        <is>
          <t>VÄSTRA GÖTALANDS LÄN</t>
        </is>
      </c>
      <c r="E229" t="inlineStr">
        <is>
          <t>DALS-ED</t>
        </is>
      </c>
      <c r="G229" t="n">
        <v>2</v>
      </c>
      <c r="H229" t="n">
        <v>0</v>
      </c>
      <c r="I229" t="n">
        <v>0</v>
      </c>
      <c r="J229" t="n">
        <v>0</v>
      </c>
      <c r="K229" t="n">
        <v>0</v>
      </c>
      <c r="L229" t="n">
        <v>0</v>
      </c>
      <c r="M229" t="n">
        <v>0</v>
      </c>
      <c r="N229" t="n">
        <v>0</v>
      </c>
      <c r="O229" t="n">
        <v>0</v>
      </c>
      <c r="P229" t="n">
        <v>0</v>
      </c>
      <c r="Q229" t="n">
        <v>0</v>
      </c>
      <c r="R229" s="2" t="inlineStr"/>
    </row>
    <row r="230" ht="15" customHeight="1">
      <c r="A230" t="inlineStr">
        <is>
          <t>A 56551-2021</t>
        </is>
      </c>
      <c r="B230" s="1" t="n">
        <v>44480</v>
      </c>
      <c r="C230" s="1" t="n">
        <v>45829</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58213-2021</t>
        </is>
      </c>
      <c r="B231" s="1" t="n">
        <v>44487</v>
      </c>
      <c r="C231" s="1" t="n">
        <v>45829</v>
      </c>
      <c r="D231" t="inlineStr">
        <is>
          <t>VÄSTRA GÖTALANDS LÄN</t>
        </is>
      </c>
      <c r="E231" t="inlineStr">
        <is>
          <t>DALS-ED</t>
        </is>
      </c>
      <c r="G231" t="n">
        <v>5.7</v>
      </c>
      <c r="H231" t="n">
        <v>0</v>
      </c>
      <c r="I231" t="n">
        <v>0</v>
      </c>
      <c r="J231" t="n">
        <v>0</v>
      </c>
      <c r="K231" t="n">
        <v>0</v>
      </c>
      <c r="L231" t="n">
        <v>0</v>
      </c>
      <c r="M231" t="n">
        <v>0</v>
      </c>
      <c r="N231" t="n">
        <v>0</v>
      </c>
      <c r="O231" t="n">
        <v>0</v>
      </c>
      <c r="P231" t="n">
        <v>0</v>
      </c>
      <c r="Q231" t="n">
        <v>0</v>
      </c>
      <c r="R231" s="2" t="inlineStr"/>
    </row>
    <row r="232" ht="15" customHeight="1">
      <c r="A232" t="inlineStr">
        <is>
          <t>A 59931-2021</t>
        </is>
      </c>
      <c r="B232" s="1" t="n">
        <v>44494</v>
      </c>
      <c r="C232" s="1" t="n">
        <v>45829</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62303-2021</t>
        </is>
      </c>
      <c r="B233" s="1" t="n">
        <v>44503</v>
      </c>
      <c r="C233" s="1" t="n">
        <v>45829</v>
      </c>
      <c r="D233" t="inlineStr">
        <is>
          <t>VÄSTRA GÖTALANDS LÄN</t>
        </is>
      </c>
      <c r="E233" t="inlineStr">
        <is>
          <t>DALS-ED</t>
        </is>
      </c>
      <c r="F233" t="inlineStr">
        <is>
          <t>Kyrkan</t>
        </is>
      </c>
      <c r="G233" t="n">
        <v>0.5</v>
      </c>
      <c r="H233" t="n">
        <v>0</v>
      </c>
      <c r="I233" t="n">
        <v>0</v>
      </c>
      <c r="J233" t="n">
        <v>0</v>
      </c>
      <c r="K233" t="n">
        <v>0</v>
      </c>
      <c r="L233" t="n">
        <v>0</v>
      </c>
      <c r="M233" t="n">
        <v>0</v>
      </c>
      <c r="N233" t="n">
        <v>0</v>
      </c>
      <c r="O233" t="n">
        <v>0</v>
      </c>
      <c r="P233" t="n">
        <v>0</v>
      </c>
      <c r="Q233" t="n">
        <v>0</v>
      </c>
      <c r="R233" s="2" t="inlineStr"/>
    </row>
    <row r="234" ht="15" customHeight="1">
      <c r="A234" t="inlineStr">
        <is>
          <t>A 62849-2021</t>
        </is>
      </c>
      <c r="B234" s="1" t="n">
        <v>44504</v>
      </c>
      <c r="C234" s="1" t="n">
        <v>45829</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63192-2021</t>
        </is>
      </c>
      <c r="B235" s="1" t="n">
        <v>44507</v>
      </c>
      <c r="C235" s="1" t="n">
        <v>45829</v>
      </c>
      <c r="D235" t="inlineStr">
        <is>
          <t>VÄSTRA GÖTALANDS LÄN</t>
        </is>
      </c>
      <c r="E235" t="inlineStr">
        <is>
          <t>DALS-ED</t>
        </is>
      </c>
      <c r="G235" t="n">
        <v>4.9</v>
      </c>
      <c r="H235" t="n">
        <v>0</v>
      </c>
      <c r="I235" t="n">
        <v>0</v>
      </c>
      <c r="J235" t="n">
        <v>0</v>
      </c>
      <c r="K235" t="n">
        <v>0</v>
      </c>
      <c r="L235" t="n">
        <v>0</v>
      </c>
      <c r="M235" t="n">
        <v>0</v>
      </c>
      <c r="N235" t="n">
        <v>0</v>
      </c>
      <c r="O235" t="n">
        <v>0</v>
      </c>
      <c r="P235" t="n">
        <v>0</v>
      </c>
      <c r="Q235" t="n">
        <v>0</v>
      </c>
      <c r="R235" s="2" t="inlineStr"/>
    </row>
    <row r="236" ht="15" customHeight="1">
      <c r="A236" t="inlineStr">
        <is>
          <t>A 63186-2021</t>
        </is>
      </c>
      <c r="B236" s="1" t="n">
        <v>44507</v>
      </c>
      <c r="C236" s="1" t="n">
        <v>45829</v>
      </c>
      <c r="D236" t="inlineStr">
        <is>
          <t>VÄSTRA GÖTALANDS LÄN</t>
        </is>
      </c>
      <c r="E236" t="inlineStr">
        <is>
          <t>DALS-ED</t>
        </is>
      </c>
      <c r="G236" t="n">
        <v>4.6</v>
      </c>
      <c r="H236" t="n">
        <v>0</v>
      </c>
      <c r="I236" t="n">
        <v>0</v>
      </c>
      <c r="J236" t="n">
        <v>0</v>
      </c>
      <c r="K236" t="n">
        <v>0</v>
      </c>
      <c r="L236" t="n">
        <v>0</v>
      </c>
      <c r="M236" t="n">
        <v>0</v>
      </c>
      <c r="N236" t="n">
        <v>0</v>
      </c>
      <c r="O236" t="n">
        <v>0</v>
      </c>
      <c r="P236" t="n">
        <v>0</v>
      </c>
      <c r="Q236" t="n">
        <v>0</v>
      </c>
      <c r="R236" s="2" t="inlineStr"/>
    </row>
    <row r="237" ht="15" customHeight="1">
      <c r="A237" t="inlineStr">
        <is>
          <t>A 64338-2021</t>
        </is>
      </c>
      <c r="B237" s="1" t="n">
        <v>44511</v>
      </c>
      <c r="C237" s="1" t="n">
        <v>45829</v>
      </c>
      <c r="D237" t="inlineStr">
        <is>
          <t>VÄSTRA GÖTALANDS LÄN</t>
        </is>
      </c>
      <c r="E237" t="inlineStr">
        <is>
          <t>DALS-ED</t>
        </is>
      </c>
      <c r="G237" t="n">
        <v>5.6</v>
      </c>
      <c r="H237" t="n">
        <v>0</v>
      </c>
      <c r="I237" t="n">
        <v>0</v>
      </c>
      <c r="J237" t="n">
        <v>0</v>
      </c>
      <c r="K237" t="n">
        <v>0</v>
      </c>
      <c r="L237" t="n">
        <v>0</v>
      </c>
      <c r="M237" t="n">
        <v>0</v>
      </c>
      <c r="N237" t="n">
        <v>0</v>
      </c>
      <c r="O237" t="n">
        <v>0</v>
      </c>
      <c r="P237" t="n">
        <v>0</v>
      </c>
      <c r="Q237" t="n">
        <v>0</v>
      </c>
      <c r="R237" s="2" t="inlineStr"/>
    </row>
    <row r="238" ht="15" customHeight="1">
      <c r="A238" t="inlineStr">
        <is>
          <t>A 70027-2021</t>
        </is>
      </c>
      <c r="B238" s="1" t="n">
        <v>44533</v>
      </c>
      <c r="C238" s="1" t="n">
        <v>45829</v>
      </c>
      <c r="D238" t="inlineStr">
        <is>
          <t>VÄSTRA GÖTALANDS LÄN</t>
        </is>
      </c>
      <c r="E238" t="inlineStr">
        <is>
          <t>DALS-ED</t>
        </is>
      </c>
      <c r="G238" t="n">
        <v>7.6</v>
      </c>
      <c r="H238" t="n">
        <v>0</v>
      </c>
      <c r="I238" t="n">
        <v>0</v>
      </c>
      <c r="J238" t="n">
        <v>0</v>
      </c>
      <c r="K238" t="n">
        <v>0</v>
      </c>
      <c r="L238" t="n">
        <v>0</v>
      </c>
      <c r="M238" t="n">
        <v>0</v>
      </c>
      <c r="N238" t="n">
        <v>0</v>
      </c>
      <c r="O238" t="n">
        <v>0</v>
      </c>
      <c r="P238" t="n">
        <v>0</v>
      </c>
      <c r="Q238" t="n">
        <v>0</v>
      </c>
      <c r="R238" s="2" t="inlineStr"/>
    </row>
    <row r="239" ht="15" customHeight="1">
      <c r="A239" t="inlineStr">
        <is>
          <t>A 70370-2021</t>
        </is>
      </c>
      <c r="B239" s="1" t="n">
        <v>44536</v>
      </c>
      <c r="C239" s="1" t="n">
        <v>45829</v>
      </c>
      <c r="D239" t="inlineStr">
        <is>
          <t>VÄSTRA GÖTALANDS LÄN</t>
        </is>
      </c>
      <c r="E239" t="inlineStr">
        <is>
          <t>DALS-ED</t>
        </is>
      </c>
      <c r="G239" t="n">
        <v>1.4</v>
      </c>
      <c r="H239" t="n">
        <v>0</v>
      </c>
      <c r="I239" t="n">
        <v>0</v>
      </c>
      <c r="J239" t="n">
        <v>0</v>
      </c>
      <c r="K239" t="n">
        <v>0</v>
      </c>
      <c r="L239" t="n">
        <v>0</v>
      </c>
      <c r="M239" t="n">
        <v>0</v>
      </c>
      <c r="N239" t="n">
        <v>0</v>
      </c>
      <c r="O239" t="n">
        <v>0</v>
      </c>
      <c r="P239" t="n">
        <v>0</v>
      </c>
      <c r="Q239" t="n">
        <v>0</v>
      </c>
      <c r="R239" s="2" t="inlineStr"/>
    </row>
    <row r="240" ht="15" customHeight="1">
      <c r="A240" t="inlineStr">
        <is>
          <t>A 70374-2021</t>
        </is>
      </c>
      <c r="B240" s="1" t="n">
        <v>44536</v>
      </c>
      <c r="C240" s="1" t="n">
        <v>45829</v>
      </c>
      <c r="D240" t="inlineStr">
        <is>
          <t>VÄSTRA GÖTALANDS LÄN</t>
        </is>
      </c>
      <c r="E240" t="inlineStr">
        <is>
          <t>DALS-ED</t>
        </is>
      </c>
      <c r="G240" t="n">
        <v>7.8</v>
      </c>
      <c r="H240" t="n">
        <v>0</v>
      </c>
      <c r="I240" t="n">
        <v>0</v>
      </c>
      <c r="J240" t="n">
        <v>0</v>
      </c>
      <c r="K240" t="n">
        <v>0</v>
      </c>
      <c r="L240" t="n">
        <v>0</v>
      </c>
      <c r="M240" t="n">
        <v>0</v>
      </c>
      <c r="N240" t="n">
        <v>0</v>
      </c>
      <c r="O240" t="n">
        <v>0</v>
      </c>
      <c r="P240" t="n">
        <v>0</v>
      </c>
      <c r="Q240" t="n">
        <v>0</v>
      </c>
      <c r="R240" s="2" t="inlineStr"/>
    </row>
    <row r="241" ht="15" customHeight="1">
      <c r="A241" t="inlineStr">
        <is>
          <t>A 70367-2021</t>
        </is>
      </c>
      <c r="B241" s="1" t="n">
        <v>44536</v>
      </c>
      <c r="C241" s="1" t="n">
        <v>45829</v>
      </c>
      <c r="D241" t="inlineStr">
        <is>
          <t>VÄSTRA GÖTALANDS LÄN</t>
        </is>
      </c>
      <c r="E241" t="inlineStr">
        <is>
          <t>DALS-ED</t>
        </is>
      </c>
      <c r="G241" t="n">
        <v>3.2</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v>
      </c>
      <c r="C242" s="1" t="n">
        <v>45829</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2286-2022</t>
        </is>
      </c>
      <c r="B243" s="1" t="n">
        <v>44578</v>
      </c>
      <c r="C243" s="1" t="n">
        <v>45829</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2287-2022</t>
        </is>
      </c>
      <c r="B244" s="1" t="n">
        <v>44578</v>
      </c>
      <c r="C244" s="1" t="n">
        <v>45829</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4133-2022</t>
        </is>
      </c>
      <c r="B245" s="1" t="n">
        <v>44588</v>
      </c>
      <c r="C245" s="1" t="n">
        <v>45829</v>
      </c>
      <c r="D245" t="inlineStr">
        <is>
          <t>VÄSTRA GÖTALANDS LÄN</t>
        </is>
      </c>
      <c r="E245" t="inlineStr">
        <is>
          <t>DALS-ED</t>
        </is>
      </c>
      <c r="G245" t="n">
        <v>3</v>
      </c>
      <c r="H245" t="n">
        <v>0</v>
      </c>
      <c r="I245" t="n">
        <v>0</v>
      </c>
      <c r="J245" t="n">
        <v>0</v>
      </c>
      <c r="K245" t="n">
        <v>0</v>
      </c>
      <c r="L245" t="n">
        <v>0</v>
      </c>
      <c r="M245" t="n">
        <v>0</v>
      </c>
      <c r="N245" t="n">
        <v>0</v>
      </c>
      <c r="O245" t="n">
        <v>0</v>
      </c>
      <c r="P245" t="n">
        <v>0</v>
      </c>
      <c r="Q245" t="n">
        <v>0</v>
      </c>
      <c r="R245" s="2" t="inlineStr"/>
    </row>
    <row r="246" ht="15" customHeight="1">
      <c r="A246" t="inlineStr">
        <is>
          <t>A 4121-2022</t>
        </is>
      </c>
      <c r="B246" s="1" t="n">
        <v>44588</v>
      </c>
      <c r="C246" s="1" t="n">
        <v>45829</v>
      </c>
      <c r="D246" t="inlineStr">
        <is>
          <t>VÄSTRA GÖTALANDS LÄN</t>
        </is>
      </c>
      <c r="E246" t="inlineStr">
        <is>
          <t>DALS-ED</t>
        </is>
      </c>
      <c r="G246" t="n">
        <v>0.5</v>
      </c>
      <c r="H246" t="n">
        <v>0</v>
      </c>
      <c r="I246" t="n">
        <v>0</v>
      </c>
      <c r="J246" t="n">
        <v>0</v>
      </c>
      <c r="K246" t="n">
        <v>0</v>
      </c>
      <c r="L246" t="n">
        <v>0</v>
      </c>
      <c r="M246" t="n">
        <v>0</v>
      </c>
      <c r="N246" t="n">
        <v>0</v>
      </c>
      <c r="O246" t="n">
        <v>0</v>
      </c>
      <c r="P246" t="n">
        <v>0</v>
      </c>
      <c r="Q246" t="n">
        <v>0</v>
      </c>
      <c r="R246" s="2" t="inlineStr"/>
    </row>
    <row r="247" ht="15" customHeight="1">
      <c r="A247" t="inlineStr">
        <is>
          <t>A 4435-2022</t>
        </is>
      </c>
      <c r="B247" s="1" t="n">
        <v>44589</v>
      </c>
      <c r="C247" s="1" t="n">
        <v>45829</v>
      </c>
      <c r="D247" t="inlineStr">
        <is>
          <t>VÄSTRA GÖTALANDS LÄN</t>
        </is>
      </c>
      <c r="E247" t="inlineStr">
        <is>
          <t>DALS-ED</t>
        </is>
      </c>
      <c r="G247" t="n">
        <v>1.6</v>
      </c>
      <c r="H247" t="n">
        <v>0</v>
      </c>
      <c r="I247" t="n">
        <v>0</v>
      </c>
      <c r="J247" t="n">
        <v>0</v>
      </c>
      <c r="K247" t="n">
        <v>0</v>
      </c>
      <c r="L247" t="n">
        <v>0</v>
      </c>
      <c r="M247" t="n">
        <v>0</v>
      </c>
      <c r="N247" t="n">
        <v>0</v>
      </c>
      <c r="O247" t="n">
        <v>0</v>
      </c>
      <c r="P247" t="n">
        <v>0</v>
      </c>
      <c r="Q247" t="n">
        <v>0</v>
      </c>
      <c r="R247" s="2" t="inlineStr"/>
    </row>
    <row r="248" ht="15" customHeight="1">
      <c r="A248" t="inlineStr">
        <is>
          <t>A 4724-2022</t>
        </is>
      </c>
      <c r="B248" s="1" t="n">
        <v>44592</v>
      </c>
      <c r="C248" s="1" t="n">
        <v>45829</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4736-2022</t>
        </is>
      </c>
      <c r="B249" s="1" t="n">
        <v>44592</v>
      </c>
      <c r="C249" s="1" t="n">
        <v>45829</v>
      </c>
      <c r="D249" t="inlineStr">
        <is>
          <t>VÄSTRA GÖTALANDS LÄN</t>
        </is>
      </c>
      <c r="E249" t="inlineStr">
        <is>
          <t>DALS-ED</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4727-2022</t>
        </is>
      </c>
      <c r="B250" s="1" t="n">
        <v>44592</v>
      </c>
      <c r="C250" s="1" t="n">
        <v>45829</v>
      </c>
      <c r="D250" t="inlineStr">
        <is>
          <t>VÄSTRA GÖTALANDS LÄN</t>
        </is>
      </c>
      <c r="E250" t="inlineStr">
        <is>
          <t>DALS-ED</t>
        </is>
      </c>
      <c r="G250" t="n">
        <v>5</v>
      </c>
      <c r="H250" t="n">
        <v>0</v>
      </c>
      <c r="I250" t="n">
        <v>0</v>
      </c>
      <c r="J250" t="n">
        <v>0</v>
      </c>
      <c r="K250" t="n">
        <v>0</v>
      </c>
      <c r="L250" t="n">
        <v>0</v>
      </c>
      <c r="M250" t="n">
        <v>0</v>
      </c>
      <c r="N250" t="n">
        <v>0</v>
      </c>
      <c r="O250" t="n">
        <v>0</v>
      </c>
      <c r="P250" t="n">
        <v>0</v>
      </c>
      <c r="Q250" t="n">
        <v>0</v>
      </c>
      <c r="R250" s="2" t="inlineStr"/>
    </row>
    <row r="251" ht="15" customHeight="1">
      <c r="A251" t="inlineStr">
        <is>
          <t>A 4731-2022</t>
        </is>
      </c>
      <c r="B251" s="1" t="n">
        <v>44592</v>
      </c>
      <c r="C251" s="1" t="n">
        <v>45829</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6368-2022</t>
        </is>
      </c>
      <c r="B252" s="1" t="n">
        <v>44600</v>
      </c>
      <c r="C252" s="1" t="n">
        <v>45829</v>
      </c>
      <c r="D252" t="inlineStr">
        <is>
          <t>VÄSTRA GÖTALANDS LÄN</t>
        </is>
      </c>
      <c r="E252" t="inlineStr">
        <is>
          <t>DALS-ED</t>
        </is>
      </c>
      <c r="F252" t="inlineStr">
        <is>
          <t>Kyrkan</t>
        </is>
      </c>
      <c r="G252" t="n">
        <v>7</v>
      </c>
      <c r="H252" t="n">
        <v>0</v>
      </c>
      <c r="I252" t="n">
        <v>0</v>
      </c>
      <c r="J252" t="n">
        <v>0</v>
      </c>
      <c r="K252" t="n">
        <v>0</v>
      </c>
      <c r="L252" t="n">
        <v>0</v>
      </c>
      <c r="M252" t="n">
        <v>0</v>
      </c>
      <c r="N252" t="n">
        <v>0</v>
      </c>
      <c r="O252" t="n">
        <v>0</v>
      </c>
      <c r="P252" t="n">
        <v>0</v>
      </c>
      <c r="Q252" t="n">
        <v>0</v>
      </c>
      <c r="R252" s="2" t="inlineStr"/>
    </row>
    <row r="253" ht="15" customHeight="1">
      <c r="A253" t="inlineStr">
        <is>
          <t>A 6464-2022</t>
        </is>
      </c>
      <c r="B253" s="1" t="n">
        <v>44601</v>
      </c>
      <c r="C253" s="1" t="n">
        <v>45829</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6528-2022</t>
        </is>
      </c>
      <c r="B254" s="1" t="n">
        <v>44601</v>
      </c>
      <c r="C254" s="1" t="n">
        <v>45829</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6570-2022</t>
        </is>
      </c>
      <c r="B255" s="1" t="n">
        <v>44601</v>
      </c>
      <c r="C255" s="1" t="n">
        <v>45829</v>
      </c>
      <c r="D255" t="inlineStr">
        <is>
          <t>VÄSTRA GÖTALANDS LÄN</t>
        </is>
      </c>
      <c r="E255" t="inlineStr">
        <is>
          <t>DALS-ED</t>
        </is>
      </c>
      <c r="G255" t="n">
        <v>2.9</v>
      </c>
      <c r="H255" t="n">
        <v>0</v>
      </c>
      <c r="I255" t="n">
        <v>0</v>
      </c>
      <c r="J255" t="n">
        <v>0</v>
      </c>
      <c r="K255" t="n">
        <v>0</v>
      </c>
      <c r="L255" t="n">
        <v>0</v>
      </c>
      <c r="M255" t="n">
        <v>0</v>
      </c>
      <c r="N255" t="n">
        <v>0</v>
      </c>
      <c r="O255" t="n">
        <v>0</v>
      </c>
      <c r="P255" t="n">
        <v>0</v>
      </c>
      <c r="Q255" t="n">
        <v>0</v>
      </c>
      <c r="R255" s="2" t="inlineStr"/>
    </row>
    <row r="256" ht="15" customHeight="1">
      <c r="A256" t="inlineStr">
        <is>
          <t>A 7933-2022</t>
        </is>
      </c>
      <c r="B256" s="1" t="n">
        <v>44608</v>
      </c>
      <c r="C256" s="1" t="n">
        <v>45829</v>
      </c>
      <c r="D256" t="inlineStr">
        <is>
          <t>VÄSTRA GÖTALANDS LÄN</t>
        </is>
      </c>
      <c r="E256" t="inlineStr">
        <is>
          <t>DALS-ED</t>
        </is>
      </c>
      <c r="G256" t="n">
        <v>5.2</v>
      </c>
      <c r="H256" t="n">
        <v>0</v>
      </c>
      <c r="I256" t="n">
        <v>0</v>
      </c>
      <c r="J256" t="n">
        <v>0</v>
      </c>
      <c r="K256" t="n">
        <v>0</v>
      </c>
      <c r="L256" t="n">
        <v>0</v>
      </c>
      <c r="M256" t="n">
        <v>0</v>
      </c>
      <c r="N256" t="n">
        <v>0</v>
      </c>
      <c r="O256" t="n">
        <v>0</v>
      </c>
      <c r="P256" t="n">
        <v>0</v>
      </c>
      <c r="Q256" t="n">
        <v>0</v>
      </c>
      <c r="R256" s="2" t="inlineStr"/>
    </row>
    <row r="257" ht="15" customHeight="1">
      <c r="A257" t="inlineStr">
        <is>
          <t>A 8654-2022</t>
        </is>
      </c>
      <c r="B257" s="1" t="n">
        <v>44613</v>
      </c>
      <c r="C257" s="1" t="n">
        <v>45829</v>
      </c>
      <c r="D257" t="inlineStr">
        <is>
          <t>VÄSTRA GÖTALANDS LÄN</t>
        </is>
      </c>
      <c r="E257" t="inlineStr">
        <is>
          <t>DALS-ED</t>
        </is>
      </c>
      <c r="G257" t="n">
        <v>5.3</v>
      </c>
      <c r="H257" t="n">
        <v>0</v>
      </c>
      <c r="I257" t="n">
        <v>0</v>
      </c>
      <c r="J257" t="n">
        <v>0</v>
      </c>
      <c r="K257" t="n">
        <v>0</v>
      </c>
      <c r="L257" t="n">
        <v>0</v>
      </c>
      <c r="M257" t="n">
        <v>0</v>
      </c>
      <c r="N257" t="n">
        <v>0</v>
      </c>
      <c r="O257" t="n">
        <v>0</v>
      </c>
      <c r="P257" t="n">
        <v>0</v>
      </c>
      <c r="Q257" t="n">
        <v>0</v>
      </c>
      <c r="R257" s="2" t="inlineStr"/>
    </row>
    <row r="258" ht="15" customHeight="1">
      <c r="A258" t="inlineStr">
        <is>
          <t>A 8651-2022</t>
        </is>
      </c>
      <c r="B258" s="1" t="n">
        <v>44613</v>
      </c>
      <c r="C258" s="1" t="n">
        <v>45829</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8892-2022</t>
        </is>
      </c>
      <c r="B259" s="1" t="n">
        <v>44614</v>
      </c>
      <c r="C259" s="1" t="n">
        <v>45829</v>
      </c>
      <c r="D259" t="inlineStr">
        <is>
          <t>VÄSTRA GÖTALANDS LÄN</t>
        </is>
      </c>
      <c r="E259" t="inlineStr">
        <is>
          <t>DALS-ED</t>
        </is>
      </c>
      <c r="G259" t="n">
        <v>0.2</v>
      </c>
      <c r="H259" t="n">
        <v>0</v>
      </c>
      <c r="I259" t="n">
        <v>0</v>
      </c>
      <c r="J259" t="n">
        <v>0</v>
      </c>
      <c r="K259" t="n">
        <v>0</v>
      </c>
      <c r="L259" t="n">
        <v>0</v>
      </c>
      <c r="M259" t="n">
        <v>0</v>
      </c>
      <c r="N259" t="n">
        <v>0</v>
      </c>
      <c r="O259" t="n">
        <v>0</v>
      </c>
      <c r="P259" t="n">
        <v>0</v>
      </c>
      <c r="Q259" t="n">
        <v>0</v>
      </c>
      <c r="R259" s="2" t="inlineStr"/>
    </row>
    <row r="260" ht="15" customHeight="1">
      <c r="A260" t="inlineStr">
        <is>
          <t>A 9157-2022</t>
        </is>
      </c>
      <c r="B260" s="1" t="n">
        <v>44615</v>
      </c>
      <c r="C260" s="1" t="n">
        <v>45829</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9144-2022</t>
        </is>
      </c>
      <c r="B261" s="1" t="n">
        <v>44615</v>
      </c>
      <c r="C261" s="1" t="n">
        <v>45829</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9153-2022</t>
        </is>
      </c>
      <c r="B262" s="1" t="n">
        <v>44615</v>
      </c>
      <c r="C262" s="1" t="n">
        <v>45829</v>
      </c>
      <c r="D262" t="inlineStr">
        <is>
          <t>VÄSTRA GÖTALANDS LÄN</t>
        </is>
      </c>
      <c r="E262" t="inlineStr">
        <is>
          <t>DALS-ED</t>
        </is>
      </c>
      <c r="G262" t="n">
        <v>0.8</v>
      </c>
      <c r="H262" t="n">
        <v>0</v>
      </c>
      <c r="I262" t="n">
        <v>0</v>
      </c>
      <c r="J262" t="n">
        <v>0</v>
      </c>
      <c r="K262" t="n">
        <v>0</v>
      </c>
      <c r="L262" t="n">
        <v>0</v>
      </c>
      <c r="M262" t="n">
        <v>0</v>
      </c>
      <c r="N262" t="n">
        <v>0</v>
      </c>
      <c r="O262" t="n">
        <v>0</v>
      </c>
      <c r="P262" t="n">
        <v>0</v>
      </c>
      <c r="Q262" t="n">
        <v>0</v>
      </c>
      <c r="R262" s="2" t="inlineStr"/>
    </row>
    <row r="263" ht="15" customHeight="1">
      <c r="A263" t="inlineStr">
        <is>
          <t>A 9154-2022</t>
        </is>
      </c>
      <c r="B263" s="1" t="n">
        <v>44615</v>
      </c>
      <c r="C263" s="1" t="n">
        <v>45829</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10095-2022</t>
        </is>
      </c>
      <c r="B264" s="1" t="n">
        <v>44621</v>
      </c>
      <c r="C264" s="1" t="n">
        <v>45829</v>
      </c>
      <c r="D264" t="inlineStr">
        <is>
          <t>VÄSTRA GÖTALANDS LÄN</t>
        </is>
      </c>
      <c r="E264" t="inlineStr">
        <is>
          <t>DALS-ED</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10092-2022</t>
        </is>
      </c>
      <c r="B265" s="1" t="n">
        <v>44621</v>
      </c>
      <c r="C265" s="1" t="n">
        <v>45829</v>
      </c>
      <c r="D265" t="inlineStr">
        <is>
          <t>VÄSTRA GÖTALANDS LÄN</t>
        </is>
      </c>
      <c r="E265" t="inlineStr">
        <is>
          <t>DALS-ED</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10749-2022</t>
        </is>
      </c>
      <c r="B266" s="1" t="n">
        <v>44627</v>
      </c>
      <c r="C266" s="1" t="n">
        <v>45829</v>
      </c>
      <c r="D266" t="inlineStr">
        <is>
          <t>VÄSTRA GÖTALANDS LÄN</t>
        </is>
      </c>
      <c r="E266" t="inlineStr">
        <is>
          <t>DALS-ED</t>
        </is>
      </c>
      <c r="G266" t="n">
        <v>4.8</v>
      </c>
      <c r="H266" t="n">
        <v>0</v>
      </c>
      <c r="I266" t="n">
        <v>0</v>
      </c>
      <c r="J266" t="n">
        <v>0</v>
      </c>
      <c r="K266" t="n">
        <v>0</v>
      </c>
      <c r="L266" t="n">
        <v>0</v>
      </c>
      <c r="M266" t="n">
        <v>0</v>
      </c>
      <c r="N266" t="n">
        <v>0</v>
      </c>
      <c r="O266" t="n">
        <v>0</v>
      </c>
      <c r="P266" t="n">
        <v>0</v>
      </c>
      <c r="Q266" t="n">
        <v>0</v>
      </c>
      <c r="R266" s="2" t="inlineStr"/>
    </row>
    <row r="267" ht="15" customHeight="1">
      <c r="A267" t="inlineStr">
        <is>
          <t>A 13581-2022</t>
        </is>
      </c>
      <c r="B267" s="1" t="n">
        <v>44648</v>
      </c>
      <c r="C267" s="1" t="n">
        <v>45829</v>
      </c>
      <c r="D267" t="inlineStr">
        <is>
          <t>VÄSTRA GÖTALANDS LÄN</t>
        </is>
      </c>
      <c r="E267" t="inlineStr">
        <is>
          <t>DALS-ED</t>
        </is>
      </c>
      <c r="G267" t="n">
        <v>3.8</v>
      </c>
      <c r="H267" t="n">
        <v>0</v>
      </c>
      <c r="I267" t="n">
        <v>0</v>
      </c>
      <c r="J267" t="n">
        <v>0</v>
      </c>
      <c r="K267" t="n">
        <v>0</v>
      </c>
      <c r="L267" t="n">
        <v>0</v>
      </c>
      <c r="M267" t="n">
        <v>0</v>
      </c>
      <c r="N267" t="n">
        <v>0</v>
      </c>
      <c r="O267" t="n">
        <v>0</v>
      </c>
      <c r="P267" t="n">
        <v>0</v>
      </c>
      <c r="Q267" t="n">
        <v>0</v>
      </c>
      <c r="R267" s="2" t="inlineStr"/>
    </row>
    <row r="268" ht="15" customHeight="1">
      <c r="A268" t="inlineStr">
        <is>
          <t>A 14993-2022</t>
        </is>
      </c>
      <c r="B268" s="1" t="n">
        <v>44657</v>
      </c>
      <c r="C268" s="1" t="n">
        <v>45829</v>
      </c>
      <c r="D268" t="inlineStr">
        <is>
          <t>VÄSTRA GÖTALANDS LÄN</t>
        </is>
      </c>
      <c r="E268" t="inlineStr">
        <is>
          <t>DALS-ED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15364-2022</t>
        </is>
      </c>
      <c r="B269" s="1" t="n">
        <v>44659</v>
      </c>
      <c r="C269" s="1" t="n">
        <v>45829</v>
      </c>
      <c r="D269" t="inlineStr">
        <is>
          <t>VÄSTRA GÖTALANDS LÄN</t>
        </is>
      </c>
      <c r="E269" t="inlineStr">
        <is>
          <t>DALS-ED</t>
        </is>
      </c>
      <c r="G269" t="n">
        <v>6.5</v>
      </c>
      <c r="H269" t="n">
        <v>0</v>
      </c>
      <c r="I269" t="n">
        <v>0</v>
      </c>
      <c r="J269" t="n">
        <v>0</v>
      </c>
      <c r="K269" t="n">
        <v>0</v>
      </c>
      <c r="L269" t="n">
        <v>0</v>
      </c>
      <c r="M269" t="n">
        <v>0</v>
      </c>
      <c r="N269" t="n">
        <v>0</v>
      </c>
      <c r="O269" t="n">
        <v>0</v>
      </c>
      <c r="P269" t="n">
        <v>0</v>
      </c>
      <c r="Q269" t="n">
        <v>0</v>
      </c>
      <c r="R269" s="2" t="inlineStr"/>
    </row>
    <row r="270" ht="15" customHeight="1">
      <c r="A270" t="inlineStr">
        <is>
          <t>A 16935-2022</t>
        </is>
      </c>
      <c r="B270" s="1" t="n">
        <v>44676</v>
      </c>
      <c r="C270" s="1" t="n">
        <v>45829</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18360-2022</t>
        </is>
      </c>
      <c r="B271" s="1" t="n">
        <v>44685</v>
      </c>
      <c r="C271" s="1" t="n">
        <v>45829</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18362-2022</t>
        </is>
      </c>
      <c r="B272" s="1" t="n">
        <v>44685</v>
      </c>
      <c r="C272" s="1" t="n">
        <v>45829</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18356-2022</t>
        </is>
      </c>
      <c r="B273" s="1" t="n">
        <v>44685</v>
      </c>
      <c r="C273" s="1" t="n">
        <v>45829</v>
      </c>
      <c r="D273" t="inlineStr">
        <is>
          <t>VÄSTRA GÖTALANDS LÄN</t>
        </is>
      </c>
      <c r="E273" t="inlineStr">
        <is>
          <t>DALS-ED</t>
        </is>
      </c>
      <c r="G273" t="n">
        <v>3</v>
      </c>
      <c r="H273" t="n">
        <v>0</v>
      </c>
      <c r="I273" t="n">
        <v>0</v>
      </c>
      <c r="J273" t="n">
        <v>0</v>
      </c>
      <c r="K273" t="n">
        <v>0</v>
      </c>
      <c r="L273" t="n">
        <v>0</v>
      </c>
      <c r="M273" t="n">
        <v>0</v>
      </c>
      <c r="N273" t="n">
        <v>0</v>
      </c>
      <c r="O273" t="n">
        <v>0</v>
      </c>
      <c r="P273" t="n">
        <v>0</v>
      </c>
      <c r="Q273" t="n">
        <v>0</v>
      </c>
      <c r="R273" s="2" t="inlineStr"/>
    </row>
    <row r="274" ht="15" customHeight="1">
      <c r="A274" t="inlineStr">
        <is>
          <t>A 18361-2022</t>
        </is>
      </c>
      <c r="B274" s="1" t="n">
        <v>44685</v>
      </c>
      <c r="C274" s="1" t="n">
        <v>45829</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18358-2022</t>
        </is>
      </c>
      <c r="B275" s="1" t="n">
        <v>44685</v>
      </c>
      <c r="C275" s="1" t="n">
        <v>45829</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18837-2022</t>
        </is>
      </c>
      <c r="B276" s="1" t="n">
        <v>44690</v>
      </c>
      <c r="C276" s="1" t="n">
        <v>45829</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18839-2022</t>
        </is>
      </c>
      <c r="B277" s="1" t="n">
        <v>44690</v>
      </c>
      <c r="C277" s="1" t="n">
        <v>45829</v>
      </c>
      <c r="D277" t="inlineStr">
        <is>
          <t>VÄSTRA GÖTALANDS LÄN</t>
        </is>
      </c>
      <c r="E277" t="inlineStr">
        <is>
          <t>DALS-ED</t>
        </is>
      </c>
      <c r="G277" t="n">
        <v>8.9</v>
      </c>
      <c r="H277" t="n">
        <v>0</v>
      </c>
      <c r="I277" t="n">
        <v>0</v>
      </c>
      <c r="J277" t="n">
        <v>0</v>
      </c>
      <c r="K277" t="n">
        <v>0</v>
      </c>
      <c r="L277" t="n">
        <v>0</v>
      </c>
      <c r="M277" t="n">
        <v>0</v>
      </c>
      <c r="N277" t="n">
        <v>0</v>
      </c>
      <c r="O277" t="n">
        <v>0</v>
      </c>
      <c r="P277" t="n">
        <v>0</v>
      </c>
      <c r="Q277" t="n">
        <v>0</v>
      </c>
      <c r="R277" s="2" t="inlineStr"/>
    </row>
    <row r="278" ht="15" customHeight="1">
      <c r="A278" t="inlineStr">
        <is>
          <t>A 20889-2022</t>
        </is>
      </c>
      <c r="B278" s="1" t="n">
        <v>44701</v>
      </c>
      <c r="C278" s="1" t="n">
        <v>45829</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20887-2022</t>
        </is>
      </c>
      <c r="B279" s="1" t="n">
        <v>44701</v>
      </c>
      <c r="C279" s="1" t="n">
        <v>45829</v>
      </c>
      <c r="D279" t="inlineStr">
        <is>
          <t>VÄSTRA GÖTALANDS LÄN</t>
        </is>
      </c>
      <c r="E279" t="inlineStr">
        <is>
          <t>DALS-ED</t>
        </is>
      </c>
      <c r="G279" t="n">
        <v>3.2</v>
      </c>
      <c r="H279" t="n">
        <v>0</v>
      </c>
      <c r="I279" t="n">
        <v>0</v>
      </c>
      <c r="J279" t="n">
        <v>0</v>
      </c>
      <c r="K279" t="n">
        <v>0</v>
      </c>
      <c r="L279" t="n">
        <v>0</v>
      </c>
      <c r="M279" t="n">
        <v>0</v>
      </c>
      <c r="N279" t="n">
        <v>0</v>
      </c>
      <c r="O279" t="n">
        <v>0</v>
      </c>
      <c r="P279" t="n">
        <v>0</v>
      </c>
      <c r="Q279" t="n">
        <v>0</v>
      </c>
      <c r="R279" s="2" t="inlineStr"/>
    </row>
    <row r="280" ht="15" customHeight="1">
      <c r="A280" t="inlineStr">
        <is>
          <t>A 20908-2022</t>
        </is>
      </c>
      <c r="B280" s="1" t="n">
        <v>44701</v>
      </c>
      <c r="C280" s="1" t="n">
        <v>45829</v>
      </c>
      <c r="D280" t="inlineStr">
        <is>
          <t>VÄSTRA GÖTALANDS LÄN</t>
        </is>
      </c>
      <c r="E280" t="inlineStr">
        <is>
          <t>DALS-ED</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21370-2022</t>
        </is>
      </c>
      <c r="B281" s="1" t="n">
        <v>44705</v>
      </c>
      <c r="C281" s="1" t="n">
        <v>45829</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21368-2022</t>
        </is>
      </c>
      <c r="B282" s="1" t="n">
        <v>44705</v>
      </c>
      <c r="C282" s="1" t="n">
        <v>45829</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21373-2022</t>
        </is>
      </c>
      <c r="B283" s="1" t="n">
        <v>44705</v>
      </c>
      <c r="C283" s="1" t="n">
        <v>45829</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21367-2022</t>
        </is>
      </c>
      <c r="B284" s="1" t="n">
        <v>44705</v>
      </c>
      <c r="C284" s="1" t="n">
        <v>45829</v>
      </c>
      <c r="D284" t="inlineStr">
        <is>
          <t>VÄSTRA GÖTALANDS LÄN</t>
        </is>
      </c>
      <c r="E284" t="inlineStr">
        <is>
          <t>DALS-ED</t>
        </is>
      </c>
      <c r="G284" t="n">
        <v>6.8</v>
      </c>
      <c r="H284" t="n">
        <v>0</v>
      </c>
      <c r="I284" t="n">
        <v>0</v>
      </c>
      <c r="J284" t="n">
        <v>0</v>
      </c>
      <c r="K284" t="n">
        <v>0</v>
      </c>
      <c r="L284" t="n">
        <v>0</v>
      </c>
      <c r="M284" t="n">
        <v>0</v>
      </c>
      <c r="N284" t="n">
        <v>0</v>
      </c>
      <c r="O284" t="n">
        <v>0</v>
      </c>
      <c r="P284" t="n">
        <v>0</v>
      </c>
      <c r="Q284" t="n">
        <v>0</v>
      </c>
      <c r="R284" s="2" t="inlineStr"/>
    </row>
    <row r="285" ht="15" customHeight="1">
      <c r="A285" t="inlineStr">
        <is>
          <t>A 21372-2022</t>
        </is>
      </c>
      <c r="B285" s="1" t="n">
        <v>44705</v>
      </c>
      <c r="C285" s="1" t="n">
        <v>45829</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23317-2022</t>
        </is>
      </c>
      <c r="B286" s="1" t="n">
        <v>44720</v>
      </c>
      <c r="C286" s="1" t="n">
        <v>45829</v>
      </c>
      <c r="D286" t="inlineStr">
        <is>
          <t>VÄSTRA GÖTALANDS LÄN</t>
        </is>
      </c>
      <c r="E286" t="inlineStr">
        <is>
          <t>DALS-ED</t>
        </is>
      </c>
      <c r="G286" t="n">
        <v>6.9</v>
      </c>
      <c r="H286" t="n">
        <v>0</v>
      </c>
      <c r="I286" t="n">
        <v>0</v>
      </c>
      <c r="J286" t="n">
        <v>0</v>
      </c>
      <c r="K286" t="n">
        <v>0</v>
      </c>
      <c r="L286" t="n">
        <v>0</v>
      </c>
      <c r="M286" t="n">
        <v>0</v>
      </c>
      <c r="N286" t="n">
        <v>0</v>
      </c>
      <c r="O286" t="n">
        <v>0</v>
      </c>
      <c r="P286" t="n">
        <v>0</v>
      </c>
      <c r="Q286" t="n">
        <v>0</v>
      </c>
      <c r="R286" s="2" t="inlineStr"/>
    </row>
    <row r="287" ht="15" customHeight="1">
      <c r="A287" t="inlineStr">
        <is>
          <t>A 25762-2022</t>
        </is>
      </c>
      <c r="B287" s="1" t="n">
        <v>44733</v>
      </c>
      <c r="C287" s="1" t="n">
        <v>45829</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27308-2022</t>
        </is>
      </c>
      <c r="B288" s="1" t="n">
        <v>44742</v>
      </c>
      <c r="C288" s="1" t="n">
        <v>45829</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27682-2022</t>
        </is>
      </c>
      <c r="B289" s="1" t="n">
        <v>44743</v>
      </c>
      <c r="C289" s="1" t="n">
        <v>45829</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27685-2022</t>
        </is>
      </c>
      <c r="B290" s="1" t="n">
        <v>44743</v>
      </c>
      <c r="C290" s="1" t="n">
        <v>45829</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27796-2022</t>
        </is>
      </c>
      <c r="B291" s="1" t="n">
        <v>44743</v>
      </c>
      <c r="C291" s="1" t="n">
        <v>45829</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27807-2022</t>
        </is>
      </c>
      <c r="B292" s="1" t="n">
        <v>44743</v>
      </c>
      <c r="C292" s="1" t="n">
        <v>45829</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27812-2022</t>
        </is>
      </c>
      <c r="B293" s="1" t="n">
        <v>44743</v>
      </c>
      <c r="C293" s="1" t="n">
        <v>45829</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29518-2022</t>
        </is>
      </c>
      <c r="B294" s="1" t="n">
        <v>44753</v>
      </c>
      <c r="C294" s="1" t="n">
        <v>45829</v>
      </c>
      <c r="D294" t="inlineStr">
        <is>
          <t>VÄSTRA GÖTALANDS LÄN</t>
        </is>
      </c>
      <c r="E294" t="inlineStr">
        <is>
          <t>DALS-ED</t>
        </is>
      </c>
      <c r="F294" t="inlineStr">
        <is>
          <t>Övriga Aktiebolag</t>
        </is>
      </c>
      <c r="G294" t="n">
        <v>5.5</v>
      </c>
      <c r="H294" t="n">
        <v>0</v>
      </c>
      <c r="I294" t="n">
        <v>0</v>
      </c>
      <c r="J294" t="n">
        <v>0</v>
      </c>
      <c r="K294" t="n">
        <v>0</v>
      </c>
      <c r="L294" t="n">
        <v>0</v>
      </c>
      <c r="M294" t="n">
        <v>0</v>
      </c>
      <c r="N294" t="n">
        <v>0</v>
      </c>
      <c r="O294" t="n">
        <v>0</v>
      </c>
      <c r="P294" t="n">
        <v>0</v>
      </c>
      <c r="Q294" t="n">
        <v>0</v>
      </c>
      <c r="R294" s="2" t="inlineStr"/>
    </row>
    <row r="295" ht="15" customHeight="1">
      <c r="A295" t="inlineStr">
        <is>
          <t>A 31754-2022</t>
        </is>
      </c>
      <c r="B295" s="1" t="n">
        <v>44776</v>
      </c>
      <c r="C295" s="1" t="n">
        <v>45829</v>
      </c>
      <c r="D295" t="inlineStr">
        <is>
          <t>VÄSTRA GÖTALANDS LÄN</t>
        </is>
      </c>
      <c r="E295" t="inlineStr">
        <is>
          <t>DALS-ED</t>
        </is>
      </c>
      <c r="G295" t="n">
        <v>4.2</v>
      </c>
      <c r="H295" t="n">
        <v>0</v>
      </c>
      <c r="I295" t="n">
        <v>0</v>
      </c>
      <c r="J295" t="n">
        <v>0</v>
      </c>
      <c r="K295" t="n">
        <v>0</v>
      </c>
      <c r="L295" t="n">
        <v>0</v>
      </c>
      <c r="M295" t="n">
        <v>0</v>
      </c>
      <c r="N295" t="n">
        <v>0</v>
      </c>
      <c r="O295" t="n">
        <v>0</v>
      </c>
      <c r="P295" t="n">
        <v>0</v>
      </c>
      <c r="Q295" t="n">
        <v>0</v>
      </c>
      <c r="R295" s="2" t="inlineStr"/>
    </row>
    <row r="296" ht="15" customHeight="1">
      <c r="A296" t="inlineStr">
        <is>
          <t>A 31764-2022</t>
        </is>
      </c>
      <c r="B296" s="1" t="n">
        <v>44776</v>
      </c>
      <c r="C296" s="1" t="n">
        <v>45829</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32193-2022</t>
        </is>
      </c>
      <c r="B297" s="1" t="n">
        <v>44781</v>
      </c>
      <c r="C297" s="1" t="n">
        <v>45829</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32317-2022</t>
        </is>
      </c>
      <c r="B298" s="1" t="n">
        <v>44781</v>
      </c>
      <c r="C298" s="1" t="n">
        <v>45829</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32313-2022</t>
        </is>
      </c>
      <c r="B299" s="1" t="n">
        <v>44781</v>
      </c>
      <c r="C299" s="1" t="n">
        <v>45829</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32872-2022</t>
        </is>
      </c>
      <c r="B300" s="1" t="n">
        <v>44784</v>
      </c>
      <c r="C300" s="1" t="n">
        <v>45829</v>
      </c>
      <c r="D300" t="inlineStr">
        <is>
          <t>VÄSTRA GÖTALANDS LÄN</t>
        </is>
      </c>
      <c r="E300" t="inlineStr">
        <is>
          <t>DALS-ED</t>
        </is>
      </c>
      <c r="G300" t="n">
        <v>18.3</v>
      </c>
      <c r="H300" t="n">
        <v>0</v>
      </c>
      <c r="I300" t="n">
        <v>0</v>
      </c>
      <c r="J300" t="n">
        <v>0</v>
      </c>
      <c r="K300" t="n">
        <v>0</v>
      </c>
      <c r="L300" t="n">
        <v>0</v>
      </c>
      <c r="M300" t="n">
        <v>0</v>
      </c>
      <c r="N300" t="n">
        <v>0</v>
      </c>
      <c r="O300" t="n">
        <v>0</v>
      </c>
      <c r="P300" t="n">
        <v>0</v>
      </c>
      <c r="Q300" t="n">
        <v>0</v>
      </c>
      <c r="R300" s="2" t="inlineStr"/>
    </row>
    <row r="301" ht="15" customHeight="1">
      <c r="A301" t="inlineStr">
        <is>
          <t>A 33688-2022</t>
        </is>
      </c>
      <c r="B301" s="1" t="n">
        <v>44789</v>
      </c>
      <c r="C301" s="1" t="n">
        <v>45829</v>
      </c>
      <c r="D301" t="inlineStr">
        <is>
          <t>VÄSTRA GÖTALANDS LÄN</t>
        </is>
      </c>
      <c r="E301" t="inlineStr">
        <is>
          <t>DALS-ED</t>
        </is>
      </c>
      <c r="G301" t="n">
        <v>12.9</v>
      </c>
      <c r="H301" t="n">
        <v>0</v>
      </c>
      <c r="I301" t="n">
        <v>0</v>
      </c>
      <c r="J301" t="n">
        <v>0</v>
      </c>
      <c r="K301" t="n">
        <v>0</v>
      </c>
      <c r="L301" t="n">
        <v>0</v>
      </c>
      <c r="M301" t="n">
        <v>0</v>
      </c>
      <c r="N301" t="n">
        <v>0</v>
      </c>
      <c r="O301" t="n">
        <v>0</v>
      </c>
      <c r="P301" t="n">
        <v>0</v>
      </c>
      <c r="Q301" t="n">
        <v>0</v>
      </c>
      <c r="R301" s="2" t="inlineStr"/>
    </row>
    <row r="302" ht="15" customHeight="1">
      <c r="A302" t="inlineStr">
        <is>
          <t>A 34888-2022</t>
        </is>
      </c>
      <c r="B302" s="1" t="n">
        <v>44796</v>
      </c>
      <c r="C302" s="1" t="n">
        <v>45829</v>
      </c>
      <c r="D302" t="inlineStr">
        <is>
          <t>VÄSTRA GÖTALANDS LÄN</t>
        </is>
      </c>
      <c r="E302" t="inlineStr">
        <is>
          <t>DALS-ED</t>
        </is>
      </c>
      <c r="G302" t="n">
        <v>2.7</v>
      </c>
      <c r="H302" t="n">
        <v>0</v>
      </c>
      <c r="I302" t="n">
        <v>0</v>
      </c>
      <c r="J302" t="n">
        <v>0</v>
      </c>
      <c r="K302" t="n">
        <v>0</v>
      </c>
      <c r="L302" t="n">
        <v>0</v>
      </c>
      <c r="M302" t="n">
        <v>0</v>
      </c>
      <c r="N302" t="n">
        <v>0</v>
      </c>
      <c r="O302" t="n">
        <v>0</v>
      </c>
      <c r="P302" t="n">
        <v>0</v>
      </c>
      <c r="Q302" t="n">
        <v>0</v>
      </c>
      <c r="R302" s="2" t="inlineStr"/>
    </row>
    <row r="303" ht="15" customHeight="1">
      <c r="A303" t="inlineStr">
        <is>
          <t>A 35629-2022</t>
        </is>
      </c>
      <c r="B303" s="1" t="n">
        <v>44799</v>
      </c>
      <c r="C303" s="1" t="n">
        <v>45829</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35879-2022</t>
        </is>
      </c>
      <c r="B304" s="1" t="n">
        <v>44802</v>
      </c>
      <c r="C304" s="1" t="n">
        <v>45829</v>
      </c>
      <c r="D304" t="inlineStr">
        <is>
          <t>VÄSTRA GÖTALANDS LÄN</t>
        </is>
      </c>
      <c r="E304" t="inlineStr">
        <is>
          <t>DALS-ED</t>
        </is>
      </c>
      <c r="G304" t="n">
        <v>1.7</v>
      </c>
      <c r="H304" t="n">
        <v>0</v>
      </c>
      <c r="I304" t="n">
        <v>0</v>
      </c>
      <c r="J304" t="n">
        <v>0</v>
      </c>
      <c r="K304" t="n">
        <v>0</v>
      </c>
      <c r="L304" t="n">
        <v>0</v>
      </c>
      <c r="M304" t="n">
        <v>0</v>
      </c>
      <c r="N304" t="n">
        <v>0</v>
      </c>
      <c r="O304" t="n">
        <v>0</v>
      </c>
      <c r="P304" t="n">
        <v>0</v>
      </c>
      <c r="Q304" t="n">
        <v>0</v>
      </c>
      <c r="R304" s="2" t="inlineStr"/>
    </row>
    <row r="305" ht="15" customHeight="1">
      <c r="A305" t="inlineStr">
        <is>
          <t>A 37168-2022</t>
        </is>
      </c>
      <c r="B305" s="1" t="n">
        <v>44806</v>
      </c>
      <c r="C305" s="1" t="n">
        <v>45829</v>
      </c>
      <c r="D305" t="inlineStr">
        <is>
          <t>VÄSTRA GÖTALANDS LÄN</t>
        </is>
      </c>
      <c r="E305" t="inlineStr">
        <is>
          <t>DALS-ED</t>
        </is>
      </c>
      <c r="G305" t="n">
        <v>2.2</v>
      </c>
      <c r="H305" t="n">
        <v>0</v>
      </c>
      <c r="I305" t="n">
        <v>0</v>
      </c>
      <c r="J305" t="n">
        <v>0</v>
      </c>
      <c r="K305" t="n">
        <v>0</v>
      </c>
      <c r="L305" t="n">
        <v>0</v>
      </c>
      <c r="M305" t="n">
        <v>0</v>
      </c>
      <c r="N305" t="n">
        <v>0</v>
      </c>
      <c r="O305" t="n">
        <v>0</v>
      </c>
      <c r="P305" t="n">
        <v>0</v>
      </c>
      <c r="Q305" t="n">
        <v>0</v>
      </c>
      <c r="R305" s="2" t="inlineStr"/>
    </row>
    <row r="306" ht="15" customHeight="1">
      <c r="A306" t="inlineStr">
        <is>
          <t>A 37253-2022</t>
        </is>
      </c>
      <c r="B306" s="1" t="n">
        <v>44807</v>
      </c>
      <c r="C306" s="1" t="n">
        <v>45829</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38392-2022</t>
        </is>
      </c>
      <c r="B307" s="1" t="n">
        <v>44812</v>
      </c>
      <c r="C307" s="1" t="n">
        <v>45829</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40372-2022</t>
        </is>
      </c>
      <c r="B308" s="1" t="n">
        <v>44823</v>
      </c>
      <c r="C308" s="1" t="n">
        <v>45829</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40380-2022</t>
        </is>
      </c>
      <c r="B309" s="1" t="n">
        <v>44823</v>
      </c>
      <c r="C309" s="1" t="n">
        <v>45829</v>
      </c>
      <c r="D309" t="inlineStr">
        <is>
          <t>VÄSTRA GÖTALANDS LÄN</t>
        </is>
      </c>
      <c r="E309" t="inlineStr">
        <is>
          <t>DALS-ED</t>
        </is>
      </c>
      <c r="G309" t="n">
        <v>5.1</v>
      </c>
      <c r="H309" t="n">
        <v>0</v>
      </c>
      <c r="I309" t="n">
        <v>0</v>
      </c>
      <c r="J309" t="n">
        <v>0</v>
      </c>
      <c r="K309" t="n">
        <v>0</v>
      </c>
      <c r="L309" t="n">
        <v>0</v>
      </c>
      <c r="M309" t="n">
        <v>0</v>
      </c>
      <c r="N309" t="n">
        <v>0</v>
      </c>
      <c r="O309" t="n">
        <v>0</v>
      </c>
      <c r="P309" t="n">
        <v>0</v>
      </c>
      <c r="Q309" t="n">
        <v>0</v>
      </c>
      <c r="R309" s="2" t="inlineStr"/>
    </row>
    <row r="310" ht="15" customHeight="1">
      <c r="A310" t="inlineStr">
        <is>
          <t>A 40390-2022</t>
        </is>
      </c>
      <c r="B310" s="1" t="n">
        <v>44823</v>
      </c>
      <c r="C310" s="1" t="n">
        <v>45829</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40354-2022</t>
        </is>
      </c>
      <c r="B311" s="1" t="n">
        <v>44823</v>
      </c>
      <c r="C311" s="1" t="n">
        <v>45829</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40378-2022</t>
        </is>
      </c>
      <c r="B312" s="1" t="n">
        <v>44823</v>
      </c>
      <c r="C312" s="1" t="n">
        <v>45829</v>
      </c>
      <c r="D312" t="inlineStr">
        <is>
          <t>VÄSTRA GÖTALANDS LÄN</t>
        </is>
      </c>
      <c r="E312" t="inlineStr">
        <is>
          <t>DALS-ED</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40482-2022</t>
        </is>
      </c>
      <c r="B313" s="1" t="n">
        <v>44823</v>
      </c>
      <c r="C313" s="1" t="n">
        <v>45829</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40488-2022</t>
        </is>
      </c>
      <c r="B314" s="1" t="n">
        <v>44823</v>
      </c>
      <c r="C314" s="1" t="n">
        <v>45829</v>
      </c>
      <c r="D314" t="inlineStr">
        <is>
          <t>VÄSTRA GÖTALANDS LÄN</t>
        </is>
      </c>
      <c r="E314" t="inlineStr">
        <is>
          <t>DALS-ED</t>
        </is>
      </c>
      <c r="G314" t="n">
        <v>0.6</v>
      </c>
      <c r="H314" t="n">
        <v>0</v>
      </c>
      <c r="I314" t="n">
        <v>0</v>
      </c>
      <c r="J314" t="n">
        <v>0</v>
      </c>
      <c r="K314" t="n">
        <v>0</v>
      </c>
      <c r="L314" t="n">
        <v>0</v>
      </c>
      <c r="M314" t="n">
        <v>0</v>
      </c>
      <c r="N314" t="n">
        <v>0</v>
      </c>
      <c r="O314" t="n">
        <v>0</v>
      </c>
      <c r="P314" t="n">
        <v>0</v>
      </c>
      <c r="Q314" t="n">
        <v>0</v>
      </c>
      <c r="R314" s="2" t="inlineStr"/>
    </row>
    <row r="315" ht="15" customHeight="1">
      <c r="A315" t="inlineStr">
        <is>
          <t>A 41151-2022</t>
        </is>
      </c>
      <c r="B315" s="1" t="n">
        <v>44825</v>
      </c>
      <c r="C315" s="1" t="n">
        <v>45829</v>
      </c>
      <c r="D315" t="inlineStr">
        <is>
          <t>VÄSTRA GÖTALANDS LÄN</t>
        </is>
      </c>
      <c r="E315" t="inlineStr">
        <is>
          <t>DALS-ED</t>
        </is>
      </c>
      <c r="G315" t="n">
        <v>3.4</v>
      </c>
      <c r="H315" t="n">
        <v>0</v>
      </c>
      <c r="I315" t="n">
        <v>0</v>
      </c>
      <c r="J315" t="n">
        <v>0</v>
      </c>
      <c r="K315" t="n">
        <v>0</v>
      </c>
      <c r="L315" t="n">
        <v>0</v>
      </c>
      <c r="M315" t="n">
        <v>0</v>
      </c>
      <c r="N315" t="n">
        <v>0</v>
      </c>
      <c r="O315" t="n">
        <v>0</v>
      </c>
      <c r="P315" t="n">
        <v>0</v>
      </c>
      <c r="Q315" t="n">
        <v>0</v>
      </c>
      <c r="R315" s="2" t="inlineStr"/>
    </row>
    <row r="316" ht="15" customHeight="1">
      <c r="A316" t="inlineStr">
        <is>
          <t>A 41255-2022</t>
        </is>
      </c>
      <c r="B316" s="1" t="n">
        <v>44826</v>
      </c>
      <c r="C316" s="1" t="n">
        <v>45829</v>
      </c>
      <c r="D316" t="inlineStr">
        <is>
          <t>VÄSTRA GÖTALANDS LÄN</t>
        </is>
      </c>
      <c r="E316" t="inlineStr">
        <is>
          <t>DALS-ED</t>
        </is>
      </c>
      <c r="G316" t="n">
        <v>10.8</v>
      </c>
      <c r="H316" t="n">
        <v>0</v>
      </c>
      <c r="I316" t="n">
        <v>0</v>
      </c>
      <c r="J316" t="n">
        <v>0</v>
      </c>
      <c r="K316" t="n">
        <v>0</v>
      </c>
      <c r="L316" t="n">
        <v>0</v>
      </c>
      <c r="M316" t="n">
        <v>0</v>
      </c>
      <c r="N316" t="n">
        <v>0</v>
      </c>
      <c r="O316" t="n">
        <v>0</v>
      </c>
      <c r="P316" t="n">
        <v>0</v>
      </c>
      <c r="Q316" t="n">
        <v>0</v>
      </c>
      <c r="R316" s="2" t="inlineStr"/>
    </row>
    <row r="317" ht="15" customHeight="1">
      <c r="A317" t="inlineStr">
        <is>
          <t>A 42951-2022</t>
        </is>
      </c>
      <c r="B317" s="1" t="n">
        <v>44832</v>
      </c>
      <c r="C317" s="1" t="n">
        <v>45829</v>
      </c>
      <c r="D317" t="inlineStr">
        <is>
          <t>VÄSTRA GÖTALANDS LÄN</t>
        </is>
      </c>
      <c r="E317" t="inlineStr">
        <is>
          <t>DALS-ED</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42979-2022</t>
        </is>
      </c>
      <c r="B318" s="1" t="n">
        <v>44833</v>
      </c>
      <c r="C318" s="1" t="n">
        <v>45829</v>
      </c>
      <c r="D318" t="inlineStr">
        <is>
          <t>VÄSTRA GÖTALANDS LÄN</t>
        </is>
      </c>
      <c r="E318" t="inlineStr">
        <is>
          <t>DALS-ED</t>
        </is>
      </c>
      <c r="G318" t="n">
        <v>4.1</v>
      </c>
      <c r="H318" t="n">
        <v>0</v>
      </c>
      <c r="I318" t="n">
        <v>0</v>
      </c>
      <c r="J318" t="n">
        <v>0</v>
      </c>
      <c r="K318" t="n">
        <v>0</v>
      </c>
      <c r="L318" t="n">
        <v>0</v>
      </c>
      <c r="M318" t="n">
        <v>0</v>
      </c>
      <c r="N318" t="n">
        <v>0</v>
      </c>
      <c r="O318" t="n">
        <v>0</v>
      </c>
      <c r="P318" t="n">
        <v>0</v>
      </c>
      <c r="Q318" t="n">
        <v>0</v>
      </c>
      <c r="R318" s="2" t="inlineStr"/>
    </row>
    <row r="319" ht="15" customHeight="1">
      <c r="A319" t="inlineStr">
        <is>
          <t>A 43027-2022</t>
        </is>
      </c>
      <c r="B319" s="1" t="n">
        <v>44833</v>
      </c>
      <c r="C319" s="1" t="n">
        <v>45829</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43492-2022</t>
        </is>
      </c>
      <c r="B320" s="1" t="n">
        <v>44837</v>
      </c>
      <c r="C320" s="1" t="n">
        <v>45829</v>
      </c>
      <c r="D320" t="inlineStr">
        <is>
          <t>VÄSTRA GÖTALANDS LÄN</t>
        </is>
      </c>
      <c r="E320" t="inlineStr">
        <is>
          <t>DALS-ED</t>
        </is>
      </c>
      <c r="G320" t="n">
        <v>1</v>
      </c>
      <c r="H320" t="n">
        <v>0</v>
      </c>
      <c r="I320" t="n">
        <v>0</v>
      </c>
      <c r="J320" t="n">
        <v>0</v>
      </c>
      <c r="K320" t="n">
        <v>0</v>
      </c>
      <c r="L320" t="n">
        <v>0</v>
      </c>
      <c r="M320" t="n">
        <v>0</v>
      </c>
      <c r="N320" t="n">
        <v>0</v>
      </c>
      <c r="O320" t="n">
        <v>0</v>
      </c>
      <c r="P320" t="n">
        <v>0</v>
      </c>
      <c r="Q320" t="n">
        <v>0</v>
      </c>
      <c r="R320" s="2" t="inlineStr"/>
    </row>
    <row r="321" ht="15" customHeight="1">
      <c r="A321" t="inlineStr">
        <is>
          <t>A 44826-2022</t>
        </is>
      </c>
      <c r="B321" s="1" t="n">
        <v>44841</v>
      </c>
      <c r="C321" s="1" t="n">
        <v>45829</v>
      </c>
      <c r="D321" t="inlineStr">
        <is>
          <t>VÄSTRA GÖTALANDS LÄN</t>
        </is>
      </c>
      <c r="E321" t="inlineStr">
        <is>
          <t>DALS-ED</t>
        </is>
      </c>
      <c r="F321" t="inlineStr">
        <is>
          <t>Övriga Aktiebolag</t>
        </is>
      </c>
      <c r="G321" t="n">
        <v>7.2</v>
      </c>
      <c r="H321" t="n">
        <v>0</v>
      </c>
      <c r="I321" t="n">
        <v>0</v>
      </c>
      <c r="J321" t="n">
        <v>0</v>
      </c>
      <c r="K321" t="n">
        <v>0</v>
      </c>
      <c r="L321" t="n">
        <v>0</v>
      </c>
      <c r="M321" t="n">
        <v>0</v>
      </c>
      <c r="N321" t="n">
        <v>0</v>
      </c>
      <c r="O321" t="n">
        <v>0</v>
      </c>
      <c r="P321" t="n">
        <v>0</v>
      </c>
      <c r="Q321" t="n">
        <v>0</v>
      </c>
      <c r="R321" s="2" t="inlineStr"/>
    </row>
    <row r="322" ht="15" customHeight="1">
      <c r="A322" t="inlineStr">
        <is>
          <t>A 47828-2022</t>
        </is>
      </c>
      <c r="B322" s="1" t="n">
        <v>44855</v>
      </c>
      <c r="C322" s="1" t="n">
        <v>45829</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48278-2022</t>
        </is>
      </c>
      <c r="B323" s="1" t="n">
        <v>44858</v>
      </c>
      <c r="C323" s="1" t="n">
        <v>45829</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48295-2022</t>
        </is>
      </c>
      <c r="B324" s="1" t="n">
        <v>44858</v>
      </c>
      <c r="C324" s="1" t="n">
        <v>45829</v>
      </c>
      <c r="D324" t="inlineStr">
        <is>
          <t>VÄSTRA GÖTALANDS LÄN</t>
        </is>
      </c>
      <c r="E324" t="inlineStr">
        <is>
          <t>DALS-ED</t>
        </is>
      </c>
      <c r="G324" t="n">
        <v>2.4</v>
      </c>
      <c r="H324" t="n">
        <v>0</v>
      </c>
      <c r="I324" t="n">
        <v>0</v>
      </c>
      <c r="J324" t="n">
        <v>0</v>
      </c>
      <c r="K324" t="n">
        <v>0</v>
      </c>
      <c r="L324" t="n">
        <v>0</v>
      </c>
      <c r="M324" t="n">
        <v>0</v>
      </c>
      <c r="N324" t="n">
        <v>0</v>
      </c>
      <c r="O324" t="n">
        <v>0</v>
      </c>
      <c r="P324" t="n">
        <v>0</v>
      </c>
      <c r="Q324" t="n">
        <v>0</v>
      </c>
      <c r="R324" s="2" t="inlineStr"/>
    </row>
    <row r="325" ht="15" customHeight="1">
      <c r="A325" t="inlineStr">
        <is>
          <t>A 48281-2022</t>
        </is>
      </c>
      <c r="B325" s="1" t="n">
        <v>44858</v>
      </c>
      <c r="C325" s="1" t="n">
        <v>45829</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49036-2022</t>
        </is>
      </c>
      <c r="B326" s="1" t="n">
        <v>44860</v>
      </c>
      <c r="C326" s="1" t="n">
        <v>45829</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51214-2022</t>
        </is>
      </c>
      <c r="B327" s="1" t="n">
        <v>44865</v>
      </c>
      <c r="C327" s="1" t="n">
        <v>45829</v>
      </c>
      <c r="D327" t="inlineStr">
        <is>
          <t>VÄSTRA GÖTALANDS LÄN</t>
        </is>
      </c>
      <c r="E327" t="inlineStr">
        <is>
          <t>DALS-ED</t>
        </is>
      </c>
      <c r="F327" t="inlineStr">
        <is>
          <t>Kyrkan</t>
        </is>
      </c>
      <c r="G327" t="n">
        <v>3</v>
      </c>
      <c r="H327" t="n">
        <v>0</v>
      </c>
      <c r="I327" t="n">
        <v>0</v>
      </c>
      <c r="J327" t="n">
        <v>0</v>
      </c>
      <c r="K327" t="n">
        <v>0</v>
      </c>
      <c r="L327" t="n">
        <v>0</v>
      </c>
      <c r="M327" t="n">
        <v>0</v>
      </c>
      <c r="N327" t="n">
        <v>0</v>
      </c>
      <c r="O327" t="n">
        <v>0</v>
      </c>
      <c r="P327" t="n">
        <v>0</v>
      </c>
      <c r="Q327" t="n">
        <v>0</v>
      </c>
      <c r="R327" s="2" t="inlineStr"/>
    </row>
    <row r="328" ht="15" customHeight="1">
      <c r="A328" t="inlineStr">
        <is>
          <t>A 53084-2022</t>
        </is>
      </c>
      <c r="B328" s="1" t="n">
        <v>44873</v>
      </c>
      <c r="C328" s="1" t="n">
        <v>45829</v>
      </c>
      <c r="D328" t="inlineStr">
        <is>
          <t>VÄSTRA GÖTALANDS LÄN</t>
        </is>
      </c>
      <c r="E328" t="inlineStr">
        <is>
          <t>DALS-ED</t>
        </is>
      </c>
      <c r="G328" t="n">
        <v>9.4</v>
      </c>
      <c r="H328" t="n">
        <v>0</v>
      </c>
      <c r="I328" t="n">
        <v>0</v>
      </c>
      <c r="J328" t="n">
        <v>0</v>
      </c>
      <c r="K328" t="n">
        <v>0</v>
      </c>
      <c r="L328" t="n">
        <v>0</v>
      </c>
      <c r="M328" t="n">
        <v>0</v>
      </c>
      <c r="N328" t="n">
        <v>0</v>
      </c>
      <c r="O328" t="n">
        <v>0</v>
      </c>
      <c r="P328" t="n">
        <v>0</v>
      </c>
      <c r="Q328" t="n">
        <v>0</v>
      </c>
      <c r="R328" s="2" t="inlineStr"/>
    </row>
    <row r="329" ht="15" customHeight="1">
      <c r="A329" t="inlineStr">
        <is>
          <t>A 52860-2022</t>
        </is>
      </c>
      <c r="B329" s="1" t="n">
        <v>44875</v>
      </c>
      <c r="C329" s="1" t="n">
        <v>45829</v>
      </c>
      <c r="D329" t="inlineStr">
        <is>
          <t>VÄSTRA GÖTALANDS LÄN</t>
        </is>
      </c>
      <c r="E329" t="inlineStr">
        <is>
          <t>DALS-ED</t>
        </is>
      </c>
      <c r="G329" t="n">
        <v>2.8</v>
      </c>
      <c r="H329" t="n">
        <v>0</v>
      </c>
      <c r="I329" t="n">
        <v>0</v>
      </c>
      <c r="J329" t="n">
        <v>0</v>
      </c>
      <c r="K329" t="n">
        <v>0</v>
      </c>
      <c r="L329" t="n">
        <v>0</v>
      </c>
      <c r="M329" t="n">
        <v>0</v>
      </c>
      <c r="N329" t="n">
        <v>0</v>
      </c>
      <c r="O329" t="n">
        <v>0</v>
      </c>
      <c r="P329" t="n">
        <v>0</v>
      </c>
      <c r="Q329" t="n">
        <v>0</v>
      </c>
      <c r="R329" s="2" t="inlineStr"/>
    </row>
    <row r="330" ht="15" customHeight="1">
      <c r="A330" t="inlineStr">
        <is>
          <t>A 56310-2022</t>
        </is>
      </c>
      <c r="B330" s="1" t="n">
        <v>44887</v>
      </c>
      <c r="C330" s="1" t="n">
        <v>45829</v>
      </c>
      <c r="D330" t="inlineStr">
        <is>
          <t>VÄSTRA GÖTALANDS LÄN</t>
        </is>
      </c>
      <c r="E330" t="inlineStr">
        <is>
          <t>DALS-ED</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57105-2022</t>
        </is>
      </c>
      <c r="B331" s="1" t="n">
        <v>44895</v>
      </c>
      <c r="C331" s="1" t="n">
        <v>45829</v>
      </c>
      <c r="D331" t="inlineStr">
        <is>
          <t>VÄSTRA GÖTALANDS LÄN</t>
        </is>
      </c>
      <c r="E331" t="inlineStr">
        <is>
          <t>DALS-ED</t>
        </is>
      </c>
      <c r="G331" t="n">
        <v>11.4</v>
      </c>
      <c r="H331" t="n">
        <v>0</v>
      </c>
      <c r="I331" t="n">
        <v>0</v>
      </c>
      <c r="J331" t="n">
        <v>0</v>
      </c>
      <c r="K331" t="n">
        <v>0</v>
      </c>
      <c r="L331" t="n">
        <v>0</v>
      </c>
      <c r="M331" t="n">
        <v>0</v>
      </c>
      <c r="N331" t="n">
        <v>0</v>
      </c>
      <c r="O331" t="n">
        <v>0</v>
      </c>
      <c r="P331" t="n">
        <v>0</v>
      </c>
      <c r="Q331" t="n">
        <v>0</v>
      </c>
      <c r="R331" s="2" t="inlineStr"/>
    </row>
    <row r="332" ht="15" customHeight="1">
      <c r="A332" t="inlineStr">
        <is>
          <t>A 57262-2022</t>
        </is>
      </c>
      <c r="B332" s="1" t="n">
        <v>44895</v>
      </c>
      <c r="C332" s="1" t="n">
        <v>45829</v>
      </c>
      <c r="D332" t="inlineStr">
        <is>
          <t>VÄSTRA GÖTALANDS LÄN</t>
        </is>
      </c>
      <c r="E332" t="inlineStr">
        <is>
          <t>DALS-ED</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58206-2022</t>
        </is>
      </c>
      <c r="B333" s="1" t="n">
        <v>44901</v>
      </c>
      <c r="C333" s="1" t="n">
        <v>45829</v>
      </c>
      <c r="D333" t="inlineStr">
        <is>
          <t>VÄSTRA GÖTALANDS LÄN</t>
        </is>
      </c>
      <c r="E333" t="inlineStr">
        <is>
          <t>DALS-ED</t>
        </is>
      </c>
      <c r="G333" t="n">
        <v>5.3</v>
      </c>
      <c r="H333" t="n">
        <v>0</v>
      </c>
      <c r="I333" t="n">
        <v>0</v>
      </c>
      <c r="J333" t="n">
        <v>0</v>
      </c>
      <c r="K333" t="n">
        <v>0</v>
      </c>
      <c r="L333" t="n">
        <v>0</v>
      </c>
      <c r="M333" t="n">
        <v>0</v>
      </c>
      <c r="N333" t="n">
        <v>0</v>
      </c>
      <c r="O333" t="n">
        <v>0</v>
      </c>
      <c r="P333" t="n">
        <v>0</v>
      </c>
      <c r="Q333" t="n">
        <v>0</v>
      </c>
      <c r="R333" s="2" t="inlineStr"/>
    </row>
    <row r="334" ht="15" customHeight="1">
      <c r="A334" t="inlineStr">
        <is>
          <t>A 58199-2022</t>
        </is>
      </c>
      <c r="B334" s="1" t="n">
        <v>44901</v>
      </c>
      <c r="C334" s="1" t="n">
        <v>45829</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60139-2022</t>
        </is>
      </c>
      <c r="B335" s="1" t="n">
        <v>44902</v>
      </c>
      <c r="C335" s="1" t="n">
        <v>45829</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60146-2022</t>
        </is>
      </c>
      <c r="B336" s="1" t="n">
        <v>44902</v>
      </c>
      <c r="C336" s="1" t="n">
        <v>45829</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59339-2022</t>
        </is>
      </c>
      <c r="B337" s="1" t="n">
        <v>44904</v>
      </c>
      <c r="C337" s="1" t="n">
        <v>45829</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59530-2022</t>
        </is>
      </c>
      <c r="B338" s="1" t="n">
        <v>44907</v>
      </c>
      <c r="C338" s="1" t="n">
        <v>45829</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59714-2022</t>
        </is>
      </c>
      <c r="B339" s="1" t="n">
        <v>44908</v>
      </c>
      <c r="C339" s="1" t="n">
        <v>45829</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61073-2022</t>
        </is>
      </c>
      <c r="B340" s="1" t="n">
        <v>44908</v>
      </c>
      <c r="C340" s="1" t="n">
        <v>45829</v>
      </c>
      <c r="D340" t="inlineStr">
        <is>
          <t>VÄSTRA GÖTALANDS LÄN</t>
        </is>
      </c>
      <c r="E340" t="inlineStr">
        <is>
          <t>DALS-ED</t>
        </is>
      </c>
      <c r="G340" t="n">
        <v>0.9</v>
      </c>
      <c r="H340" t="n">
        <v>0</v>
      </c>
      <c r="I340" t="n">
        <v>0</v>
      </c>
      <c r="J340" t="n">
        <v>0</v>
      </c>
      <c r="K340" t="n">
        <v>0</v>
      </c>
      <c r="L340" t="n">
        <v>0</v>
      </c>
      <c r="M340" t="n">
        <v>0</v>
      </c>
      <c r="N340" t="n">
        <v>0</v>
      </c>
      <c r="O340" t="n">
        <v>0</v>
      </c>
      <c r="P340" t="n">
        <v>0</v>
      </c>
      <c r="Q340" t="n">
        <v>0</v>
      </c>
      <c r="R340" s="2" t="inlineStr"/>
    </row>
    <row r="341" ht="15" customHeight="1">
      <c r="A341" t="inlineStr">
        <is>
          <t>A 60106-2022</t>
        </is>
      </c>
      <c r="B341" s="1" t="n">
        <v>44909</v>
      </c>
      <c r="C341" s="1" t="n">
        <v>45829</v>
      </c>
      <c r="D341" t="inlineStr">
        <is>
          <t>VÄSTRA GÖTALANDS LÄN</t>
        </is>
      </c>
      <c r="E341" t="inlineStr">
        <is>
          <t>DALS-ED</t>
        </is>
      </c>
      <c r="G341" t="n">
        <v>3.7</v>
      </c>
      <c r="H341" t="n">
        <v>0</v>
      </c>
      <c r="I341" t="n">
        <v>0</v>
      </c>
      <c r="J341" t="n">
        <v>0</v>
      </c>
      <c r="K341" t="n">
        <v>0</v>
      </c>
      <c r="L341" t="n">
        <v>0</v>
      </c>
      <c r="M341" t="n">
        <v>0</v>
      </c>
      <c r="N341" t="n">
        <v>0</v>
      </c>
      <c r="O341" t="n">
        <v>0</v>
      </c>
      <c r="P341" t="n">
        <v>0</v>
      </c>
      <c r="Q341" t="n">
        <v>0</v>
      </c>
      <c r="R341" s="2" t="inlineStr"/>
    </row>
    <row r="342" ht="15" customHeight="1">
      <c r="A342" t="inlineStr">
        <is>
          <t>A 61478-2022</t>
        </is>
      </c>
      <c r="B342" s="1" t="n">
        <v>44910</v>
      </c>
      <c r="C342" s="1" t="n">
        <v>45829</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61487-2022</t>
        </is>
      </c>
      <c r="B343" s="1" t="n">
        <v>44910</v>
      </c>
      <c r="C343" s="1" t="n">
        <v>45829</v>
      </c>
      <c r="D343" t="inlineStr">
        <is>
          <t>VÄSTRA GÖTALANDS LÄN</t>
        </is>
      </c>
      <c r="E343" t="inlineStr">
        <is>
          <t>DALS-ED</t>
        </is>
      </c>
      <c r="F343" t="inlineStr">
        <is>
          <t>Kyrkan</t>
        </is>
      </c>
      <c r="G343" t="n">
        <v>9.4</v>
      </c>
      <c r="H343" t="n">
        <v>0</v>
      </c>
      <c r="I343" t="n">
        <v>0</v>
      </c>
      <c r="J343" t="n">
        <v>0</v>
      </c>
      <c r="K343" t="n">
        <v>0</v>
      </c>
      <c r="L343" t="n">
        <v>0</v>
      </c>
      <c r="M343" t="n">
        <v>0</v>
      </c>
      <c r="N343" t="n">
        <v>0</v>
      </c>
      <c r="O343" t="n">
        <v>0</v>
      </c>
      <c r="P343" t="n">
        <v>0</v>
      </c>
      <c r="Q343" t="n">
        <v>0</v>
      </c>
      <c r="R343" s="2" t="inlineStr"/>
    </row>
    <row r="344" ht="15" customHeight="1">
      <c r="A344" t="inlineStr">
        <is>
          <t>A 61626-2022</t>
        </is>
      </c>
      <c r="B344" s="1" t="n">
        <v>44916</v>
      </c>
      <c r="C344" s="1" t="n">
        <v>45829</v>
      </c>
      <c r="D344" t="inlineStr">
        <is>
          <t>VÄSTRA GÖTALANDS LÄN</t>
        </is>
      </c>
      <c r="E344" t="inlineStr">
        <is>
          <t>DALS-ED</t>
        </is>
      </c>
      <c r="G344" t="n">
        <v>0.5</v>
      </c>
      <c r="H344" t="n">
        <v>0</v>
      </c>
      <c r="I344" t="n">
        <v>0</v>
      </c>
      <c r="J344" t="n">
        <v>0</v>
      </c>
      <c r="K344" t="n">
        <v>0</v>
      </c>
      <c r="L344" t="n">
        <v>0</v>
      </c>
      <c r="M344" t="n">
        <v>0</v>
      </c>
      <c r="N344" t="n">
        <v>0</v>
      </c>
      <c r="O344" t="n">
        <v>0</v>
      </c>
      <c r="P344" t="n">
        <v>0</v>
      </c>
      <c r="Q344" t="n">
        <v>0</v>
      </c>
      <c r="R344" s="2" t="inlineStr"/>
    </row>
    <row r="345" ht="15" customHeight="1">
      <c r="A345" t="inlineStr">
        <is>
          <t>A 1491-2023</t>
        </is>
      </c>
      <c r="B345" s="1" t="n">
        <v>44937</v>
      </c>
      <c r="C345" s="1" t="n">
        <v>45829</v>
      </c>
      <c r="D345" t="inlineStr">
        <is>
          <t>VÄSTRA GÖTALANDS LÄN</t>
        </is>
      </c>
      <c r="E345" t="inlineStr">
        <is>
          <t>DALS-ED</t>
        </is>
      </c>
      <c r="G345" t="n">
        <v>11.1</v>
      </c>
      <c r="H345" t="n">
        <v>0</v>
      </c>
      <c r="I345" t="n">
        <v>0</v>
      </c>
      <c r="J345" t="n">
        <v>0</v>
      </c>
      <c r="K345" t="n">
        <v>0</v>
      </c>
      <c r="L345" t="n">
        <v>0</v>
      </c>
      <c r="M345" t="n">
        <v>0</v>
      </c>
      <c r="N345" t="n">
        <v>0</v>
      </c>
      <c r="O345" t="n">
        <v>0</v>
      </c>
      <c r="P345" t="n">
        <v>0</v>
      </c>
      <c r="Q345" t="n">
        <v>0</v>
      </c>
      <c r="R345" s="2" t="inlineStr"/>
    </row>
    <row r="346" ht="15" customHeight="1">
      <c r="A346" t="inlineStr">
        <is>
          <t>A 2278-2023</t>
        </is>
      </c>
      <c r="B346" s="1" t="n">
        <v>44942</v>
      </c>
      <c r="C346" s="1" t="n">
        <v>45829</v>
      </c>
      <c r="D346" t="inlineStr">
        <is>
          <t>VÄSTRA GÖTALANDS LÄN</t>
        </is>
      </c>
      <c r="E346" t="inlineStr">
        <is>
          <t>DALS-ED</t>
        </is>
      </c>
      <c r="G346" t="n">
        <v>0.7</v>
      </c>
      <c r="H346" t="n">
        <v>0</v>
      </c>
      <c r="I346" t="n">
        <v>0</v>
      </c>
      <c r="J346" t="n">
        <v>0</v>
      </c>
      <c r="K346" t="n">
        <v>0</v>
      </c>
      <c r="L346" t="n">
        <v>0</v>
      </c>
      <c r="M346" t="n">
        <v>0</v>
      </c>
      <c r="N346" t="n">
        <v>0</v>
      </c>
      <c r="O346" t="n">
        <v>0</v>
      </c>
      <c r="P346" t="n">
        <v>0</v>
      </c>
      <c r="Q346" t="n">
        <v>0</v>
      </c>
      <c r="R346" s="2" t="inlineStr"/>
    </row>
    <row r="347" ht="15" customHeight="1">
      <c r="A347" t="inlineStr">
        <is>
          <t>A 2275-2023</t>
        </is>
      </c>
      <c r="B347" s="1" t="n">
        <v>44942</v>
      </c>
      <c r="C347" s="1" t="n">
        <v>45829</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2284-2023</t>
        </is>
      </c>
      <c r="B348" s="1" t="n">
        <v>44942</v>
      </c>
      <c r="C348" s="1" t="n">
        <v>45829</v>
      </c>
      <c r="D348" t="inlineStr">
        <is>
          <t>VÄSTRA GÖTALANDS LÄN</t>
        </is>
      </c>
      <c r="E348" t="inlineStr">
        <is>
          <t>DALS-ED</t>
        </is>
      </c>
      <c r="G348" t="n">
        <v>6.9</v>
      </c>
      <c r="H348" t="n">
        <v>0</v>
      </c>
      <c r="I348" t="n">
        <v>0</v>
      </c>
      <c r="J348" t="n">
        <v>0</v>
      </c>
      <c r="K348" t="n">
        <v>0</v>
      </c>
      <c r="L348" t="n">
        <v>0</v>
      </c>
      <c r="M348" t="n">
        <v>0</v>
      </c>
      <c r="N348" t="n">
        <v>0</v>
      </c>
      <c r="O348" t="n">
        <v>0</v>
      </c>
      <c r="P348" t="n">
        <v>0</v>
      </c>
      <c r="Q348" t="n">
        <v>0</v>
      </c>
      <c r="R348" s="2" t="inlineStr"/>
    </row>
    <row r="349" ht="15" customHeight="1">
      <c r="A349" t="inlineStr">
        <is>
          <t>A 2280-2023</t>
        </is>
      </c>
      <c r="B349" s="1" t="n">
        <v>44942</v>
      </c>
      <c r="C349" s="1" t="n">
        <v>45829</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3398-2023</t>
        </is>
      </c>
      <c r="B350" s="1" t="n">
        <v>44949</v>
      </c>
      <c r="C350" s="1" t="n">
        <v>45829</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4114-2023</t>
        </is>
      </c>
      <c r="B351" s="1" t="n">
        <v>44952</v>
      </c>
      <c r="C351" s="1" t="n">
        <v>45829</v>
      </c>
      <c r="D351" t="inlineStr">
        <is>
          <t>VÄSTRA GÖTALANDS LÄN</t>
        </is>
      </c>
      <c r="E351" t="inlineStr">
        <is>
          <t>DALS-ED</t>
        </is>
      </c>
      <c r="G351" t="n">
        <v>1.6</v>
      </c>
      <c r="H351" t="n">
        <v>0</v>
      </c>
      <c r="I351" t="n">
        <v>0</v>
      </c>
      <c r="J351" t="n">
        <v>0</v>
      </c>
      <c r="K351" t="n">
        <v>0</v>
      </c>
      <c r="L351" t="n">
        <v>0</v>
      </c>
      <c r="M351" t="n">
        <v>0</v>
      </c>
      <c r="N351" t="n">
        <v>0</v>
      </c>
      <c r="O351" t="n">
        <v>0</v>
      </c>
      <c r="P351" t="n">
        <v>0</v>
      </c>
      <c r="Q351" t="n">
        <v>0</v>
      </c>
      <c r="R351" s="2" t="inlineStr"/>
    </row>
    <row r="352" ht="15" customHeight="1">
      <c r="A352" t="inlineStr">
        <is>
          <t>A 4025-2023</t>
        </is>
      </c>
      <c r="B352" s="1" t="n">
        <v>44952</v>
      </c>
      <c r="C352" s="1" t="n">
        <v>45829</v>
      </c>
      <c r="D352" t="inlineStr">
        <is>
          <t>VÄSTRA GÖTALANDS LÄN</t>
        </is>
      </c>
      <c r="E352" t="inlineStr">
        <is>
          <t>DALS-ED</t>
        </is>
      </c>
      <c r="G352" t="n">
        <v>4.1</v>
      </c>
      <c r="H352" t="n">
        <v>0</v>
      </c>
      <c r="I352" t="n">
        <v>0</v>
      </c>
      <c r="J352" t="n">
        <v>0</v>
      </c>
      <c r="K352" t="n">
        <v>0</v>
      </c>
      <c r="L352" t="n">
        <v>0</v>
      </c>
      <c r="M352" t="n">
        <v>0</v>
      </c>
      <c r="N352" t="n">
        <v>0</v>
      </c>
      <c r="O352" t="n">
        <v>0</v>
      </c>
      <c r="P352" t="n">
        <v>0</v>
      </c>
      <c r="Q352" t="n">
        <v>0</v>
      </c>
      <c r="R352" s="2" t="inlineStr"/>
    </row>
    <row r="353" ht="15" customHeight="1">
      <c r="A353" t="inlineStr">
        <is>
          <t>A 4043-2023</t>
        </is>
      </c>
      <c r="B353" s="1" t="n">
        <v>44952</v>
      </c>
      <c r="C353" s="1" t="n">
        <v>45829</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4108-2023</t>
        </is>
      </c>
      <c r="B354" s="1" t="n">
        <v>44952</v>
      </c>
      <c r="C354" s="1" t="n">
        <v>45829</v>
      </c>
      <c r="D354" t="inlineStr">
        <is>
          <t>VÄSTRA GÖTALANDS LÄN</t>
        </is>
      </c>
      <c r="E354" t="inlineStr">
        <is>
          <t>DALS-ED</t>
        </is>
      </c>
      <c r="G354" t="n">
        <v>4</v>
      </c>
      <c r="H354" t="n">
        <v>0</v>
      </c>
      <c r="I354" t="n">
        <v>0</v>
      </c>
      <c r="J354" t="n">
        <v>0</v>
      </c>
      <c r="K354" t="n">
        <v>0</v>
      </c>
      <c r="L354" t="n">
        <v>0</v>
      </c>
      <c r="M354" t="n">
        <v>0</v>
      </c>
      <c r="N354" t="n">
        <v>0</v>
      </c>
      <c r="O354" t="n">
        <v>0</v>
      </c>
      <c r="P354" t="n">
        <v>0</v>
      </c>
      <c r="Q354" t="n">
        <v>0</v>
      </c>
      <c r="R354" s="2" t="inlineStr"/>
    </row>
    <row r="355" ht="15" customHeight="1">
      <c r="A355" t="inlineStr">
        <is>
          <t>A 4107-2023</t>
        </is>
      </c>
      <c r="B355" s="1" t="n">
        <v>44952</v>
      </c>
      <c r="C355" s="1" t="n">
        <v>45829</v>
      </c>
      <c r="D355" t="inlineStr">
        <is>
          <t>VÄSTRA GÖTALANDS LÄN</t>
        </is>
      </c>
      <c r="E355" t="inlineStr">
        <is>
          <t>DALS-ED</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4112-2023</t>
        </is>
      </c>
      <c r="B356" s="1" t="n">
        <v>44952</v>
      </c>
      <c r="C356" s="1" t="n">
        <v>45829</v>
      </c>
      <c r="D356" t="inlineStr">
        <is>
          <t>VÄSTRA GÖTALANDS LÄN</t>
        </is>
      </c>
      <c r="E356" t="inlineStr">
        <is>
          <t>DALS-ED</t>
        </is>
      </c>
      <c r="G356" t="n">
        <v>7.4</v>
      </c>
      <c r="H356" t="n">
        <v>0</v>
      </c>
      <c r="I356" t="n">
        <v>0</v>
      </c>
      <c r="J356" t="n">
        <v>0</v>
      </c>
      <c r="K356" t="n">
        <v>0</v>
      </c>
      <c r="L356" t="n">
        <v>0</v>
      </c>
      <c r="M356" t="n">
        <v>0</v>
      </c>
      <c r="N356" t="n">
        <v>0</v>
      </c>
      <c r="O356" t="n">
        <v>0</v>
      </c>
      <c r="P356" t="n">
        <v>0</v>
      </c>
      <c r="Q356" t="n">
        <v>0</v>
      </c>
      <c r="R356" s="2" t="inlineStr"/>
    </row>
    <row r="357" ht="15" customHeight="1">
      <c r="A357" t="inlineStr">
        <is>
          <t>A 4105-2023</t>
        </is>
      </c>
      <c r="B357" s="1" t="n">
        <v>44952</v>
      </c>
      <c r="C357" s="1" t="n">
        <v>45829</v>
      </c>
      <c r="D357" t="inlineStr">
        <is>
          <t>VÄSTRA GÖTALANDS LÄN</t>
        </is>
      </c>
      <c r="E357" t="inlineStr">
        <is>
          <t>DALS-ED</t>
        </is>
      </c>
      <c r="G357" t="n">
        <v>3.9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45829</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4115-2023</t>
        </is>
      </c>
      <c r="B359" s="1" t="n">
        <v>44952</v>
      </c>
      <c r="C359" s="1" t="n">
        <v>45829</v>
      </c>
      <c r="D359" t="inlineStr">
        <is>
          <t>VÄSTRA GÖTALANDS LÄN</t>
        </is>
      </c>
      <c r="E359" t="inlineStr">
        <is>
          <t>DALS-ED</t>
        </is>
      </c>
      <c r="G359" t="n">
        <v>4.2</v>
      </c>
      <c r="H359" t="n">
        <v>0</v>
      </c>
      <c r="I359" t="n">
        <v>0</v>
      </c>
      <c r="J359" t="n">
        <v>0</v>
      </c>
      <c r="K359" t="n">
        <v>0</v>
      </c>
      <c r="L359" t="n">
        <v>0</v>
      </c>
      <c r="M359" t="n">
        <v>0</v>
      </c>
      <c r="N359" t="n">
        <v>0</v>
      </c>
      <c r="O359" t="n">
        <v>0</v>
      </c>
      <c r="P359" t="n">
        <v>0</v>
      </c>
      <c r="Q359" t="n">
        <v>0</v>
      </c>
      <c r="R359" s="2" t="inlineStr"/>
    </row>
    <row r="360" ht="15" customHeight="1">
      <c r="A360" t="inlineStr">
        <is>
          <t>A 5117-2023</t>
        </is>
      </c>
      <c r="B360" s="1" t="n">
        <v>44958</v>
      </c>
      <c r="C360" s="1" t="n">
        <v>45829</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5114-2023</t>
        </is>
      </c>
      <c r="B361" s="1" t="n">
        <v>44958</v>
      </c>
      <c r="C361" s="1" t="n">
        <v>45829</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5121-2023</t>
        </is>
      </c>
      <c r="B362" s="1" t="n">
        <v>44958</v>
      </c>
      <c r="C362" s="1" t="n">
        <v>45829</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5312-2023</t>
        </is>
      </c>
      <c r="B363" s="1" t="n">
        <v>44959</v>
      </c>
      <c r="C363" s="1" t="n">
        <v>45829</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5385-2023</t>
        </is>
      </c>
      <c r="B364" s="1" t="n">
        <v>44959</v>
      </c>
      <c r="C364" s="1" t="n">
        <v>45829</v>
      </c>
      <c r="D364" t="inlineStr">
        <is>
          <t>VÄSTRA GÖTALANDS LÄN</t>
        </is>
      </c>
      <c r="E364" t="inlineStr">
        <is>
          <t>DALS-ED</t>
        </is>
      </c>
      <c r="G364" t="n">
        <v>3.4</v>
      </c>
      <c r="H364" t="n">
        <v>0</v>
      </c>
      <c r="I364" t="n">
        <v>0</v>
      </c>
      <c r="J364" t="n">
        <v>0</v>
      </c>
      <c r="K364" t="n">
        <v>0</v>
      </c>
      <c r="L364" t="n">
        <v>0</v>
      </c>
      <c r="M364" t="n">
        <v>0</v>
      </c>
      <c r="N364" t="n">
        <v>0</v>
      </c>
      <c r="O364" t="n">
        <v>0</v>
      </c>
      <c r="P364" t="n">
        <v>0</v>
      </c>
      <c r="Q364" t="n">
        <v>0</v>
      </c>
      <c r="R364" s="2" t="inlineStr"/>
    </row>
    <row r="365" ht="15" customHeight="1">
      <c r="A365" t="inlineStr">
        <is>
          <t>A 5388-2023</t>
        </is>
      </c>
      <c r="B365" s="1" t="n">
        <v>44959</v>
      </c>
      <c r="C365" s="1" t="n">
        <v>45829</v>
      </c>
      <c r="D365" t="inlineStr">
        <is>
          <t>VÄSTRA GÖTALANDS LÄN</t>
        </is>
      </c>
      <c r="E365" t="inlineStr">
        <is>
          <t>DALS-ED</t>
        </is>
      </c>
      <c r="G365" t="n">
        <v>1.9</v>
      </c>
      <c r="H365" t="n">
        <v>0</v>
      </c>
      <c r="I365" t="n">
        <v>0</v>
      </c>
      <c r="J365" t="n">
        <v>0</v>
      </c>
      <c r="K365" t="n">
        <v>0</v>
      </c>
      <c r="L365" t="n">
        <v>0</v>
      </c>
      <c r="M365" t="n">
        <v>0</v>
      </c>
      <c r="N365" t="n">
        <v>0</v>
      </c>
      <c r="O365" t="n">
        <v>0</v>
      </c>
      <c r="P365" t="n">
        <v>0</v>
      </c>
      <c r="Q365" t="n">
        <v>0</v>
      </c>
      <c r="R365" s="2" t="inlineStr"/>
    </row>
    <row r="366" ht="15" customHeight="1">
      <c r="A366" t="inlineStr">
        <is>
          <t>A 5569-2023</t>
        </is>
      </c>
      <c r="B366" s="1" t="n">
        <v>44960</v>
      </c>
      <c r="C366" s="1" t="n">
        <v>45829</v>
      </c>
      <c r="D366" t="inlineStr">
        <is>
          <t>VÄSTRA GÖTALANDS LÄN</t>
        </is>
      </c>
      <c r="E366" t="inlineStr">
        <is>
          <t>DALS-ED</t>
        </is>
      </c>
      <c r="G366" t="n">
        <v>10.4</v>
      </c>
      <c r="H366" t="n">
        <v>0</v>
      </c>
      <c r="I366" t="n">
        <v>0</v>
      </c>
      <c r="J366" t="n">
        <v>0</v>
      </c>
      <c r="K366" t="n">
        <v>0</v>
      </c>
      <c r="L366" t="n">
        <v>0</v>
      </c>
      <c r="M366" t="n">
        <v>0</v>
      </c>
      <c r="N366" t="n">
        <v>0</v>
      </c>
      <c r="O366" t="n">
        <v>0</v>
      </c>
      <c r="P366" t="n">
        <v>0</v>
      </c>
      <c r="Q366" t="n">
        <v>0</v>
      </c>
      <c r="R366" s="2" t="inlineStr"/>
    </row>
    <row r="367" ht="15" customHeight="1">
      <c r="A367" t="inlineStr">
        <is>
          <t>A 5553-2023</t>
        </is>
      </c>
      <c r="B367" s="1" t="n">
        <v>44960</v>
      </c>
      <c r="C367" s="1" t="n">
        <v>45829</v>
      </c>
      <c r="D367" t="inlineStr">
        <is>
          <t>VÄSTRA GÖTALANDS LÄN</t>
        </is>
      </c>
      <c r="E367" t="inlineStr">
        <is>
          <t>DALS-ED</t>
        </is>
      </c>
      <c r="G367" t="n">
        <v>7.9</v>
      </c>
      <c r="H367" t="n">
        <v>0</v>
      </c>
      <c r="I367" t="n">
        <v>0</v>
      </c>
      <c r="J367" t="n">
        <v>0</v>
      </c>
      <c r="K367" t="n">
        <v>0</v>
      </c>
      <c r="L367" t="n">
        <v>0</v>
      </c>
      <c r="M367" t="n">
        <v>0</v>
      </c>
      <c r="N367" t="n">
        <v>0</v>
      </c>
      <c r="O367" t="n">
        <v>0</v>
      </c>
      <c r="P367" t="n">
        <v>0</v>
      </c>
      <c r="Q367" t="n">
        <v>0</v>
      </c>
      <c r="R367" s="2" t="inlineStr"/>
    </row>
    <row r="368" ht="15" customHeight="1">
      <c r="A368" t="inlineStr">
        <is>
          <t>A 5576-2023</t>
        </is>
      </c>
      <c r="B368" s="1" t="n">
        <v>44960</v>
      </c>
      <c r="C368" s="1" t="n">
        <v>45829</v>
      </c>
      <c r="D368" t="inlineStr">
        <is>
          <t>VÄSTRA GÖTALANDS LÄN</t>
        </is>
      </c>
      <c r="E368" t="inlineStr">
        <is>
          <t>DALS-ED</t>
        </is>
      </c>
      <c r="G368" t="n">
        <v>5.2</v>
      </c>
      <c r="H368" t="n">
        <v>0</v>
      </c>
      <c r="I368" t="n">
        <v>0</v>
      </c>
      <c r="J368" t="n">
        <v>0</v>
      </c>
      <c r="K368" t="n">
        <v>0</v>
      </c>
      <c r="L368" t="n">
        <v>0</v>
      </c>
      <c r="M368" t="n">
        <v>0</v>
      </c>
      <c r="N368" t="n">
        <v>0</v>
      </c>
      <c r="O368" t="n">
        <v>0</v>
      </c>
      <c r="P368" t="n">
        <v>0</v>
      </c>
      <c r="Q368" t="n">
        <v>0</v>
      </c>
      <c r="R368" s="2" t="inlineStr"/>
    </row>
    <row r="369" ht="15" customHeight="1">
      <c r="A369" t="inlineStr">
        <is>
          <t>A 6185-2023</t>
        </is>
      </c>
      <c r="B369" s="1" t="n">
        <v>44964</v>
      </c>
      <c r="C369" s="1" t="n">
        <v>45829</v>
      </c>
      <c r="D369" t="inlineStr">
        <is>
          <t>VÄSTRA GÖTALANDS LÄN</t>
        </is>
      </c>
      <c r="E369" t="inlineStr">
        <is>
          <t>DALS-ED</t>
        </is>
      </c>
      <c r="G369" t="n">
        <v>2.1</v>
      </c>
      <c r="H369" t="n">
        <v>0</v>
      </c>
      <c r="I369" t="n">
        <v>0</v>
      </c>
      <c r="J369" t="n">
        <v>0</v>
      </c>
      <c r="K369" t="n">
        <v>0</v>
      </c>
      <c r="L369" t="n">
        <v>0</v>
      </c>
      <c r="M369" t="n">
        <v>0</v>
      </c>
      <c r="N369" t="n">
        <v>0</v>
      </c>
      <c r="O369" t="n">
        <v>0</v>
      </c>
      <c r="P369" t="n">
        <v>0</v>
      </c>
      <c r="Q369" t="n">
        <v>0</v>
      </c>
      <c r="R369" s="2" t="inlineStr"/>
    </row>
    <row r="370" ht="15" customHeight="1">
      <c r="A370" t="inlineStr">
        <is>
          <t>A 6515-2023</t>
        </is>
      </c>
      <c r="B370" s="1" t="n">
        <v>44966</v>
      </c>
      <c r="C370" s="1" t="n">
        <v>45829</v>
      </c>
      <c r="D370" t="inlineStr">
        <is>
          <t>VÄSTRA GÖTALANDS LÄN</t>
        </is>
      </c>
      <c r="E370" t="inlineStr">
        <is>
          <t>DALS-ED</t>
        </is>
      </c>
      <c r="G370" t="n">
        <v>6.4</v>
      </c>
      <c r="H370" t="n">
        <v>0</v>
      </c>
      <c r="I370" t="n">
        <v>0</v>
      </c>
      <c r="J370" t="n">
        <v>0</v>
      </c>
      <c r="K370" t="n">
        <v>0</v>
      </c>
      <c r="L370" t="n">
        <v>0</v>
      </c>
      <c r="M370" t="n">
        <v>0</v>
      </c>
      <c r="N370" t="n">
        <v>0</v>
      </c>
      <c r="O370" t="n">
        <v>0</v>
      </c>
      <c r="P370" t="n">
        <v>0</v>
      </c>
      <c r="Q370" t="n">
        <v>0</v>
      </c>
      <c r="R370" s="2" t="inlineStr"/>
    </row>
    <row r="371" ht="15" customHeight="1">
      <c r="A371" t="inlineStr">
        <is>
          <t>A 7986-2023</t>
        </is>
      </c>
      <c r="B371" s="1" t="n">
        <v>44970</v>
      </c>
      <c r="C371" s="1" t="n">
        <v>45829</v>
      </c>
      <c r="D371" t="inlineStr">
        <is>
          <t>VÄSTRA GÖTALANDS LÄN</t>
        </is>
      </c>
      <c r="E371" t="inlineStr">
        <is>
          <t>DALS-ED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7445-2023</t>
        </is>
      </c>
      <c r="B372" s="1" t="n">
        <v>44971</v>
      </c>
      <c r="C372" s="1" t="n">
        <v>45829</v>
      </c>
      <c r="D372" t="inlineStr">
        <is>
          <t>VÄSTRA GÖTALANDS LÄN</t>
        </is>
      </c>
      <c r="E372" t="inlineStr">
        <is>
          <t>DALS-ED</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7440-2023</t>
        </is>
      </c>
      <c r="B373" s="1" t="n">
        <v>44971</v>
      </c>
      <c r="C373" s="1" t="n">
        <v>45829</v>
      </c>
      <c r="D373" t="inlineStr">
        <is>
          <t>VÄSTRA GÖTALANDS LÄN</t>
        </is>
      </c>
      <c r="E373" t="inlineStr">
        <is>
          <t>DALS-ED</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8492-2023</t>
        </is>
      </c>
      <c r="B374" s="1" t="n">
        <v>44972</v>
      </c>
      <c r="C374" s="1" t="n">
        <v>45829</v>
      </c>
      <c r="D374" t="inlineStr">
        <is>
          <t>VÄSTRA GÖTALANDS LÄN</t>
        </is>
      </c>
      <c r="E374" t="inlineStr">
        <is>
          <t>DALS-ED</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8268-2023</t>
        </is>
      </c>
      <c r="B375" s="1" t="n">
        <v>44974</v>
      </c>
      <c r="C375" s="1" t="n">
        <v>45829</v>
      </c>
      <c r="D375" t="inlineStr">
        <is>
          <t>VÄSTRA GÖTALANDS LÄN</t>
        </is>
      </c>
      <c r="E375" t="inlineStr">
        <is>
          <t>DALS-ED</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9226-2023</t>
        </is>
      </c>
      <c r="B376" s="1" t="n">
        <v>44977</v>
      </c>
      <c r="C376" s="1" t="n">
        <v>45829</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9623-2023</t>
        </is>
      </c>
      <c r="B377" s="1" t="n">
        <v>44984</v>
      </c>
      <c r="C377" s="1" t="n">
        <v>45829</v>
      </c>
      <c r="D377" t="inlineStr">
        <is>
          <t>VÄSTRA GÖTALANDS LÄN</t>
        </is>
      </c>
      <c r="E377" t="inlineStr">
        <is>
          <t>DALS-ED</t>
        </is>
      </c>
      <c r="G377" t="n">
        <v>7.2</v>
      </c>
      <c r="H377" t="n">
        <v>0</v>
      </c>
      <c r="I377" t="n">
        <v>0</v>
      </c>
      <c r="J377" t="n">
        <v>0</v>
      </c>
      <c r="K377" t="n">
        <v>0</v>
      </c>
      <c r="L377" t="n">
        <v>0</v>
      </c>
      <c r="M377" t="n">
        <v>0</v>
      </c>
      <c r="N377" t="n">
        <v>0</v>
      </c>
      <c r="O377" t="n">
        <v>0</v>
      </c>
      <c r="P377" t="n">
        <v>0</v>
      </c>
      <c r="Q377" t="n">
        <v>0</v>
      </c>
      <c r="R377" s="2" t="inlineStr"/>
    </row>
    <row r="378" ht="15" customHeight="1">
      <c r="A378" t="inlineStr">
        <is>
          <t>A 10283-2023</t>
        </is>
      </c>
      <c r="B378" s="1" t="n">
        <v>44986</v>
      </c>
      <c r="C378" s="1" t="n">
        <v>45829</v>
      </c>
      <c r="D378" t="inlineStr">
        <is>
          <t>VÄSTRA GÖTALANDS LÄN</t>
        </is>
      </c>
      <c r="E378" t="inlineStr">
        <is>
          <t>DALS-ED</t>
        </is>
      </c>
      <c r="G378" t="n">
        <v>8.1</v>
      </c>
      <c r="H378" t="n">
        <v>0</v>
      </c>
      <c r="I378" t="n">
        <v>0</v>
      </c>
      <c r="J378" t="n">
        <v>0</v>
      </c>
      <c r="K378" t="n">
        <v>0</v>
      </c>
      <c r="L378" t="n">
        <v>0</v>
      </c>
      <c r="M378" t="n">
        <v>0</v>
      </c>
      <c r="N378" t="n">
        <v>0</v>
      </c>
      <c r="O378" t="n">
        <v>0</v>
      </c>
      <c r="P378" t="n">
        <v>0</v>
      </c>
      <c r="Q378" t="n">
        <v>0</v>
      </c>
      <c r="R378" s="2" t="inlineStr"/>
    </row>
    <row r="379" ht="15" customHeight="1">
      <c r="A379" t="inlineStr">
        <is>
          <t>A 11412-2023</t>
        </is>
      </c>
      <c r="B379" s="1" t="n">
        <v>44993</v>
      </c>
      <c r="C379" s="1" t="n">
        <v>45829</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11591-2023</t>
        </is>
      </c>
      <c r="B380" s="1" t="n">
        <v>44994</v>
      </c>
      <c r="C380" s="1" t="n">
        <v>45829</v>
      </c>
      <c r="D380" t="inlineStr">
        <is>
          <t>VÄSTRA GÖTALANDS LÄN</t>
        </is>
      </c>
      <c r="E380" t="inlineStr">
        <is>
          <t>DALS-ED</t>
        </is>
      </c>
      <c r="G380" t="n">
        <v>1.7</v>
      </c>
      <c r="H380" t="n">
        <v>0</v>
      </c>
      <c r="I380" t="n">
        <v>0</v>
      </c>
      <c r="J380" t="n">
        <v>0</v>
      </c>
      <c r="K380" t="n">
        <v>0</v>
      </c>
      <c r="L380" t="n">
        <v>0</v>
      </c>
      <c r="M380" t="n">
        <v>0</v>
      </c>
      <c r="N380" t="n">
        <v>0</v>
      </c>
      <c r="O380" t="n">
        <v>0</v>
      </c>
      <c r="P380" t="n">
        <v>0</v>
      </c>
      <c r="Q380" t="n">
        <v>0</v>
      </c>
      <c r="R380" s="2" t="inlineStr"/>
    </row>
    <row r="381" ht="15" customHeight="1">
      <c r="A381" t="inlineStr">
        <is>
          <t>A 12375-2023</t>
        </is>
      </c>
      <c r="B381" s="1" t="n">
        <v>44999</v>
      </c>
      <c r="C381" s="1" t="n">
        <v>45829</v>
      </c>
      <c r="D381" t="inlineStr">
        <is>
          <t>VÄSTRA GÖTALANDS LÄN</t>
        </is>
      </c>
      <c r="E381" t="inlineStr">
        <is>
          <t>DALS-ED</t>
        </is>
      </c>
      <c r="G381" t="n">
        <v>5.2</v>
      </c>
      <c r="H381" t="n">
        <v>0</v>
      </c>
      <c r="I381" t="n">
        <v>0</v>
      </c>
      <c r="J381" t="n">
        <v>0</v>
      </c>
      <c r="K381" t="n">
        <v>0</v>
      </c>
      <c r="L381" t="n">
        <v>0</v>
      </c>
      <c r="M381" t="n">
        <v>0</v>
      </c>
      <c r="N381" t="n">
        <v>0</v>
      </c>
      <c r="O381" t="n">
        <v>0</v>
      </c>
      <c r="P381" t="n">
        <v>0</v>
      </c>
      <c r="Q381" t="n">
        <v>0</v>
      </c>
      <c r="R381" s="2" t="inlineStr"/>
    </row>
    <row r="382" ht="15" customHeight="1">
      <c r="A382" t="inlineStr">
        <is>
          <t>A 12548-2023</t>
        </is>
      </c>
      <c r="B382" s="1" t="n">
        <v>45000</v>
      </c>
      <c r="C382" s="1" t="n">
        <v>45829</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13026-2023</t>
        </is>
      </c>
      <c r="B383" s="1" t="n">
        <v>45002</v>
      </c>
      <c r="C383" s="1" t="n">
        <v>45829</v>
      </c>
      <c r="D383" t="inlineStr">
        <is>
          <t>VÄSTRA GÖTALANDS LÄN</t>
        </is>
      </c>
      <c r="E383" t="inlineStr">
        <is>
          <t>DALS-ED</t>
        </is>
      </c>
      <c r="G383" t="n">
        <v>0.4</v>
      </c>
      <c r="H383" t="n">
        <v>0</v>
      </c>
      <c r="I383" t="n">
        <v>0</v>
      </c>
      <c r="J383" t="n">
        <v>0</v>
      </c>
      <c r="K383" t="n">
        <v>0</v>
      </c>
      <c r="L383" t="n">
        <v>0</v>
      </c>
      <c r="M383" t="n">
        <v>0</v>
      </c>
      <c r="N383" t="n">
        <v>0</v>
      </c>
      <c r="O383" t="n">
        <v>0</v>
      </c>
      <c r="P383" t="n">
        <v>0</v>
      </c>
      <c r="Q383" t="n">
        <v>0</v>
      </c>
      <c r="R383" s="2" t="inlineStr"/>
    </row>
    <row r="384" ht="15" customHeight="1">
      <c r="A384" t="inlineStr">
        <is>
          <t>A 13440-2023</t>
        </is>
      </c>
      <c r="B384" s="1" t="n">
        <v>45005</v>
      </c>
      <c r="C384" s="1" t="n">
        <v>45829</v>
      </c>
      <c r="D384" t="inlineStr">
        <is>
          <t>VÄSTRA GÖTALANDS LÄN</t>
        </is>
      </c>
      <c r="E384" t="inlineStr">
        <is>
          <t>DALS-ED</t>
        </is>
      </c>
      <c r="G384" t="n">
        <v>2.9</v>
      </c>
      <c r="H384" t="n">
        <v>0</v>
      </c>
      <c r="I384" t="n">
        <v>0</v>
      </c>
      <c r="J384" t="n">
        <v>0</v>
      </c>
      <c r="K384" t="n">
        <v>0</v>
      </c>
      <c r="L384" t="n">
        <v>0</v>
      </c>
      <c r="M384" t="n">
        <v>0</v>
      </c>
      <c r="N384" t="n">
        <v>0</v>
      </c>
      <c r="O384" t="n">
        <v>0</v>
      </c>
      <c r="P384" t="n">
        <v>0</v>
      </c>
      <c r="Q384" t="n">
        <v>0</v>
      </c>
      <c r="R384" s="2" t="inlineStr"/>
    </row>
    <row r="385" ht="15" customHeight="1">
      <c r="A385" t="inlineStr">
        <is>
          <t>A 13537-2023</t>
        </is>
      </c>
      <c r="B385" s="1" t="n">
        <v>45006</v>
      </c>
      <c r="C385" s="1" t="n">
        <v>45829</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13541-2023</t>
        </is>
      </c>
      <c r="B386" s="1" t="n">
        <v>45006</v>
      </c>
      <c r="C386" s="1" t="n">
        <v>45829</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13871-2023</t>
        </is>
      </c>
      <c r="B387" s="1" t="n">
        <v>45007</v>
      </c>
      <c r="C387" s="1" t="n">
        <v>45829</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13949-2023</t>
        </is>
      </c>
      <c r="B388" s="1" t="n">
        <v>45008</v>
      </c>
      <c r="C388" s="1" t="n">
        <v>45829</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14012-2023</t>
        </is>
      </c>
      <c r="B389" s="1" t="n">
        <v>45008</v>
      </c>
      <c r="C389" s="1" t="n">
        <v>45829</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14010-2023</t>
        </is>
      </c>
      <c r="B390" s="1" t="n">
        <v>45008</v>
      </c>
      <c r="C390" s="1" t="n">
        <v>45829</v>
      </c>
      <c r="D390" t="inlineStr">
        <is>
          <t>VÄSTRA GÖTALANDS LÄN</t>
        </is>
      </c>
      <c r="E390" t="inlineStr">
        <is>
          <t>DALS-ED</t>
        </is>
      </c>
      <c r="G390" t="n">
        <v>2.7</v>
      </c>
      <c r="H390" t="n">
        <v>0</v>
      </c>
      <c r="I390" t="n">
        <v>0</v>
      </c>
      <c r="J390" t="n">
        <v>0</v>
      </c>
      <c r="K390" t="n">
        <v>0</v>
      </c>
      <c r="L390" t="n">
        <v>0</v>
      </c>
      <c r="M390" t="n">
        <v>0</v>
      </c>
      <c r="N390" t="n">
        <v>0</v>
      </c>
      <c r="O390" t="n">
        <v>0</v>
      </c>
      <c r="P390" t="n">
        <v>0</v>
      </c>
      <c r="Q390" t="n">
        <v>0</v>
      </c>
      <c r="R390" s="2" t="inlineStr"/>
    </row>
    <row r="391" ht="15" customHeight="1">
      <c r="A391" t="inlineStr">
        <is>
          <t>A 14309-2023</t>
        </is>
      </c>
      <c r="B391" s="1" t="n">
        <v>45011</v>
      </c>
      <c r="C391" s="1" t="n">
        <v>45829</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14376-2023</t>
        </is>
      </c>
      <c r="B392" s="1" t="n">
        <v>45012</v>
      </c>
      <c r="C392" s="1" t="n">
        <v>45829</v>
      </c>
      <c r="D392" t="inlineStr">
        <is>
          <t>VÄSTRA GÖTALANDS LÄN</t>
        </is>
      </c>
      <c r="E392" t="inlineStr">
        <is>
          <t>DALS-ED</t>
        </is>
      </c>
      <c r="G392" t="n">
        <v>8.1</v>
      </c>
      <c r="H392" t="n">
        <v>0</v>
      </c>
      <c r="I392" t="n">
        <v>0</v>
      </c>
      <c r="J392" t="n">
        <v>0</v>
      </c>
      <c r="K392" t="n">
        <v>0</v>
      </c>
      <c r="L392" t="n">
        <v>0</v>
      </c>
      <c r="M392" t="n">
        <v>0</v>
      </c>
      <c r="N392" t="n">
        <v>0</v>
      </c>
      <c r="O392" t="n">
        <v>0</v>
      </c>
      <c r="P392" t="n">
        <v>0</v>
      </c>
      <c r="Q392" t="n">
        <v>0</v>
      </c>
      <c r="R392" s="2" t="inlineStr"/>
    </row>
    <row r="393" ht="15" customHeight="1">
      <c r="A393" t="inlineStr">
        <is>
          <t>A 14791-2023</t>
        </is>
      </c>
      <c r="B393" s="1" t="n">
        <v>45014</v>
      </c>
      <c r="C393" s="1" t="n">
        <v>45829</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14758-2023</t>
        </is>
      </c>
      <c r="B394" s="1" t="n">
        <v>45014</v>
      </c>
      <c r="C394" s="1" t="n">
        <v>45829</v>
      </c>
      <c r="D394" t="inlineStr">
        <is>
          <t>VÄSTRA GÖTALANDS LÄN</t>
        </is>
      </c>
      <c r="E394" t="inlineStr">
        <is>
          <t>DALS-ED</t>
        </is>
      </c>
      <c r="G394" t="n">
        <v>3.3</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v>
      </c>
      <c r="C395" s="1" t="n">
        <v>45829</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15008-2023</t>
        </is>
      </c>
      <c r="B396" s="1" t="n">
        <v>45015</v>
      </c>
      <c r="C396" s="1" t="n">
        <v>45829</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15259-2023</t>
        </is>
      </c>
      <c r="B397" s="1" t="n">
        <v>45016</v>
      </c>
      <c r="C397" s="1" t="n">
        <v>45829</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15262-2023</t>
        </is>
      </c>
      <c r="B398" s="1" t="n">
        <v>45016</v>
      </c>
      <c r="C398" s="1" t="n">
        <v>45829</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15338-2023</t>
        </is>
      </c>
      <c r="B399" s="1" t="n">
        <v>45019</v>
      </c>
      <c r="C399" s="1" t="n">
        <v>45829</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17147-2023</t>
        </is>
      </c>
      <c r="B400" s="1" t="n">
        <v>45034</v>
      </c>
      <c r="C400" s="1" t="n">
        <v>45829</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v>
      </c>
      <c r="C401" s="1" t="n">
        <v>45829</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19024-2023</t>
        </is>
      </c>
      <c r="B402" s="1" t="n">
        <v>45047</v>
      </c>
      <c r="C402" s="1" t="n">
        <v>45829</v>
      </c>
      <c r="D402" t="inlineStr">
        <is>
          <t>VÄSTRA GÖTALANDS LÄN</t>
        </is>
      </c>
      <c r="E402" t="inlineStr">
        <is>
          <t>DALS-ED</t>
        </is>
      </c>
      <c r="G402" t="n">
        <v>5.2</v>
      </c>
      <c r="H402" t="n">
        <v>0</v>
      </c>
      <c r="I402" t="n">
        <v>0</v>
      </c>
      <c r="J402" t="n">
        <v>0</v>
      </c>
      <c r="K402" t="n">
        <v>0</v>
      </c>
      <c r="L402" t="n">
        <v>0</v>
      </c>
      <c r="M402" t="n">
        <v>0</v>
      </c>
      <c r="N402" t="n">
        <v>0</v>
      </c>
      <c r="O402" t="n">
        <v>0</v>
      </c>
      <c r="P402" t="n">
        <v>0</v>
      </c>
      <c r="Q402" t="n">
        <v>0</v>
      </c>
      <c r="R402" s="2" t="inlineStr"/>
    </row>
    <row r="403" ht="15" customHeight="1">
      <c r="A403" t="inlineStr">
        <is>
          <t>A 19049-2023</t>
        </is>
      </c>
      <c r="B403" s="1" t="n">
        <v>45047</v>
      </c>
      <c r="C403" s="1" t="n">
        <v>45829</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19383-2023</t>
        </is>
      </c>
      <c r="B404" s="1" t="n">
        <v>45049</v>
      </c>
      <c r="C404" s="1" t="n">
        <v>45829</v>
      </c>
      <c r="D404" t="inlineStr">
        <is>
          <t>VÄSTRA GÖTALANDS LÄN</t>
        </is>
      </c>
      <c r="E404" t="inlineStr">
        <is>
          <t>DALS-ED</t>
        </is>
      </c>
      <c r="G404" t="n">
        <v>7.5</v>
      </c>
      <c r="H404" t="n">
        <v>0</v>
      </c>
      <c r="I404" t="n">
        <v>0</v>
      </c>
      <c r="J404" t="n">
        <v>0</v>
      </c>
      <c r="K404" t="n">
        <v>0</v>
      </c>
      <c r="L404" t="n">
        <v>0</v>
      </c>
      <c r="M404" t="n">
        <v>0</v>
      </c>
      <c r="N404" t="n">
        <v>0</v>
      </c>
      <c r="O404" t="n">
        <v>0</v>
      </c>
      <c r="P404" t="n">
        <v>0</v>
      </c>
      <c r="Q404" t="n">
        <v>0</v>
      </c>
      <c r="R404" s="2" t="inlineStr"/>
    </row>
    <row r="405" ht="15" customHeight="1">
      <c r="A405" t="inlineStr">
        <is>
          <t>A 19373-2023</t>
        </is>
      </c>
      <c r="B405" s="1" t="n">
        <v>45049</v>
      </c>
      <c r="C405" s="1" t="n">
        <v>45829</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19370-2023</t>
        </is>
      </c>
      <c r="B406" s="1" t="n">
        <v>45049</v>
      </c>
      <c r="C406" s="1" t="n">
        <v>45829</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19382-2023</t>
        </is>
      </c>
      <c r="B407" s="1" t="n">
        <v>45049</v>
      </c>
      <c r="C407" s="1" t="n">
        <v>45829</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20486-2023</t>
        </is>
      </c>
      <c r="B408" s="1" t="n">
        <v>45054</v>
      </c>
      <c r="C408" s="1" t="n">
        <v>45829</v>
      </c>
      <c r="D408" t="inlineStr">
        <is>
          <t>VÄSTRA GÖTALANDS LÄN</t>
        </is>
      </c>
      <c r="E408" t="inlineStr">
        <is>
          <t>DALS-ED</t>
        </is>
      </c>
      <c r="F408" t="inlineStr">
        <is>
          <t>Kyrkan</t>
        </is>
      </c>
      <c r="G408" t="n">
        <v>3.9</v>
      </c>
      <c r="H408" t="n">
        <v>0</v>
      </c>
      <c r="I408" t="n">
        <v>0</v>
      </c>
      <c r="J408" t="n">
        <v>0</v>
      </c>
      <c r="K408" t="n">
        <v>0</v>
      </c>
      <c r="L408" t="n">
        <v>0</v>
      </c>
      <c r="M408" t="n">
        <v>0</v>
      </c>
      <c r="N408" t="n">
        <v>0</v>
      </c>
      <c r="O408" t="n">
        <v>0</v>
      </c>
      <c r="P408" t="n">
        <v>0</v>
      </c>
      <c r="Q408" t="n">
        <v>0</v>
      </c>
      <c r="R408" s="2" t="inlineStr"/>
    </row>
    <row r="409" ht="15" customHeight="1">
      <c r="A409" t="inlineStr">
        <is>
          <t>A 20163-2023</t>
        </is>
      </c>
      <c r="B409" s="1" t="n">
        <v>45055</v>
      </c>
      <c r="C409" s="1" t="n">
        <v>45829</v>
      </c>
      <c r="D409" t="inlineStr">
        <is>
          <t>VÄSTRA GÖTALANDS LÄN</t>
        </is>
      </c>
      <c r="E409" t="inlineStr">
        <is>
          <t>DALS-ED</t>
        </is>
      </c>
      <c r="G409" t="n">
        <v>3.4</v>
      </c>
      <c r="H409" t="n">
        <v>0</v>
      </c>
      <c r="I409" t="n">
        <v>0</v>
      </c>
      <c r="J409" t="n">
        <v>0</v>
      </c>
      <c r="K409" t="n">
        <v>0</v>
      </c>
      <c r="L409" t="n">
        <v>0</v>
      </c>
      <c r="M409" t="n">
        <v>0</v>
      </c>
      <c r="N409" t="n">
        <v>0</v>
      </c>
      <c r="O409" t="n">
        <v>0</v>
      </c>
      <c r="P409" t="n">
        <v>0</v>
      </c>
      <c r="Q409" t="n">
        <v>0</v>
      </c>
      <c r="R409" s="2" t="inlineStr"/>
    </row>
    <row r="410" ht="15" customHeight="1">
      <c r="A410" t="inlineStr">
        <is>
          <t>A 20147-2023</t>
        </is>
      </c>
      <c r="B410" s="1" t="n">
        <v>45055</v>
      </c>
      <c r="C410" s="1" t="n">
        <v>45829</v>
      </c>
      <c r="D410" t="inlineStr">
        <is>
          <t>VÄSTRA GÖTALANDS LÄN</t>
        </is>
      </c>
      <c r="E410" t="inlineStr">
        <is>
          <t>DALS-ED</t>
        </is>
      </c>
      <c r="G410" t="n">
        <v>3.1</v>
      </c>
      <c r="H410" t="n">
        <v>0</v>
      </c>
      <c r="I410" t="n">
        <v>0</v>
      </c>
      <c r="J410" t="n">
        <v>0</v>
      </c>
      <c r="K410" t="n">
        <v>0</v>
      </c>
      <c r="L410" t="n">
        <v>0</v>
      </c>
      <c r="M410" t="n">
        <v>0</v>
      </c>
      <c r="N410" t="n">
        <v>0</v>
      </c>
      <c r="O410" t="n">
        <v>0</v>
      </c>
      <c r="P410" t="n">
        <v>0</v>
      </c>
      <c r="Q410" t="n">
        <v>0</v>
      </c>
      <c r="R410" s="2" t="inlineStr"/>
    </row>
    <row r="411" ht="15" customHeight="1">
      <c r="A411" t="inlineStr">
        <is>
          <t>A 20482-2023</t>
        </is>
      </c>
      <c r="B411" s="1" t="n">
        <v>45057</v>
      </c>
      <c r="C411" s="1" t="n">
        <v>45829</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20765-2023</t>
        </is>
      </c>
      <c r="B412" s="1" t="n">
        <v>45058</v>
      </c>
      <c r="C412" s="1" t="n">
        <v>45829</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21290-2023</t>
        </is>
      </c>
      <c r="B413" s="1" t="n">
        <v>45062</v>
      </c>
      <c r="C413" s="1" t="n">
        <v>45829</v>
      </c>
      <c r="D413" t="inlineStr">
        <is>
          <t>VÄSTRA GÖTALANDS LÄN</t>
        </is>
      </c>
      <c r="E413" t="inlineStr">
        <is>
          <t>DALS-ED</t>
        </is>
      </c>
      <c r="G413" t="n">
        <v>0.7</v>
      </c>
      <c r="H413" t="n">
        <v>0</v>
      </c>
      <c r="I413" t="n">
        <v>0</v>
      </c>
      <c r="J413" t="n">
        <v>0</v>
      </c>
      <c r="K413" t="n">
        <v>0</v>
      </c>
      <c r="L413" t="n">
        <v>0</v>
      </c>
      <c r="M413" t="n">
        <v>0</v>
      </c>
      <c r="N413" t="n">
        <v>0</v>
      </c>
      <c r="O413" t="n">
        <v>0</v>
      </c>
      <c r="P413" t="n">
        <v>0</v>
      </c>
      <c r="Q413" t="n">
        <v>0</v>
      </c>
      <c r="R413" s="2" t="inlineStr"/>
    </row>
    <row r="414" ht="15" customHeight="1">
      <c r="A414" t="inlineStr">
        <is>
          <t>A 21865-2023</t>
        </is>
      </c>
      <c r="B414" s="1" t="n">
        <v>45068</v>
      </c>
      <c r="C414" s="1" t="n">
        <v>45829</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21866-2023</t>
        </is>
      </c>
      <c r="B415" s="1" t="n">
        <v>45068</v>
      </c>
      <c r="C415" s="1" t="n">
        <v>45829</v>
      </c>
      <c r="D415" t="inlineStr">
        <is>
          <t>VÄSTRA GÖTALANDS LÄN</t>
        </is>
      </c>
      <c r="E415" t="inlineStr">
        <is>
          <t>DALS-ED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22402-2023</t>
        </is>
      </c>
      <c r="B416" s="1" t="n">
        <v>45069</v>
      </c>
      <c r="C416" s="1" t="n">
        <v>45829</v>
      </c>
      <c r="D416" t="inlineStr">
        <is>
          <t>VÄSTRA GÖTALANDS LÄN</t>
        </is>
      </c>
      <c r="E416" t="inlineStr">
        <is>
          <t>DALS-ED</t>
        </is>
      </c>
      <c r="G416" t="n">
        <v>4.2</v>
      </c>
      <c r="H416" t="n">
        <v>0</v>
      </c>
      <c r="I416" t="n">
        <v>0</v>
      </c>
      <c r="J416" t="n">
        <v>0</v>
      </c>
      <c r="K416" t="n">
        <v>0</v>
      </c>
      <c r="L416" t="n">
        <v>0</v>
      </c>
      <c r="M416" t="n">
        <v>0</v>
      </c>
      <c r="N416" t="n">
        <v>0</v>
      </c>
      <c r="O416" t="n">
        <v>0</v>
      </c>
      <c r="P416" t="n">
        <v>0</v>
      </c>
      <c r="Q416" t="n">
        <v>0</v>
      </c>
      <c r="R416" s="2" t="inlineStr"/>
    </row>
    <row r="417" ht="15" customHeight="1">
      <c r="A417" t="inlineStr">
        <is>
          <t>A 23132-2023</t>
        </is>
      </c>
      <c r="B417" s="1" t="n">
        <v>45070</v>
      </c>
      <c r="C417" s="1" t="n">
        <v>45829</v>
      </c>
      <c r="D417" t="inlineStr">
        <is>
          <t>VÄSTRA GÖTALANDS LÄN</t>
        </is>
      </c>
      <c r="E417" t="inlineStr">
        <is>
          <t>DALS-ED</t>
        </is>
      </c>
      <c r="G417" t="n">
        <v>7</v>
      </c>
      <c r="H417" t="n">
        <v>0</v>
      </c>
      <c r="I417" t="n">
        <v>0</v>
      </c>
      <c r="J417" t="n">
        <v>0</v>
      </c>
      <c r="K417" t="n">
        <v>0</v>
      </c>
      <c r="L417" t="n">
        <v>0</v>
      </c>
      <c r="M417" t="n">
        <v>0</v>
      </c>
      <c r="N417" t="n">
        <v>0</v>
      </c>
      <c r="O417" t="n">
        <v>0</v>
      </c>
      <c r="P417" t="n">
        <v>0</v>
      </c>
      <c r="Q417" t="n">
        <v>0</v>
      </c>
      <c r="R417" s="2" t="inlineStr"/>
    </row>
    <row r="418" ht="15" customHeight="1">
      <c r="A418" t="inlineStr">
        <is>
          <t>A 23115-2023</t>
        </is>
      </c>
      <c r="B418" s="1" t="n">
        <v>45070</v>
      </c>
      <c r="C418" s="1" t="n">
        <v>45829</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23862-2023</t>
        </is>
      </c>
      <c r="B419" s="1" t="n">
        <v>45075</v>
      </c>
      <c r="C419" s="1" t="n">
        <v>45829</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23859-2023</t>
        </is>
      </c>
      <c r="B420" s="1" t="n">
        <v>45075</v>
      </c>
      <c r="C420" s="1" t="n">
        <v>45829</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24021-2023</t>
        </is>
      </c>
      <c r="B421" s="1" t="n">
        <v>45078</v>
      </c>
      <c r="C421" s="1" t="n">
        <v>45829</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25284-2023</t>
        </is>
      </c>
      <c r="B422" s="1" t="n">
        <v>45079</v>
      </c>
      <c r="C422" s="1" t="n">
        <v>45829</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25007-2023</t>
        </is>
      </c>
      <c r="B423" s="1" t="n">
        <v>45085</v>
      </c>
      <c r="C423" s="1" t="n">
        <v>45829</v>
      </c>
      <c r="D423" t="inlineStr">
        <is>
          <t>VÄSTRA GÖTALANDS LÄN</t>
        </is>
      </c>
      <c r="E423" t="inlineStr">
        <is>
          <t>DALS-ED</t>
        </is>
      </c>
      <c r="G423" t="n">
        <v>4.3</v>
      </c>
      <c r="H423" t="n">
        <v>0</v>
      </c>
      <c r="I423" t="n">
        <v>0</v>
      </c>
      <c r="J423" t="n">
        <v>0</v>
      </c>
      <c r="K423" t="n">
        <v>0</v>
      </c>
      <c r="L423" t="n">
        <v>0</v>
      </c>
      <c r="M423" t="n">
        <v>0</v>
      </c>
      <c r="N423" t="n">
        <v>0</v>
      </c>
      <c r="O423" t="n">
        <v>0</v>
      </c>
      <c r="P423" t="n">
        <v>0</v>
      </c>
      <c r="Q423" t="n">
        <v>0</v>
      </c>
      <c r="R423" s="2" t="inlineStr"/>
    </row>
    <row r="424" ht="15" customHeight="1">
      <c r="A424" t="inlineStr">
        <is>
          <t>A 25460-2023</t>
        </is>
      </c>
      <c r="B424" s="1" t="n">
        <v>45089</v>
      </c>
      <c r="C424" s="1" t="n">
        <v>45829</v>
      </c>
      <c r="D424" t="inlineStr">
        <is>
          <t>VÄSTRA GÖTALANDS LÄN</t>
        </is>
      </c>
      <c r="E424" t="inlineStr">
        <is>
          <t>DALS-ED</t>
        </is>
      </c>
      <c r="G424" t="n">
        <v>3.4</v>
      </c>
      <c r="H424" t="n">
        <v>0</v>
      </c>
      <c r="I424" t="n">
        <v>0</v>
      </c>
      <c r="J424" t="n">
        <v>0</v>
      </c>
      <c r="K424" t="n">
        <v>0</v>
      </c>
      <c r="L424" t="n">
        <v>0</v>
      </c>
      <c r="M424" t="n">
        <v>0</v>
      </c>
      <c r="N424" t="n">
        <v>0</v>
      </c>
      <c r="O424" t="n">
        <v>0</v>
      </c>
      <c r="P424" t="n">
        <v>0</v>
      </c>
      <c r="Q424" t="n">
        <v>0</v>
      </c>
      <c r="R424" s="2" t="inlineStr"/>
    </row>
    <row r="425" ht="15" customHeight="1">
      <c r="A425" t="inlineStr">
        <is>
          <t>A 25448-2023</t>
        </is>
      </c>
      <c r="B425" s="1" t="n">
        <v>45089</v>
      </c>
      <c r="C425" s="1" t="n">
        <v>45829</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26534-2023</t>
        </is>
      </c>
      <c r="B426" s="1" t="n">
        <v>45092</v>
      </c>
      <c r="C426" s="1" t="n">
        <v>45829</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26740-2023</t>
        </is>
      </c>
      <c r="B427" s="1" t="n">
        <v>45093</v>
      </c>
      <c r="C427" s="1" t="n">
        <v>45829</v>
      </c>
      <c r="D427" t="inlineStr">
        <is>
          <t>VÄSTRA GÖTALANDS LÄN</t>
        </is>
      </c>
      <c r="E427" t="inlineStr">
        <is>
          <t>DALS-ED</t>
        </is>
      </c>
      <c r="G427" t="n">
        <v>4.5</v>
      </c>
      <c r="H427" t="n">
        <v>0</v>
      </c>
      <c r="I427" t="n">
        <v>0</v>
      </c>
      <c r="J427" t="n">
        <v>0</v>
      </c>
      <c r="K427" t="n">
        <v>0</v>
      </c>
      <c r="L427" t="n">
        <v>0</v>
      </c>
      <c r="M427" t="n">
        <v>0</v>
      </c>
      <c r="N427" t="n">
        <v>0</v>
      </c>
      <c r="O427" t="n">
        <v>0</v>
      </c>
      <c r="P427" t="n">
        <v>0</v>
      </c>
      <c r="Q427" t="n">
        <v>0</v>
      </c>
      <c r="R427" s="2" t="inlineStr"/>
    </row>
    <row r="428" ht="15" customHeight="1">
      <c r="A428" t="inlineStr">
        <is>
          <t>A 27717-2023</t>
        </is>
      </c>
      <c r="B428" s="1" t="n">
        <v>45098</v>
      </c>
      <c r="C428" s="1" t="n">
        <v>45829</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45829</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28447-2023</t>
        </is>
      </c>
      <c r="B430" s="1" t="n">
        <v>45103</v>
      </c>
      <c r="C430" s="1" t="n">
        <v>45829</v>
      </c>
      <c r="D430" t="inlineStr">
        <is>
          <t>VÄSTRA GÖTALANDS LÄN</t>
        </is>
      </c>
      <c r="E430" t="inlineStr">
        <is>
          <t>DALS-ED</t>
        </is>
      </c>
      <c r="G430" t="n">
        <v>7.6</v>
      </c>
      <c r="H430" t="n">
        <v>0</v>
      </c>
      <c r="I430" t="n">
        <v>0</v>
      </c>
      <c r="J430" t="n">
        <v>0</v>
      </c>
      <c r="K430" t="n">
        <v>0</v>
      </c>
      <c r="L430" t="n">
        <v>0</v>
      </c>
      <c r="M430" t="n">
        <v>0</v>
      </c>
      <c r="N430" t="n">
        <v>0</v>
      </c>
      <c r="O430" t="n">
        <v>0</v>
      </c>
      <c r="P430" t="n">
        <v>0</v>
      </c>
      <c r="Q430" t="n">
        <v>0</v>
      </c>
      <c r="R430" s="2" t="inlineStr"/>
    </row>
    <row r="431" ht="15" customHeight="1">
      <c r="A431" t="inlineStr">
        <is>
          <t>A 28705-2023</t>
        </is>
      </c>
      <c r="B431" s="1" t="n">
        <v>45103</v>
      </c>
      <c r="C431" s="1" t="n">
        <v>45829</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28708-2023</t>
        </is>
      </c>
      <c r="B432" s="1" t="n">
        <v>45103</v>
      </c>
      <c r="C432" s="1" t="n">
        <v>45829</v>
      </c>
      <c r="D432" t="inlineStr">
        <is>
          <t>VÄSTRA GÖTALANDS LÄN</t>
        </is>
      </c>
      <c r="E432" t="inlineStr">
        <is>
          <t>DALS-ED</t>
        </is>
      </c>
      <c r="G432" t="n">
        <v>1.3</v>
      </c>
      <c r="H432" t="n">
        <v>0</v>
      </c>
      <c r="I432" t="n">
        <v>0</v>
      </c>
      <c r="J432" t="n">
        <v>0</v>
      </c>
      <c r="K432" t="n">
        <v>0</v>
      </c>
      <c r="L432" t="n">
        <v>0</v>
      </c>
      <c r="M432" t="n">
        <v>0</v>
      </c>
      <c r="N432" t="n">
        <v>0</v>
      </c>
      <c r="O432" t="n">
        <v>0</v>
      </c>
      <c r="P432" t="n">
        <v>0</v>
      </c>
      <c r="Q432" t="n">
        <v>0</v>
      </c>
      <c r="R432" s="2" t="inlineStr"/>
    </row>
    <row r="433" ht="15" customHeight="1">
      <c r="A433" t="inlineStr">
        <is>
          <t>A 28702-2023</t>
        </is>
      </c>
      <c r="B433" s="1" t="n">
        <v>45103</v>
      </c>
      <c r="C433" s="1" t="n">
        <v>45829</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29047-2023</t>
        </is>
      </c>
      <c r="B434" s="1" t="n">
        <v>45104</v>
      </c>
      <c r="C434" s="1" t="n">
        <v>45829</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30807-2023</t>
        </is>
      </c>
      <c r="B435" s="1" t="n">
        <v>45106</v>
      </c>
      <c r="C435" s="1" t="n">
        <v>45829</v>
      </c>
      <c r="D435" t="inlineStr">
        <is>
          <t>VÄSTRA GÖTALANDS LÄN</t>
        </is>
      </c>
      <c r="E435" t="inlineStr">
        <is>
          <t>DALS-ED</t>
        </is>
      </c>
      <c r="G435" t="n">
        <v>5.3</v>
      </c>
      <c r="H435" t="n">
        <v>0</v>
      </c>
      <c r="I435" t="n">
        <v>0</v>
      </c>
      <c r="J435" t="n">
        <v>0</v>
      </c>
      <c r="K435" t="n">
        <v>0</v>
      </c>
      <c r="L435" t="n">
        <v>0</v>
      </c>
      <c r="M435" t="n">
        <v>0</v>
      </c>
      <c r="N435" t="n">
        <v>0</v>
      </c>
      <c r="O435" t="n">
        <v>0</v>
      </c>
      <c r="P435" t="n">
        <v>0</v>
      </c>
      <c r="Q435" t="n">
        <v>0</v>
      </c>
      <c r="R435" s="2" t="inlineStr"/>
    </row>
    <row r="436" ht="15" customHeight="1">
      <c r="A436" t="inlineStr">
        <is>
          <t>A 32683-2023</t>
        </is>
      </c>
      <c r="B436" s="1" t="n">
        <v>45112</v>
      </c>
      <c r="C436" s="1" t="n">
        <v>45829</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31909-2023</t>
        </is>
      </c>
      <c r="B437" s="1" t="n">
        <v>45118</v>
      </c>
      <c r="C437" s="1" t="n">
        <v>45829</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33504-2023</t>
        </is>
      </c>
      <c r="B438" s="1" t="n">
        <v>45118</v>
      </c>
      <c r="C438" s="1" t="n">
        <v>45829</v>
      </c>
      <c r="D438" t="inlineStr">
        <is>
          <t>VÄSTRA GÖTALANDS LÄN</t>
        </is>
      </c>
      <c r="E438" t="inlineStr">
        <is>
          <t>DALS-ED</t>
        </is>
      </c>
      <c r="G438" t="n">
        <v>7.9</v>
      </c>
      <c r="H438" t="n">
        <v>0</v>
      </c>
      <c r="I438" t="n">
        <v>0</v>
      </c>
      <c r="J438" t="n">
        <v>0</v>
      </c>
      <c r="K438" t="n">
        <v>0</v>
      </c>
      <c r="L438" t="n">
        <v>0</v>
      </c>
      <c r="M438" t="n">
        <v>0</v>
      </c>
      <c r="N438" t="n">
        <v>0</v>
      </c>
      <c r="O438" t="n">
        <v>0</v>
      </c>
      <c r="P438" t="n">
        <v>0</v>
      </c>
      <c r="Q438" t="n">
        <v>0</v>
      </c>
      <c r="R438" s="2" t="inlineStr"/>
    </row>
    <row r="439" ht="15" customHeight="1">
      <c r="A439" t="inlineStr">
        <is>
          <t>A 32082-2023</t>
        </is>
      </c>
      <c r="B439" s="1" t="n">
        <v>45119</v>
      </c>
      <c r="C439" s="1" t="n">
        <v>45829</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32080-2023</t>
        </is>
      </c>
      <c r="B440" s="1" t="n">
        <v>45119</v>
      </c>
      <c r="C440" s="1" t="n">
        <v>45829</v>
      </c>
      <c r="D440" t="inlineStr">
        <is>
          <t>VÄSTRA GÖTALANDS LÄN</t>
        </is>
      </c>
      <c r="E440" t="inlineStr">
        <is>
          <t>DALS-ED</t>
        </is>
      </c>
      <c r="G440" t="n">
        <v>2.8</v>
      </c>
      <c r="H440" t="n">
        <v>0</v>
      </c>
      <c r="I440" t="n">
        <v>0</v>
      </c>
      <c r="J440" t="n">
        <v>0</v>
      </c>
      <c r="K440" t="n">
        <v>0</v>
      </c>
      <c r="L440" t="n">
        <v>0</v>
      </c>
      <c r="M440" t="n">
        <v>0</v>
      </c>
      <c r="N440" t="n">
        <v>0</v>
      </c>
      <c r="O440" t="n">
        <v>0</v>
      </c>
      <c r="P440" t="n">
        <v>0</v>
      </c>
      <c r="Q440" t="n">
        <v>0</v>
      </c>
      <c r="R440" s="2" t="inlineStr"/>
    </row>
    <row r="441" ht="15" customHeight="1">
      <c r="A441" t="inlineStr">
        <is>
          <t>A 32059-2023</t>
        </is>
      </c>
      <c r="B441" s="1" t="n">
        <v>45119</v>
      </c>
      <c r="C441" s="1" t="n">
        <v>45829</v>
      </c>
      <c r="D441" t="inlineStr">
        <is>
          <t>VÄSTRA GÖTALANDS LÄN</t>
        </is>
      </c>
      <c r="E441" t="inlineStr">
        <is>
          <t>DALS-ED</t>
        </is>
      </c>
      <c r="G441" t="n">
        <v>7.2</v>
      </c>
      <c r="H441" t="n">
        <v>0</v>
      </c>
      <c r="I441" t="n">
        <v>0</v>
      </c>
      <c r="J441" t="n">
        <v>0</v>
      </c>
      <c r="K441" t="n">
        <v>0</v>
      </c>
      <c r="L441" t="n">
        <v>0</v>
      </c>
      <c r="M441" t="n">
        <v>0</v>
      </c>
      <c r="N441" t="n">
        <v>0</v>
      </c>
      <c r="O441" t="n">
        <v>0</v>
      </c>
      <c r="P441" t="n">
        <v>0</v>
      </c>
      <c r="Q441" t="n">
        <v>0</v>
      </c>
      <c r="R441" s="2" t="inlineStr"/>
    </row>
    <row r="442" ht="15" customHeight="1">
      <c r="A442" t="inlineStr">
        <is>
          <t>A 32672-2023</t>
        </is>
      </c>
      <c r="B442" s="1" t="n">
        <v>45121</v>
      </c>
      <c r="C442" s="1" t="n">
        <v>45829</v>
      </c>
      <c r="D442" t="inlineStr">
        <is>
          <t>VÄSTRA GÖTALANDS LÄN</t>
        </is>
      </c>
      <c r="E442" t="inlineStr">
        <is>
          <t>DALS-ED</t>
        </is>
      </c>
      <c r="G442" t="n">
        <v>1.2</v>
      </c>
      <c r="H442" t="n">
        <v>0</v>
      </c>
      <c r="I442" t="n">
        <v>0</v>
      </c>
      <c r="J442" t="n">
        <v>0</v>
      </c>
      <c r="K442" t="n">
        <v>0</v>
      </c>
      <c r="L442" t="n">
        <v>0</v>
      </c>
      <c r="M442" t="n">
        <v>0</v>
      </c>
      <c r="N442" t="n">
        <v>0</v>
      </c>
      <c r="O442" t="n">
        <v>0</v>
      </c>
      <c r="P442" t="n">
        <v>0</v>
      </c>
      <c r="Q442" t="n">
        <v>0</v>
      </c>
      <c r="R442" s="2" t="inlineStr"/>
    </row>
    <row r="443" ht="15" customHeight="1">
      <c r="A443" t="inlineStr">
        <is>
          <t>A 32797-2023</t>
        </is>
      </c>
      <c r="B443" s="1" t="n">
        <v>45124</v>
      </c>
      <c r="C443" s="1" t="n">
        <v>45829</v>
      </c>
      <c r="D443" t="inlineStr">
        <is>
          <t>VÄSTRA GÖTALANDS LÄN</t>
        </is>
      </c>
      <c r="E443" t="inlineStr">
        <is>
          <t>DALS-ED</t>
        </is>
      </c>
      <c r="G443" t="n">
        <v>2.7</v>
      </c>
      <c r="H443" t="n">
        <v>0</v>
      </c>
      <c r="I443" t="n">
        <v>0</v>
      </c>
      <c r="J443" t="n">
        <v>0</v>
      </c>
      <c r="K443" t="n">
        <v>0</v>
      </c>
      <c r="L443" t="n">
        <v>0</v>
      </c>
      <c r="M443" t="n">
        <v>0</v>
      </c>
      <c r="N443" t="n">
        <v>0</v>
      </c>
      <c r="O443" t="n">
        <v>0</v>
      </c>
      <c r="P443" t="n">
        <v>0</v>
      </c>
      <c r="Q443" t="n">
        <v>0</v>
      </c>
      <c r="R443" s="2" t="inlineStr"/>
    </row>
    <row r="444" ht="15" customHeight="1">
      <c r="A444" t="inlineStr">
        <is>
          <t>A 33103-2023</t>
        </is>
      </c>
      <c r="B444" s="1" t="n">
        <v>45126</v>
      </c>
      <c r="C444" s="1" t="n">
        <v>45829</v>
      </c>
      <c r="D444" t="inlineStr">
        <is>
          <t>VÄSTRA GÖTALANDS LÄN</t>
        </is>
      </c>
      <c r="E444" t="inlineStr">
        <is>
          <t>DALS-ED</t>
        </is>
      </c>
      <c r="G444" t="n">
        <v>1.8</v>
      </c>
      <c r="H444" t="n">
        <v>0</v>
      </c>
      <c r="I444" t="n">
        <v>0</v>
      </c>
      <c r="J444" t="n">
        <v>0</v>
      </c>
      <c r="K444" t="n">
        <v>0</v>
      </c>
      <c r="L444" t="n">
        <v>0</v>
      </c>
      <c r="M444" t="n">
        <v>0</v>
      </c>
      <c r="N444" t="n">
        <v>0</v>
      </c>
      <c r="O444" t="n">
        <v>0</v>
      </c>
      <c r="P444" t="n">
        <v>0</v>
      </c>
      <c r="Q444" t="n">
        <v>0</v>
      </c>
      <c r="R444" s="2" t="inlineStr"/>
    </row>
    <row r="445" ht="15" customHeight="1">
      <c r="A445" t="inlineStr">
        <is>
          <t>A 33616-2023</t>
        </is>
      </c>
      <c r="B445" s="1" t="n">
        <v>45132</v>
      </c>
      <c r="C445" s="1" t="n">
        <v>45829</v>
      </c>
      <c r="D445" t="inlineStr">
        <is>
          <t>VÄSTRA GÖTALANDS LÄN</t>
        </is>
      </c>
      <c r="E445" t="inlineStr">
        <is>
          <t>DALS-ED</t>
        </is>
      </c>
      <c r="G445" t="n">
        <v>26.5</v>
      </c>
      <c r="H445" t="n">
        <v>0</v>
      </c>
      <c r="I445" t="n">
        <v>0</v>
      </c>
      <c r="J445" t="n">
        <v>0</v>
      </c>
      <c r="K445" t="n">
        <v>0</v>
      </c>
      <c r="L445" t="n">
        <v>0</v>
      </c>
      <c r="M445" t="n">
        <v>0</v>
      </c>
      <c r="N445" t="n">
        <v>0</v>
      </c>
      <c r="O445" t="n">
        <v>0</v>
      </c>
      <c r="P445" t="n">
        <v>0</v>
      </c>
      <c r="Q445" t="n">
        <v>0</v>
      </c>
      <c r="R445" s="2" t="inlineStr"/>
    </row>
    <row r="446" ht="15" customHeight="1">
      <c r="A446" t="inlineStr">
        <is>
          <t>A 33773-2023</t>
        </is>
      </c>
      <c r="B446" s="1" t="n">
        <v>45133</v>
      </c>
      <c r="C446" s="1" t="n">
        <v>45829</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33798-2023</t>
        </is>
      </c>
      <c r="B447" s="1" t="n">
        <v>45133</v>
      </c>
      <c r="C447" s="1" t="n">
        <v>45829</v>
      </c>
      <c r="D447" t="inlineStr">
        <is>
          <t>VÄSTRA GÖTALANDS LÄN</t>
        </is>
      </c>
      <c r="E447" t="inlineStr">
        <is>
          <t>DALS-ED</t>
        </is>
      </c>
      <c r="G447" t="n">
        <v>2.6</v>
      </c>
      <c r="H447" t="n">
        <v>0</v>
      </c>
      <c r="I447" t="n">
        <v>0</v>
      </c>
      <c r="J447" t="n">
        <v>0</v>
      </c>
      <c r="K447" t="n">
        <v>0</v>
      </c>
      <c r="L447" t="n">
        <v>0</v>
      </c>
      <c r="M447" t="n">
        <v>0</v>
      </c>
      <c r="N447" t="n">
        <v>0</v>
      </c>
      <c r="O447" t="n">
        <v>0</v>
      </c>
      <c r="P447" t="n">
        <v>0</v>
      </c>
      <c r="Q447" t="n">
        <v>0</v>
      </c>
      <c r="R447" s="2" t="inlineStr"/>
    </row>
    <row r="448" ht="15" customHeight="1">
      <c r="A448" t="inlineStr">
        <is>
          <t>A 33805-2023</t>
        </is>
      </c>
      <c r="B448" s="1" t="n">
        <v>45133</v>
      </c>
      <c r="C448" s="1" t="n">
        <v>45829</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34467-2023</t>
        </is>
      </c>
      <c r="B449" s="1" t="n">
        <v>45139</v>
      </c>
      <c r="C449" s="1" t="n">
        <v>45829</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35697-2023</t>
        </is>
      </c>
      <c r="B450" s="1" t="n">
        <v>45147</v>
      </c>
      <c r="C450" s="1" t="n">
        <v>45829</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36232-2023</t>
        </is>
      </c>
      <c r="B451" s="1" t="n">
        <v>45150</v>
      </c>
      <c r="C451" s="1" t="n">
        <v>45829</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v>
      </c>
      <c r="C452" s="1" t="n">
        <v>45829</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36464-2023</t>
        </is>
      </c>
      <c r="B453" s="1" t="n">
        <v>45151</v>
      </c>
      <c r="C453" s="1" t="n">
        <v>45829</v>
      </c>
      <c r="D453" t="inlineStr">
        <is>
          <t>VÄSTRA GÖTALANDS LÄN</t>
        </is>
      </c>
      <c r="E453" t="inlineStr">
        <is>
          <t>DALS-ED</t>
        </is>
      </c>
      <c r="G453" t="n">
        <v>6.2</v>
      </c>
      <c r="H453" t="n">
        <v>0</v>
      </c>
      <c r="I453" t="n">
        <v>0</v>
      </c>
      <c r="J453" t="n">
        <v>0</v>
      </c>
      <c r="K453" t="n">
        <v>0</v>
      </c>
      <c r="L453" t="n">
        <v>0</v>
      </c>
      <c r="M453" t="n">
        <v>0</v>
      </c>
      <c r="N453" t="n">
        <v>0</v>
      </c>
      <c r="O453" t="n">
        <v>0</v>
      </c>
      <c r="P453" t="n">
        <v>0</v>
      </c>
      <c r="Q453" t="n">
        <v>0</v>
      </c>
      <c r="R453" s="2" t="inlineStr"/>
    </row>
    <row r="454" ht="15" customHeight="1">
      <c r="A454" t="inlineStr">
        <is>
          <t>A 36456-2023</t>
        </is>
      </c>
      <c r="B454" s="1" t="n">
        <v>45151</v>
      </c>
      <c r="C454" s="1" t="n">
        <v>45829</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36436-2023</t>
        </is>
      </c>
      <c r="B455" s="1" t="n">
        <v>45151</v>
      </c>
      <c r="C455" s="1" t="n">
        <v>45829</v>
      </c>
      <c r="D455" t="inlineStr">
        <is>
          <t>VÄSTRA GÖTALANDS LÄN</t>
        </is>
      </c>
      <c r="E455" t="inlineStr">
        <is>
          <t>DALS-ED</t>
        </is>
      </c>
      <c r="G455" t="n">
        <v>27.1</v>
      </c>
      <c r="H455" t="n">
        <v>0</v>
      </c>
      <c r="I455" t="n">
        <v>0</v>
      </c>
      <c r="J455" t="n">
        <v>0</v>
      </c>
      <c r="K455" t="n">
        <v>0</v>
      </c>
      <c r="L455" t="n">
        <v>0</v>
      </c>
      <c r="M455" t="n">
        <v>0</v>
      </c>
      <c r="N455" t="n">
        <v>0</v>
      </c>
      <c r="O455" t="n">
        <v>0</v>
      </c>
      <c r="P455" t="n">
        <v>0</v>
      </c>
      <c r="Q455" t="n">
        <v>0</v>
      </c>
      <c r="R455" s="2" t="inlineStr"/>
      <c r="U455">
        <f>HYPERLINK("https://klasma.github.io/Logging_1438/knärot/A 36436-2023 karta knärot.png", "A 36436-2023")</f>
        <v/>
      </c>
      <c r="V455">
        <f>HYPERLINK("https://klasma.github.io/Logging_1438/klagomål/A 36436-2023 FSC-klagomål.docx", "A 36436-2023")</f>
        <v/>
      </c>
      <c r="W455">
        <f>HYPERLINK("https://klasma.github.io/Logging_1438/klagomålsmail/A 36436-2023 FSC-klagomål mail.docx", "A 36436-2023")</f>
        <v/>
      </c>
      <c r="X455">
        <f>HYPERLINK("https://klasma.github.io/Logging_1438/tillsyn/A 36436-2023 tillsynsbegäran.docx", "A 36436-2023")</f>
        <v/>
      </c>
      <c r="Y455">
        <f>HYPERLINK("https://klasma.github.io/Logging_1438/tillsynsmail/A 36436-2023 tillsynsbegäran mail.docx", "A 36436-2023")</f>
        <v/>
      </c>
    </row>
    <row r="456" ht="15" customHeight="1">
      <c r="A456" t="inlineStr">
        <is>
          <t>A 36342-2023</t>
        </is>
      </c>
      <c r="B456" s="1" t="n">
        <v>45152</v>
      </c>
      <c r="C456" s="1" t="n">
        <v>45829</v>
      </c>
      <c r="D456" t="inlineStr">
        <is>
          <t>VÄSTRA GÖTALANDS LÄN</t>
        </is>
      </c>
      <c r="E456" t="inlineStr">
        <is>
          <t>DALS-ED</t>
        </is>
      </c>
      <c r="G456" t="n">
        <v>5.2</v>
      </c>
      <c r="H456" t="n">
        <v>0</v>
      </c>
      <c r="I456" t="n">
        <v>0</v>
      </c>
      <c r="J456" t="n">
        <v>0</v>
      </c>
      <c r="K456" t="n">
        <v>0</v>
      </c>
      <c r="L456" t="n">
        <v>0</v>
      </c>
      <c r="M456" t="n">
        <v>0</v>
      </c>
      <c r="N456" t="n">
        <v>0</v>
      </c>
      <c r="O456" t="n">
        <v>0</v>
      </c>
      <c r="P456" t="n">
        <v>0</v>
      </c>
      <c r="Q456" t="n">
        <v>0</v>
      </c>
      <c r="R456" s="2" t="inlineStr"/>
    </row>
    <row r="457" ht="15" customHeight="1">
      <c r="A457" t="inlineStr">
        <is>
          <t>A 36877-2023</t>
        </is>
      </c>
      <c r="B457" s="1" t="n">
        <v>45154</v>
      </c>
      <c r="C457" s="1" t="n">
        <v>45829</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37374-2023</t>
        </is>
      </c>
      <c r="B458" s="1" t="n">
        <v>45155</v>
      </c>
      <c r="C458" s="1" t="n">
        <v>45829</v>
      </c>
      <c r="D458" t="inlineStr">
        <is>
          <t>VÄSTRA GÖTALANDS LÄN</t>
        </is>
      </c>
      <c r="E458" t="inlineStr">
        <is>
          <t>DALS-ED</t>
        </is>
      </c>
      <c r="F458" t="inlineStr">
        <is>
          <t>Kyrkan</t>
        </is>
      </c>
      <c r="G458" t="n">
        <v>4.9</v>
      </c>
      <c r="H458" t="n">
        <v>0</v>
      </c>
      <c r="I458" t="n">
        <v>0</v>
      </c>
      <c r="J458" t="n">
        <v>0</v>
      </c>
      <c r="K458" t="n">
        <v>0</v>
      </c>
      <c r="L458" t="n">
        <v>0</v>
      </c>
      <c r="M458" t="n">
        <v>0</v>
      </c>
      <c r="N458" t="n">
        <v>0</v>
      </c>
      <c r="O458" t="n">
        <v>0</v>
      </c>
      <c r="P458" t="n">
        <v>0</v>
      </c>
      <c r="Q458" t="n">
        <v>0</v>
      </c>
      <c r="R458" s="2" t="inlineStr"/>
    </row>
    <row r="459" ht="15" customHeight="1">
      <c r="A459" t="inlineStr">
        <is>
          <t>A 38347-2023</t>
        </is>
      </c>
      <c r="B459" s="1" t="n">
        <v>45161</v>
      </c>
      <c r="C459" s="1" t="n">
        <v>45829</v>
      </c>
      <c r="D459" t="inlineStr">
        <is>
          <t>VÄSTRA GÖTALANDS LÄN</t>
        </is>
      </c>
      <c r="E459" t="inlineStr">
        <is>
          <t>DALS-ED</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38383-2023</t>
        </is>
      </c>
      <c r="B460" s="1" t="n">
        <v>45162</v>
      </c>
      <c r="C460" s="1" t="n">
        <v>45829</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45829</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38548-2023</t>
        </is>
      </c>
      <c r="B462" s="1" t="n">
        <v>45162</v>
      </c>
      <c r="C462" s="1" t="n">
        <v>45829</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38527-2023</t>
        </is>
      </c>
      <c r="B463" s="1" t="n">
        <v>45162</v>
      </c>
      <c r="C463" s="1" t="n">
        <v>45829</v>
      </c>
      <c r="D463" t="inlineStr">
        <is>
          <t>VÄSTRA GÖTALANDS LÄN</t>
        </is>
      </c>
      <c r="E463" t="inlineStr">
        <is>
          <t>DALS-ED</t>
        </is>
      </c>
      <c r="G463" t="n">
        <v>3</v>
      </c>
      <c r="H463" t="n">
        <v>0</v>
      </c>
      <c r="I463" t="n">
        <v>0</v>
      </c>
      <c r="J463" t="n">
        <v>0</v>
      </c>
      <c r="K463" t="n">
        <v>0</v>
      </c>
      <c r="L463" t="n">
        <v>0</v>
      </c>
      <c r="M463" t="n">
        <v>0</v>
      </c>
      <c r="N463" t="n">
        <v>0</v>
      </c>
      <c r="O463" t="n">
        <v>0</v>
      </c>
      <c r="P463" t="n">
        <v>0</v>
      </c>
      <c r="Q463" t="n">
        <v>0</v>
      </c>
      <c r="R463" s="2" t="inlineStr"/>
    </row>
    <row r="464" ht="15" customHeight="1">
      <c r="A464" t="inlineStr">
        <is>
          <t>A 38578-2023</t>
        </is>
      </c>
      <c r="B464" s="1" t="n">
        <v>45162</v>
      </c>
      <c r="C464" s="1" t="n">
        <v>45829</v>
      </c>
      <c r="D464" t="inlineStr">
        <is>
          <t>VÄSTRA GÖTALANDS LÄN</t>
        </is>
      </c>
      <c r="E464" t="inlineStr">
        <is>
          <t>DALS-ED</t>
        </is>
      </c>
      <c r="G464" t="n">
        <v>1.5</v>
      </c>
      <c r="H464" t="n">
        <v>0</v>
      </c>
      <c r="I464" t="n">
        <v>0</v>
      </c>
      <c r="J464" t="n">
        <v>0</v>
      </c>
      <c r="K464" t="n">
        <v>0</v>
      </c>
      <c r="L464" t="n">
        <v>0</v>
      </c>
      <c r="M464" t="n">
        <v>0</v>
      </c>
      <c r="N464" t="n">
        <v>0</v>
      </c>
      <c r="O464" t="n">
        <v>0</v>
      </c>
      <c r="P464" t="n">
        <v>0</v>
      </c>
      <c r="Q464" t="n">
        <v>0</v>
      </c>
      <c r="R464" s="2" t="inlineStr"/>
    </row>
    <row r="465" ht="15" customHeight="1">
      <c r="A465" t="inlineStr">
        <is>
          <t>A 39279-2023</t>
        </is>
      </c>
      <c r="B465" s="1" t="n">
        <v>45166</v>
      </c>
      <c r="C465" s="1" t="n">
        <v>45829</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39443-2023</t>
        </is>
      </c>
      <c r="B466" s="1" t="n">
        <v>45166</v>
      </c>
      <c r="C466" s="1" t="n">
        <v>45829</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40961-2023</t>
        </is>
      </c>
      <c r="B467" s="1" t="n">
        <v>45173</v>
      </c>
      <c r="C467" s="1" t="n">
        <v>45829</v>
      </c>
      <c r="D467" t="inlineStr">
        <is>
          <t>VÄSTRA GÖTALANDS LÄN</t>
        </is>
      </c>
      <c r="E467" t="inlineStr">
        <is>
          <t>DALS-ED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40972-2023</t>
        </is>
      </c>
      <c r="B468" s="1" t="n">
        <v>45173</v>
      </c>
      <c r="C468" s="1" t="n">
        <v>45829</v>
      </c>
      <c r="D468" t="inlineStr">
        <is>
          <t>VÄSTRA GÖTALANDS LÄN</t>
        </is>
      </c>
      <c r="E468" t="inlineStr">
        <is>
          <t>DALS-ED</t>
        </is>
      </c>
      <c r="G468" t="n">
        <v>4.7</v>
      </c>
      <c r="H468" t="n">
        <v>0</v>
      </c>
      <c r="I468" t="n">
        <v>0</v>
      </c>
      <c r="J468" t="n">
        <v>0</v>
      </c>
      <c r="K468" t="n">
        <v>0</v>
      </c>
      <c r="L468" t="n">
        <v>0</v>
      </c>
      <c r="M468" t="n">
        <v>0</v>
      </c>
      <c r="N468" t="n">
        <v>0</v>
      </c>
      <c r="O468" t="n">
        <v>0</v>
      </c>
      <c r="P468" t="n">
        <v>0</v>
      </c>
      <c r="Q468" t="n">
        <v>0</v>
      </c>
      <c r="R468" s="2" t="inlineStr"/>
    </row>
    <row r="469" ht="15" customHeight="1">
      <c r="A469" t="inlineStr">
        <is>
          <t>A 41114-2023</t>
        </is>
      </c>
      <c r="B469" s="1" t="n">
        <v>45173</v>
      </c>
      <c r="C469" s="1" t="n">
        <v>45829</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42193-2023</t>
        </is>
      </c>
      <c r="B470" s="1" t="n">
        <v>45179</v>
      </c>
      <c r="C470" s="1" t="n">
        <v>45829</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42781-2023</t>
        </is>
      </c>
      <c r="B471" s="1" t="n">
        <v>45181</v>
      </c>
      <c r="C471" s="1" t="n">
        <v>45829</v>
      </c>
      <c r="D471" t="inlineStr">
        <is>
          <t>VÄSTRA GÖTALANDS LÄN</t>
        </is>
      </c>
      <c r="E471" t="inlineStr">
        <is>
          <t>DALS-ED</t>
        </is>
      </c>
      <c r="G471" t="n">
        <v>2.9</v>
      </c>
      <c r="H471" t="n">
        <v>0</v>
      </c>
      <c r="I471" t="n">
        <v>0</v>
      </c>
      <c r="J471" t="n">
        <v>0</v>
      </c>
      <c r="K471" t="n">
        <v>0</v>
      </c>
      <c r="L471" t="n">
        <v>0</v>
      </c>
      <c r="M471" t="n">
        <v>0</v>
      </c>
      <c r="N471" t="n">
        <v>0</v>
      </c>
      <c r="O471" t="n">
        <v>0</v>
      </c>
      <c r="P471" t="n">
        <v>0</v>
      </c>
      <c r="Q471" t="n">
        <v>0</v>
      </c>
      <c r="R471" s="2" t="inlineStr"/>
    </row>
    <row r="472" ht="15" customHeight="1">
      <c r="A472" t="inlineStr">
        <is>
          <t>A 42821-2023</t>
        </is>
      </c>
      <c r="B472" s="1" t="n">
        <v>45182</v>
      </c>
      <c r="C472" s="1" t="n">
        <v>45829</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42810-2023</t>
        </is>
      </c>
      <c r="B473" s="1" t="n">
        <v>45182</v>
      </c>
      <c r="C473" s="1" t="n">
        <v>45829</v>
      </c>
      <c r="D473" t="inlineStr">
        <is>
          <t>VÄSTRA GÖTALANDS LÄN</t>
        </is>
      </c>
      <c r="E473" t="inlineStr">
        <is>
          <t>DALS-ED</t>
        </is>
      </c>
      <c r="G473" t="n">
        <v>18.8</v>
      </c>
      <c r="H473" t="n">
        <v>0</v>
      </c>
      <c r="I473" t="n">
        <v>0</v>
      </c>
      <c r="J473" t="n">
        <v>0</v>
      </c>
      <c r="K473" t="n">
        <v>0</v>
      </c>
      <c r="L473" t="n">
        <v>0</v>
      </c>
      <c r="M473" t="n">
        <v>0</v>
      </c>
      <c r="N473" t="n">
        <v>0</v>
      </c>
      <c r="O473" t="n">
        <v>0</v>
      </c>
      <c r="P473" t="n">
        <v>0</v>
      </c>
      <c r="Q473" t="n">
        <v>0</v>
      </c>
      <c r="R473" s="2" t="inlineStr"/>
    </row>
    <row r="474" ht="15" customHeight="1">
      <c r="A474" t="inlineStr">
        <is>
          <t>A 42823-2023</t>
        </is>
      </c>
      <c r="B474" s="1" t="n">
        <v>45182</v>
      </c>
      <c r="C474" s="1" t="n">
        <v>45829</v>
      </c>
      <c r="D474" t="inlineStr">
        <is>
          <t>VÄSTRA GÖTALANDS LÄN</t>
        </is>
      </c>
      <c r="E474" t="inlineStr">
        <is>
          <t>DALS-ED</t>
        </is>
      </c>
      <c r="G474" t="n">
        <v>1.8</v>
      </c>
      <c r="H474" t="n">
        <v>0</v>
      </c>
      <c r="I474" t="n">
        <v>0</v>
      </c>
      <c r="J474" t="n">
        <v>0</v>
      </c>
      <c r="K474" t="n">
        <v>0</v>
      </c>
      <c r="L474" t="n">
        <v>0</v>
      </c>
      <c r="M474" t="n">
        <v>0</v>
      </c>
      <c r="N474" t="n">
        <v>0</v>
      </c>
      <c r="O474" t="n">
        <v>0</v>
      </c>
      <c r="P474" t="n">
        <v>0</v>
      </c>
      <c r="Q474" t="n">
        <v>0</v>
      </c>
      <c r="R474" s="2" t="inlineStr"/>
    </row>
    <row r="475" ht="15" customHeight="1">
      <c r="A475" t="inlineStr">
        <is>
          <t>A 43747-2023</t>
        </is>
      </c>
      <c r="B475" s="1" t="n">
        <v>45187</v>
      </c>
      <c r="C475" s="1" t="n">
        <v>45829</v>
      </c>
      <c r="D475" t="inlineStr">
        <is>
          <t>VÄSTRA GÖTALANDS LÄN</t>
        </is>
      </c>
      <c r="E475" t="inlineStr">
        <is>
          <t>DALS-ED</t>
        </is>
      </c>
      <c r="G475" t="n">
        <v>1.6</v>
      </c>
      <c r="H475" t="n">
        <v>0</v>
      </c>
      <c r="I475" t="n">
        <v>0</v>
      </c>
      <c r="J475" t="n">
        <v>0</v>
      </c>
      <c r="K475" t="n">
        <v>0</v>
      </c>
      <c r="L475" t="n">
        <v>0</v>
      </c>
      <c r="M475" t="n">
        <v>0</v>
      </c>
      <c r="N475" t="n">
        <v>0</v>
      </c>
      <c r="O475" t="n">
        <v>0</v>
      </c>
      <c r="P475" t="n">
        <v>0</v>
      </c>
      <c r="Q475" t="n">
        <v>0</v>
      </c>
      <c r="R475" s="2" t="inlineStr"/>
    </row>
    <row r="476" ht="15" customHeight="1">
      <c r="A476" t="inlineStr">
        <is>
          <t>A 43801-2023</t>
        </is>
      </c>
      <c r="B476" s="1" t="n">
        <v>45187</v>
      </c>
      <c r="C476" s="1" t="n">
        <v>45829</v>
      </c>
      <c r="D476" t="inlineStr">
        <is>
          <t>VÄSTRA GÖTALANDS LÄN</t>
        </is>
      </c>
      <c r="E476" t="inlineStr">
        <is>
          <t>DALS-ED</t>
        </is>
      </c>
      <c r="G476" t="n">
        <v>2.5</v>
      </c>
      <c r="H476" t="n">
        <v>0</v>
      </c>
      <c r="I476" t="n">
        <v>0</v>
      </c>
      <c r="J476" t="n">
        <v>0</v>
      </c>
      <c r="K476" t="n">
        <v>0</v>
      </c>
      <c r="L476" t="n">
        <v>0</v>
      </c>
      <c r="M476" t="n">
        <v>0</v>
      </c>
      <c r="N476" t="n">
        <v>0</v>
      </c>
      <c r="O476" t="n">
        <v>0</v>
      </c>
      <c r="P476" t="n">
        <v>0</v>
      </c>
      <c r="Q476" t="n">
        <v>0</v>
      </c>
      <c r="R476" s="2" t="inlineStr"/>
    </row>
    <row r="477" ht="15" customHeight="1">
      <c r="A477" t="inlineStr">
        <is>
          <t>A 44465-2023</t>
        </is>
      </c>
      <c r="B477" s="1" t="n">
        <v>45189</v>
      </c>
      <c r="C477" s="1" t="n">
        <v>45829</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45829</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44652-2023</t>
        </is>
      </c>
      <c r="B479" s="1" t="n">
        <v>45189</v>
      </c>
      <c r="C479" s="1" t="n">
        <v>45829</v>
      </c>
      <c r="D479" t="inlineStr">
        <is>
          <t>VÄSTRA GÖTALANDS LÄN</t>
        </is>
      </c>
      <c r="E479" t="inlineStr">
        <is>
          <t>DALS-ED</t>
        </is>
      </c>
      <c r="G479" t="n">
        <v>3.6</v>
      </c>
      <c r="H479" t="n">
        <v>0</v>
      </c>
      <c r="I479" t="n">
        <v>0</v>
      </c>
      <c r="J479" t="n">
        <v>0</v>
      </c>
      <c r="K479" t="n">
        <v>0</v>
      </c>
      <c r="L479" t="n">
        <v>0</v>
      </c>
      <c r="M479" t="n">
        <v>0</v>
      </c>
      <c r="N479" t="n">
        <v>0</v>
      </c>
      <c r="O479" t="n">
        <v>0</v>
      </c>
      <c r="P479" t="n">
        <v>0</v>
      </c>
      <c r="Q479" t="n">
        <v>0</v>
      </c>
      <c r="R479" s="2" t="inlineStr"/>
    </row>
    <row r="480" ht="15" customHeight="1">
      <c r="A480" t="inlineStr">
        <is>
          <t>A 45187-2023</t>
        </is>
      </c>
      <c r="B480" s="1" t="n">
        <v>45191</v>
      </c>
      <c r="C480" s="1" t="n">
        <v>45829</v>
      </c>
      <c r="D480" t="inlineStr">
        <is>
          <t>VÄSTRA GÖTALANDS LÄN</t>
        </is>
      </c>
      <c r="E480" t="inlineStr">
        <is>
          <t>DALS-ED</t>
        </is>
      </c>
      <c r="G480" t="n">
        <v>5.6</v>
      </c>
      <c r="H480" t="n">
        <v>0</v>
      </c>
      <c r="I480" t="n">
        <v>0</v>
      </c>
      <c r="J480" t="n">
        <v>0</v>
      </c>
      <c r="K480" t="n">
        <v>0</v>
      </c>
      <c r="L480" t="n">
        <v>0</v>
      </c>
      <c r="M480" t="n">
        <v>0</v>
      </c>
      <c r="N480" t="n">
        <v>0</v>
      </c>
      <c r="O480" t="n">
        <v>0</v>
      </c>
      <c r="P480" t="n">
        <v>0</v>
      </c>
      <c r="Q480" t="n">
        <v>0</v>
      </c>
      <c r="R480" s="2" t="inlineStr"/>
    </row>
    <row r="481" ht="15" customHeight="1">
      <c r="A481" t="inlineStr">
        <is>
          <t>A 46050-2023</t>
        </is>
      </c>
      <c r="B481" s="1" t="n">
        <v>45196</v>
      </c>
      <c r="C481" s="1" t="n">
        <v>45829</v>
      </c>
      <c r="D481" t="inlineStr">
        <is>
          <t>VÄSTRA GÖTALANDS LÄN</t>
        </is>
      </c>
      <c r="E481" t="inlineStr">
        <is>
          <t>DALS-ED</t>
        </is>
      </c>
      <c r="F481" t="inlineStr">
        <is>
          <t>Kommuner</t>
        </is>
      </c>
      <c r="G481" t="n">
        <v>6.5</v>
      </c>
      <c r="H481" t="n">
        <v>0</v>
      </c>
      <c r="I481" t="n">
        <v>0</v>
      </c>
      <c r="J481" t="n">
        <v>0</v>
      </c>
      <c r="K481" t="n">
        <v>0</v>
      </c>
      <c r="L481" t="n">
        <v>0</v>
      </c>
      <c r="M481" t="n">
        <v>0</v>
      </c>
      <c r="N481" t="n">
        <v>0</v>
      </c>
      <c r="O481" t="n">
        <v>0</v>
      </c>
      <c r="P481" t="n">
        <v>0</v>
      </c>
      <c r="Q481" t="n">
        <v>0</v>
      </c>
      <c r="R481" s="2" t="inlineStr"/>
    </row>
    <row r="482" ht="15" customHeight="1">
      <c r="A482" t="inlineStr">
        <is>
          <t>A 46435-2023</t>
        </is>
      </c>
      <c r="B482" s="1" t="n">
        <v>45197</v>
      </c>
      <c r="C482" s="1" t="n">
        <v>45829</v>
      </c>
      <c r="D482" t="inlineStr">
        <is>
          <t>VÄSTRA GÖTALANDS LÄN</t>
        </is>
      </c>
      <c r="E482" t="inlineStr">
        <is>
          <t>DALS-ED</t>
        </is>
      </c>
      <c r="G482" t="n">
        <v>0.5</v>
      </c>
      <c r="H482" t="n">
        <v>0</v>
      </c>
      <c r="I482" t="n">
        <v>0</v>
      </c>
      <c r="J482" t="n">
        <v>0</v>
      </c>
      <c r="K482" t="n">
        <v>0</v>
      </c>
      <c r="L482" t="n">
        <v>0</v>
      </c>
      <c r="M482" t="n">
        <v>0</v>
      </c>
      <c r="N482" t="n">
        <v>0</v>
      </c>
      <c r="O482" t="n">
        <v>0</v>
      </c>
      <c r="P482" t="n">
        <v>0</v>
      </c>
      <c r="Q482" t="n">
        <v>0</v>
      </c>
      <c r="R482" s="2" t="inlineStr"/>
    </row>
    <row r="483" ht="15" customHeight="1">
      <c r="A483" t="inlineStr">
        <is>
          <t>A 47617-2023</t>
        </is>
      </c>
      <c r="B483" s="1" t="n">
        <v>45198</v>
      </c>
      <c r="C483" s="1" t="n">
        <v>45829</v>
      </c>
      <c r="D483" t="inlineStr">
        <is>
          <t>VÄSTRA GÖTALANDS LÄN</t>
        </is>
      </c>
      <c r="E483" t="inlineStr">
        <is>
          <t>DALS-ED</t>
        </is>
      </c>
      <c r="G483" t="n">
        <v>6</v>
      </c>
      <c r="H483" t="n">
        <v>0</v>
      </c>
      <c r="I483" t="n">
        <v>0</v>
      </c>
      <c r="J483" t="n">
        <v>0</v>
      </c>
      <c r="K483" t="n">
        <v>0</v>
      </c>
      <c r="L483" t="n">
        <v>0</v>
      </c>
      <c r="M483" t="n">
        <v>0</v>
      </c>
      <c r="N483" t="n">
        <v>0</v>
      </c>
      <c r="O483" t="n">
        <v>0</v>
      </c>
      <c r="P483" t="n">
        <v>0</v>
      </c>
      <c r="Q483" t="n">
        <v>0</v>
      </c>
      <c r="R483" s="2" t="inlineStr"/>
    </row>
    <row r="484" ht="15" customHeight="1">
      <c r="A484" t="inlineStr">
        <is>
          <t>A 47092-2023</t>
        </is>
      </c>
      <c r="B484" s="1" t="n">
        <v>45201</v>
      </c>
      <c r="C484" s="1" t="n">
        <v>45829</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47311-2023</t>
        </is>
      </c>
      <c r="B485" s="1" t="n">
        <v>45202</v>
      </c>
      <c r="C485" s="1" t="n">
        <v>45829</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47740-2023</t>
        </is>
      </c>
      <c r="B486" s="1" t="n">
        <v>45203</v>
      </c>
      <c r="C486" s="1" t="n">
        <v>45829</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48344-2023</t>
        </is>
      </c>
      <c r="B487" s="1" t="n">
        <v>45205</v>
      </c>
      <c r="C487" s="1" t="n">
        <v>45829</v>
      </c>
      <c r="D487" t="inlineStr">
        <is>
          <t>VÄSTRA GÖTALANDS LÄN</t>
        </is>
      </c>
      <c r="E487" t="inlineStr">
        <is>
          <t>DALS-ED</t>
        </is>
      </c>
      <c r="G487" t="n">
        <v>2.6</v>
      </c>
      <c r="H487" t="n">
        <v>0</v>
      </c>
      <c r="I487" t="n">
        <v>0</v>
      </c>
      <c r="J487" t="n">
        <v>0</v>
      </c>
      <c r="K487" t="n">
        <v>0</v>
      </c>
      <c r="L487" t="n">
        <v>0</v>
      </c>
      <c r="M487" t="n">
        <v>0</v>
      </c>
      <c r="N487" t="n">
        <v>0</v>
      </c>
      <c r="O487" t="n">
        <v>0</v>
      </c>
      <c r="P487" t="n">
        <v>0</v>
      </c>
      <c r="Q487" t="n">
        <v>0</v>
      </c>
      <c r="R487" s="2" t="inlineStr"/>
    </row>
    <row r="488" ht="15" customHeight="1">
      <c r="A488" t="inlineStr">
        <is>
          <t>A 48903-2023</t>
        </is>
      </c>
      <c r="B488" s="1" t="n">
        <v>45209</v>
      </c>
      <c r="C488" s="1" t="n">
        <v>45829</v>
      </c>
      <c r="D488" t="inlineStr">
        <is>
          <t>VÄSTRA GÖTALANDS LÄN</t>
        </is>
      </c>
      <c r="E488" t="inlineStr">
        <is>
          <t>DALS-ED</t>
        </is>
      </c>
      <c r="G488" t="n">
        <v>1.4</v>
      </c>
      <c r="H488" t="n">
        <v>0</v>
      </c>
      <c r="I488" t="n">
        <v>0</v>
      </c>
      <c r="J488" t="n">
        <v>0</v>
      </c>
      <c r="K488" t="n">
        <v>0</v>
      </c>
      <c r="L488" t="n">
        <v>0</v>
      </c>
      <c r="M488" t="n">
        <v>0</v>
      </c>
      <c r="N488" t="n">
        <v>0</v>
      </c>
      <c r="O488" t="n">
        <v>0</v>
      </c>
      <c r="P488" t="n">
        <v>0</v>
      </c>
      <c r="Q488" t="n">
        <v>0</v>
      </c>
      <c r="R488" s="2" t="inlineStr"/>
    </row>
    <row r="489" ht="15" customHeight="1">
      <c r="A489" t="inlineStr">
        <is>
          <t>A 50809-2023</t>
        </is>
      </c>
      <c r="B489" s="1" t="n">
        <v>45217</v>
      </c>
      <c r="C489" s="1" t="n">
        <v>45829</v>
      </c>
      <c r="D489" t="inlineStr">
        <is>
          <t>VÄSTRA GÖTALANDS LÄN</t>
        </is>
      </c>
      <c r="E489" t="inlineStr">
        <is>
          <t>DALS-ED</t>
        </is>
      </c>
      <c r="G489" t="n">
        <v>1</v>
      </c>
      <c r="H489" t="n">
        <v>0</v>
      </c>
      <c r="I489" t="n">
        <v>0</v>
      </c>
      <c r="J489" t="n">
        <v>0</v>
      </c>
      <c r="K489" t="n">
        <v>0</v>
      </c>
      <c r="L489" t="n">
        <v>0</v>
      </c>
      <c r="M489" t="n">
        <v>0</v>
      </c>
      <c r="N489" t="n">
        <v>0</v>
      </c>
      <c r="O489" t="n">
        <v>0</v>
      </c>
      <c r="P489" t="n">
        <v>0</v>
      </c>
      <c r="Q489" t="n">
        <v>0</v>
      </c>
      <c r="R489" s="2" t="inlineStr"/>
    </row>
    <row r="490" ht="15" customHeight="1">
      <c r="A490" t="inlineStr">
        <is>
          <t>A 52277-2023</t>
        </is>
      </c>
      <c r="B490" s="1" t="n">
        <v>45217</v>
      </c>
      <c r="C490" s="1" t="n">
        <v>45829</v>
      </c>
      <c r="D490" t="inlineStr">
        <is>
          <t>VÄSTRA GÖTALANDS LÄN</t>
        </is>
      </c>
      <c r="E490" t="inlineStr">
        <is>
          <t>DALS-ED</t>
        </is>
      </c>
      <c r="F490" t="inlineStr">
        <is>
          <t>Kyrkan</t>
        </is>
      </c>
      <c r="G490" t="n">
        <v>1.5</v>
      </c>
      <c r="H490" t="n">
        <v>0</v>
      </c>
      <c r="I490" t="n">
        <v>0</v>
      </c>
      <c r="J490" t="n">
        <v>0</v>
      </c>
      <c r="K490" t="n">
        <v>0</v>
      </c>
      <c r="L490" t="n">
        <v>0</v>
      </c>
      <c r="M490" t="n">
        <v>0</v>
      </c>
      <c r="N490" t="n">
        <v>0</v>
      </c>
      <c r="O490" t="n">
        <v>0</v>
      </c>
      <c r="P490" t="n">
        <v>0</v>
      </c>
      <c r="Q490" t="n">
        <v>0</v>
      </c>
      <c r="R490" s="2" t="inlineStr"/>
    </row>
    <row r="491" ht="15" customHeight="1">
      <c r="A491" t="inlineStr">
        <is>
          <t>A 52254-2023</t>
        </is>
      </c>
      <c r="B491" s="1" t="n">
        <v>45217</v>
      </c>
      <c r="C491" s="1" t="n">
        <v>45829</v>
      </c>
      <c r="D491" t="inlineStr">
        <is>
          <t>VÄSTRA GÖTALANDS LÄN</t>
        </is>
      </c>
      <c r="E491" t="inlineStr">
        <is>
          <t>DALS-ED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52462-2023</t>
        </is>
      </c>
      <c r="B492" s="1" t="n">
        <v>45225</v>
      </c>
      <c r="C492" s="1" t="n">
        <v>45829</v>
      </c>
      <c r="D492" t="inlineStr">
        <is>
          <t>VÄSTRA GÖTALANDS LÄN</t>
        </is>
      </c>
      <c r="E492" t="inlineStr">
        <is>
          <t>DALS-ED</t>
        </is>
      </c>
      <c r="F492" t="inlineStr">
        <is>
          <t>Kommuner</t>
        </is>
      </c>
      <c r="G492" t="n">
        <v>7.3</v>
      </c>
      <c r="H492" t="n">
        <v>0</v>
      </c>
      <c r="I492" t="n">
        <v>0</v>
      </c>
      <c r="J492" t="n">
        <v>0</v>
      </c>
      <c r="K492" t="n">
        <v>0</v>
      </c>
      <c r="L492" t="n">
        <v>0</v>
      </c>
      <c r="M492" t="n">
        <v>0</v>
      </c>
      <c r="N492" t="n">
        <v>0</v>
      </c>
      <c r="O492" t="n">
        <v>0</v>
      </c>
      <c r="P492" t="n">
        <v>0</v>
      </c>
      <c r="Q492" t="n">
        <v>0</v>
      </c>
      <c r="R492" s="2" t="inlineStr"/>
    </row>
    <row r="493" ht="15" customHeight="1">
      <c r="A493" t="inlineStr">
        <is>
          <t>A 53473-2023</t>
        </is>
      </c>
      <c r="B493" s="1" t="n">
        <v>45230</v>
      </c>
      <c r="C493" s="1" t="n">
        <v>45829</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53625-2023</t>
        </is>
      </c>
      <c r="B494" s="1" t="n">
        <v>45230</v>
      </c>
      <c r="C494" s="1" t="n">
        <v>45829</v>
      </c>
      <c r="D494" t="inlineStr">
        <is>
          <t>VÄSTRA GÖTALANDS LÄN</t>
        </is>
      </c>
      <c r="E494" t="inlineStr">
        <is>
          <t>DALS-ED</t>
        </is>
      </c>
      <c r="G494" t="n">
        <v>16.5</v>
      </c>
      <c r="H494" t="n">
        <v>0</v>
      </c>
      <c r="I494" t="n">
        <v>0</v>
      </c>
      <c r="J494" t="n">
        <v>0</v>
      </c>
      <c r="K494" t="n">
        <v>0</v>
      </c>
      <c r="L494" t="n">
        <v>0</v>
      </c>
      <c r="M494" t="n">
        <v>0</v>
      </c>
      <c r="N494" t="n">
        <v>0</v>
      </c>
      <c r="O494" t="n">
        <v>0</v>
      </c>
      <c r="P494" t="n">
        <v>0</v>
      </c>
      <c r="Q494" t="n">
        <v>0</v>
      </c>
      <c r="R494" s="2" t="inlineStr"/>
    </row>
    <row r="495" ht="15" customHeight="1">
      <c r="A495" t="inlineStr">
        <is>
          <t>A 53470-2023</t>
        </is>
      </c>
      <c r="B495" s="1" t="n">
        <v>45230</v>
      </c>
      <c r="C495" s="1" t="n">
        <v>45829</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56442-2023</t>
        </is>
      </c>
      <c r="B496" s="1" t="n">
        <v>45237</v>
      </c>
      <c r="C496" s="1" t="n">
        <v>45829</v>
      </c>
      <c r="D496" t="inlineStr">
        <is>
          <t>VÄSTRA GÖTALANDS LÄN</t>
        </is>
      </c>
      <c r="E496" t="inlineStr">
        <is>
          <t>DALS-ED</t>
        </is>
      </c>
      <c r="F496" t="inlineStr">
        <is>
          <t>Kyrkan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56015-2023</t>
        </is>
      </c>
      <c r="B497" s="1" t="n">
        <v>45240</v>
      </c>
      <c r="C497" s="1" t="n">
        <v>45829</v>
      </c>
      <c r="D497" t="inlineStr">
        <is>
          <t>VÄSTRA GÖTALANDS LÄN</t>
        </is>
      </c>
      <c r="E497" t="inlineStr">
        <is>
          <t>DALS-ED</t>
        </is>
      </c>
      <c r="G497" t="n">
        <v>1.2</v>
      </c>
      <c r="H497" t="n">
        <v>0</v>
      </c>
      <c r="I497" t="n">
        <v>0</v>
      </c>
      <c r="J497" t="n">
        <v>0</v>
      </c>
      <c r="K497" t="n">
        <v>0</v>
      </c>
      <c r="L497" t="n">
        <v>0</v>
      </c>
      <c r="M497" t="n">
        <v>0</v>
      </c>
      <c r="N497" t="n">
        <v>0</v>
      </c>
      <c r="O497" t="n">
        <v>0</v>
      </c>
      <c r="P497" t="n">
        <v>0</v>
      </c>
      <c r="Q497" t="n">
        <v>0</v>
      </c>
      <c r="R497" s="2" t="inlineStr"/>
    </row>
    <row r="498" ht="15" customHeight="1">
      <c r="A498" t="inlineStr">
        <is>
          <t>A 57701-2023</t>
        </is>
      </c>
      <c r="B498" s="1" t="n">
        <v>45246</v>
      </c>
      <c r="C498" s="1" t="n">
        <v>45829</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58719-2023</t>
        </is>
      </c>
      <c r="B499" s="1" t="n">
        <v>45251</v>
      </c>
      <c r="C499" s="1" t="n">
        <v>45829</v>
      </c>
      <c r="D499" t="inlineStr">
        <is>
          <t>VÄSTRA GÖTALANDS LÄN</t>
        </is>
      </c>
      <c r="E499" t="inlineStr">
        <is>
          <t>DALS-ED</t>
        </is>
      </c>
      <c r="G499" t="n">
        <v>14</v>
      </c>
      <c r="H499" t="n">
        <v>0</v>
      </c>
      <c r="I499" t="n">
        <v>0</v>
      </c>
      <c r="J499" t="n">
        <v>0</v>
      </c>
      <c r="K499" t="n">
        <v>0</v>
      </c>
      <c r="L499" t="n">
        <v>0</v>
      </c>
      <c r="M499" t="n">
        <v>0</v>
      </c>
      <c r="N499" t="n">
        <v>0</v>
      </c>
      <c r="O499" t="n">
        <v>0</v>
      </c>
      <c r="P499" t="n">
        <v>0</v>
      </c>
      <c r="Q499" t="n">
        <v>0</v>
      </c>
      <c r="R499" s="2" t="inlineStr"/>
    </row>
    <row r="500" ht="15" customHeight="1">
      <c r="A500" t="inlineStr">
        <is>
          <t>A 59514-2023</t>
        </is>
      </c>
      <c r="B500" s="1" t="n">
        <v>45254</v>
      </c>
      <c r="C500" s="1" t="n">
        <v>45829</v>
      </c>
      <c r="D500" t="inlineStr">
        <is>
          <t>VÄSTRA GÖTALANDS LÄN</t>
        </is>
      </c>
      <c r="E500" t="inlineStr">
        <is>
          <t>DALS-ED</t>
        </is>
      </c>
      <c r="G500" t="n">
        <v>1.3</v>
      </c>
      <c r="H500" t="n">
        <v>0</v>
      </c>
      <c r="I500" t="n">
        <v>0</v>
      </c>
      <c r="J500" t="n">
        <v>0</v>
      </c>
      <c r="K500" t="n">
        <v>0</v>
      </c>
      <c r="L500" t="n">
        <v>0</v>
      </c>
      <c r="M500" t="n">
        <v>0</v>
      </c>
      <c r="N500" t="n">
        <v>0</v>
      </c>
      <c r="O500" t="n">
        <v>0</v>
      </c>
      <c r="P500" t="n">
        <v>0</v>
      </c>
      <c r="Q500" t="n">
        <v>0</v>
      </c>
      <c r="R500" s="2" t="inlineStr"/>
    </row>
    <row r="501" ht="15" customHeight="1">
      <c r="A501" t="inlineStr">
        <is>
          <t>A 59815-2023</t>
        </is>
      </c>
      <c r="B501" s="1" t="n">
        <v>45257</v>
      </c>
      <c r="C501" s="1" t="n">
        <v>45829</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60279-2023</t>
        </is>
      </c>
      <c r="B502" s="1" t="n">
        <v>45257</v>
      </c>
      <c r="C502" s="1" t="n">
        <v>45829</v>
      </c>
      <c r="D502" t="inlineStr">
        <is>
          <t>VÄSTRA GÖTALANDS LÄN</t>
        </is>
      </c>
      <c r="E502" t="inlineStr">
        <is>
          <t>DALS-ED</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60052-2023</t>
        </is>
      </c>
      <c r="B503" s="1" t="n">
        <v>45258</v>
      </c>
      <c r="C503" s="1" t="n">
        <v>45829</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60461-2023</t>
        </is>
      </c>
      <c r="B504" s="1" t="n">
        <v>45258</v>
      </c>
      <c r="C504" s="1" t="n">
        <v>45829</v>
      </c>
      <c r="D504" t="inlineStr">
        <is>
          <t>VÄSTRA GÖTALANDS LÄN</t>
        </is>
      </c>
      <c r="E504" t="inlineStr">
        <is>
          <t>DALS-ED</t>
        </is>
      </c>
      <c r="F504" t="inlineStr">
        <is>
          <t>Bergvik skog väst AB</t>
        </is>
      </c>
      <c r="G504" t="n">
        <v>8.1</v>
      </c>
      <c r="H504" t="n">
        <v>0</v>
      </c>
      <c r="I504" t="n">
        <v>0</v>
      </c>
      <c r="J504" t="n">
        <v>0</v>
      </c>
      <c r="K504" t="n">
        <v>0</v>
      </c>
      <c r="L504" t="n">
        <v>0</v>
      </c>
      <c r="M504" t="n">
        <v>0</v>
      </c>
      <c r="N504" t="n">
        <v>0</v>
      </c>
      <c r="O504" t="n">
        <v>0</v>
      </c>
      <c r="P504" t="n">
        <v>0</v>
      </c>
      <c r="Q504" t="n">
        <v>0</v>
      </c>
      <c r="R504" s="2" t="inlineStr"/>
    </row>
    <row r="505" ht="15" customHeight="1">
      <c r="A505" t="inlineStr">
        <is>
          <t>A 60468-2023</t>
        </is>
      </c>
      <c r="B505" s="1" t="n">
        <v>45258</v>
      </c>
      <c r="C505" s="1" t="n">
        <v>45829</v>
      </c>
      <c r="D505" t="inlineStr">
        <is>
          <t>VÄSTRA GÖTALANDS LÄN</t>
        </is>
      </c>
      <c r="E505" t="inlineStr">
        <is>
          <t>DALS-ED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61220-2023</t>
        </is>
      </c>
      <c r="B506" s="1" t="n">
        <v>45264</v>
      </c>
      <c r="C506" s="1" t="n">
        <v>45829</v>
      </c>
      <c r="D506" t="inlineStr">
        <is>
          <t>VÄSTRA GÖTALANDS LÄN</t>
        </is>
      </c>
      <c r="E506" t="inlineStr">
        <is>
          <t>DALS-ED</t>
        </is>
      </c>
      <c r="G506" t="n">
        <v>2.8</v>
      </c>
      <c r="H506" t="n">
        <v>0</v>
      </c>
      <c r="I506" t="n">
        <v>0</v>
      </c>
      <c r="J506" t="n">
        <v>0</v>
      </c>
      <c r="K506" t="n">
        <v>0</v>
      </c>
      <c r="L506" t="n">
        <v>0</v>
      </c>
      <c r="M506" t="n">
        <v>0</v>
      </c>
      <c r="N506" t="n">
        <v>0</v>
      </c>
      <c r="O506" t="n">
        <v>0</v>
      </c>
      <c r="P506" t="n">
        <v>0</v>
      </c>
      <c r="Q506" t="n">
        <v>0</v>
      </c>
      <c r="R506" s="2" t="inlineStr"/>
    </row>
    <row r="507" ht="15" customHeight="1">
      <c r="A507" t="inlineStr">
        <is>
          <t>A 61742-2023</t>
        </is>
      </c>
      <c r="B507" s="1" t="n">
        <v>45265</v>
      </c>
      <c r="C507" s="1" t="n">
        <v>45829</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61725-2023</t>
        </is>
      </c>
      <c r="B508" s="1" t="n">
        <v>45265</v>
      </c>
      <c r="C508" s="1" t="n">
        <v>45829</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61736-2023</t>
        </is>
      </c>
      <c r="B509" s="1" t="n">
        <v>45265</v>
      </c>
      <c r="C509" s="1" t="n">
        <v>45829</v>
      </c>
      <c r="D509" t="inlineStr">
        <is>
          <t>VÄSTRA GÖTALANDS LÄN</t>
        </is>
      </c>
      <c r="E509" t="inlineStr">
        <is>
          <t>DALS-ED</t>
        </is>
      </c>
      <c r="G509" t="n">
        <v>4.5</v>
      </c>
      <c r="H509" t="n">
        <v>0</v>
      </c>
      <c r="I509" t="n">
        <v>0</v>
      </c>
      <c r="J509" t="n">
        <v>0</v>
      </c>
      <c r="K509" t="n">
        <v>0</v>
      </c>
      <c r="L509" t="n">
        <v>0</v>
      </c>
      <c r="M509" t="n">
        <v>0</v>
      </c>
      <c r="N509" t="n">
        <v>0</v>
      </c>
      <c r="O509" t="n">
        <v>0</v>
      </c>
      <c r="P509" t="n">
        <v>0</v>
      </c>
      <c r="Q509" t="n">
        <v>0</v>
      </c>
      <c r="R509" s="2" t="inlineStr"/>
    </row>
    <row r="510" ht="15" customHeight="1">
      <c r="A510" t="inlineStr">
        <is>
          <t>A 62534-2023</t>
        </is>
      </c>
      <c r="B510" s="1" t="n">
        <v>45267</v>
      </c>
      <c r="C510" s="1" t="n">
        <v>45829</v>
      </c>
      <c r="D510" t="inlineStr">
        <is>
          <t>VÄSTRA GÖTALANDS LÄN</t>
        </is>
      </c>
      <c r="E510" t="inlineStr">
        <is>
          <t>DALS-ED</t>
        </is>
      </c>
      <c r="F510" t="inlineStr">
        <is>
          <t>Kyrkan</t>
        </is>
      </c>
      <c r="G510" t="n">
        <v>2.9</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v>
      </c>
      <c r="C511" s="1" t="n">
        <v>45829</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62996-2023</t>
        </is>
      </c>
      <c r="B512" s="1" t="n">
        <v>45272</v>
      </c>
      <c r="C512" s="1" t="n">
        <v>45829</v>
      </c>
      <c r="D512" t="inlineStr">
        <is>
          <t>VÄSTRA GÖTALANDS LÄN</t>
        </is>
      </c>
      <c r="E512" t="inlineStr">
        <is>
          <t>DALS-ED</t>
        </is>
      </c>
      <c r="G512" t="n">
        <v>3.6</v>
      </c>
      <c r="H512" t="n">
        <v>0</v>
      </c>
      <c r="I512" t="n">
        <v>0</v>
      </c>
      <c r="J512" t="n">
        <v>0</v>
      </c>
      <c r="K512" t="n">
        <v>0</v>
      </c>
      <c r="L512" t="n">
        <v>0</v>
      </c>
      <c r="M512" t="n">
        <v>0</v>
      </c>
      <c r="N512" t="n">
        <v>0</v>
      </c>
      <c r="O512" t="n">
        <v>0</v>
      </c>
      <c r="P512" t="n">
        <v>0</v>
      </c>
      <c r="Q512" t="n">
        <v>0</v>
      </c>
      <c r="R512" s="2" t="inlineStr"/>
    </row>
    <row r="513" ht="15" customHeight="1">
      <c r="A513" t="inlineStr">
        <is>
          <t>A 63162-2023</t>
        </is>
      </c>
      <c r="B513" s="1" t="n">
        <v>45273</v>
      </c>
      <c r="C513" s="1" t="n">
        <v>45829</v>
      </c>
      <c r="D513" t="inlineStr">
        <is>
          <t>VÄSTRA GÖTALANDS LÄN</t>
        </is>
      </c>
      <c r="E513" t="inlineStr">
        <is>
          <t>DALS-ED</t>
        </is>
      </c>
      <c r="G513" t="n">
        <v>11.8</v>
      </c>
      <c r="H513" t="n">
        <v>0</v>
      </c>
      <c r="I513" t="n">
        <v>0</v>
      </c>
      <c r="J513" t="n">
        <v>0</v>
      </c>
      <c r="K513" t="n">
        <v>0</v>
      </c>
      <c r="L513" t="n">
        <v>0</v>
      </c>
      <c r="M513" t="n">
        <v>0</v>
      </c>
      <c r="N513" t="n">
        <v>0</v>
      </c>
      <c r="O513" t="n">
        <v>0</v>
      </c>
      <c r="P513" t="n">
        <v>0</v>
      </c>
      <c r="Q513" t="n">
        <v>0</v>
      </c>
      <c r="R513" s="2" t="inlineStr"/>
    </row>
    <row r="514" ht="15" customHeight="1">
      <c r="A514" t="inlineStr">
        <is>
          <t>A 64177-2023</t>
        </is>
      </c>
      <c r="B514" s="1" t="n">
        <v>45279</v>
      </c>
      <c r="C514" s="1" t="n">
        <v>45829</v>
      </c>
      <c r="D514" t="inlineStr">
        <is>
          <t>VÄSTRA GÖTALANDS LÄN</t>
        </is>
      </c>
      <c r="E514" t="inlineStr">
        <is>
          <t>DALS-ED</t>
        </is>
      </c>
      <c r="F514" t="inlineStr">
        <is>
          <t>Bergvik skog väst AB</t>
        </is>
      </c>
      <c r="G514" t="n">
        <v>18.6</v>
      </c>
      <c r="H514" t="n">
        <v>0</v>
      </c>
      <c r="I514" t="n">
        <v>0</v>
      </c>
      <c r="J514" t="n">
        <v>0</v>
      </c>
      <c r="K514" t="n">
        <v>0</v>
      </c>
      <c r="L514" t="n">
        <v>0</v>
      </c>
      <c r="M514" t="n">
        <v>0</v>
      </c>
      <c r="N514" t="n">
        <v>0</v>
      </c>
      <c r="O514" t="n">
        <v>0</v>
      </c>
      <c r="P514" t="n">
        <v>0</v>
      </c>
      <c r="Q514" t="n">
        <v>0</v>
      </c>
      <c r="R514" s="2" t="inlineStr"/>
    </row>
    <row r="515" ht="15" customHeight="1">
      <c r="A515" t="inlineStr">
        <is>
          <t>A 64967-2023</t>
        </is>
      </c>
      <c r="B515" s="1" t="n">
        <v>45283</v>
      </c>
      <c r="C515" s="1" t="n">
        <v>45829</v>
      </c>
      <c r="D515" t="inlineStr">
        <is>
          <t>VÄSTRA GÖTALANDS LÄN</t>
        </is>
      </c>
      <c r="E515" t="inlineStr">
        <is>
          <t>DALS-ED</t>
        </is>
      </c>
      <c r="G515" t="n">
        <v>1.8</v>
      </c>
      <c r="H515" t="n">
        <v>0</v>
      </c>
      <c r="I515" t="n">
        <v>0</v>
      </c>
      <c r="J515" t="n">
        <v>0</v>
      </c>
      <c r="K515" t="n">
        <v>0</v>
      </c>
      <c r="L515" t="n">
        <v>0</v>
      </c>
      <c r="M515" t="n">
        <v>0</v>
      </c>
      <c r="N515" t="n">
        <v>0</v>
      </c>
      <c r="O515" t="n">
        <v>0</v>
      </c>
      <c r="P515" t="n">
        <v>0</v>
      </c>
      <c r="Q515" t="n">
        <v>0</v>
      </c>
      <c r="R515" s="2" t="inlineStr"/>
    </row>
    <row r="516" ht="15" customHeight="1">
      <c r="A516" t="inlineStr">
        <is>
          <t>A 1027-2024</t>
        </is>
      </c>
      <c r="B516" s="1" t="n">
        <v>45301</v>
      </c>
      <c r="C516" s="1" t="n">
        <v>45829</v>
      </c>
      <c r="D516" t="inlineStr">
        <is>
          <t>VÄSTRA GÖTALANDS LÄN</t>
        </is>
      </c>
      <c r="E516" t="inlineStr">
        <is>
          <t>DALS-ED</t>
        </is>
      </c>
      <c r="G516" t="n">
        <v>1.9</v>
      </c>
      <c r="H516" t="n">
        <v>0</v>
      </c>
      <c r="I516" t="n">
        <v>0</v>
      </c>
      <c r="J516" t="n">
        <v>0</v>
      </c>
      <c r="K516" t="n">
        <v>0</v>
      </c>
      <c r="L516" t="n">
        <v>0</v>
      </c>
      <c r="M516" t="n">
        <v>0</v>
      </c>
      <c r="N516" t="n">
        <v>0</v>
      </c>
      <c r="O516" t="n">
        <v>0</v>
      </c>
      <c r="P516" t="n">
        <v>0</v>
      </c>
      <c r="Q516" t="n">
        <v>0</v>
      </c>
      <c r="R516" s="2" t="inlineStr"/>
    </row>
    <row r="517" ht="15" customHeight="1">
      <c r="A517" t="inlineStr">
        <is>
          <t>A 1031-2024</t>
        </is>
      </c>
      <c r="B517" s="1" t="n">
        <v>45301</v>
      </c>
      <c r="C517" s="1" t="n">
        <v>45829</v>
      </c>
      <c r="D517" t="inlineStr">
        <is>
          <t>VÄSTRA GÖTALANDS LÄN</t>
        </is>
      </c>
      <c r="E517" t="inlineStr">
        <is>
          <t>DALS-ED</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2725-2024</t>
        </is>
      </c>
      <c r="B518" s="1" t="n">
        <v>45314</v>
      </c>
      <c r="C518" s="1" t="n">
        <v>45829</v>
      </c>
      <c r="D518" t="inlineStr">
        <is>
          <t>VÄSTRA GÖTALANDS LÄN</t>
        </is>
      </c>
      <c r="E518" t="inlineStr">
        <is>
          <t>DALS-ED</t>
        </is>
      </c>
      <c r="G518" t="n">
        <v>6.4</v>
      </c>
      <c r="H518" t="n">
        <v>0</v>
      </c>
      <c r="I518" t="n">
        <v>0</v>
      </c>
      <c r="J518" t="n">
        <v>0</v>
      </c>
      <c r="K518" t="n">
        <v>0</v>
      </c>
      <c r="L518" t="n">
        <v>0</v>
      </c>
      <c r="M518" t="n">
        <v>0</v>
      </c>
      <c r="N518" t="n">
        <v>0</v>
      </c>
      <c r="O518" t="n">
        <v>0</v>
      </c>
      <c r="P518" t="n">
        <v>0</v>
      </c>
      <c r="Q518" t="n">
        <v>0</v>
      </c>
      <c r="R518" s="2" t="inlineStr"/>
    </row>
    <row r="519" ht="15" customHeight="1">
      <c r="A519" t="inlineStr">
        <is>
          <t>A 4369-2024</t>
        </is>
      </c>
      <c r="B519" s="1" t="n">
        <v>45326</v>
      </c>
      <c r="C519" s="1" t="n">
        <v>45829</v>
      </c>
      <c r="D519" t="inlineStr">
        <is>
          <t>VÄSTRA GÖTALANDS LÄN</t>
        </is>
      </c>
      <c r="E519" t="inlineStr">
        <is>
          <t>DALS-ED</t>
        </is>
      </c>
      <c r="G519" t="n">
        <v>4.2</v>
      </c>
      <c r="H519" t="n">
        <v>0</v>
      </c>
      <c r="I519" t="n">
        <v>0</v>
      </c>
      <c r="J519" t="n">
        <v>0</v>
      </c>
      <c r="K519" t="n">
        <v>0</v>
      </c>
      <c r="L519" t="n">
        <v>0</v>
      </c>
      <c r="M519" t="n">
        <v>0</v>
      </c>
      <c r="N519" t="n">
        <v>0</v>
      </c>
      <c r="O519" t="n">
        <v>0</v>
      </c>
      <c r="P519" t="n">
        <v>0</v>
      </c>
      <c r="Q519" t="n">
        <v>0</v>
      </c>
      <c r="R519" s="2" t="inlineStr"/>
    </row>
    <row r="520" ht="15" customHeight="1">
      <c r="A520" t="inlineStr">
        <is>
          <t>A 4368-2024</t>
        </is>
      </c>
      <c r="B520" s="1" t="n">
        <v>45326</v>
      </c>
      <c r="C520" s="1" t="n">
        <v>45829</v>
      </c>
      <c r="D520" t="inlineStr">
        <is>
          <t>VÄSTRA GÖTALANDS LÄN</t>
        </is>
      </c>
      <c r="E520" t="inlineStr">
        <is>
          <t>DALS-ED</t>
        </is>
      </c>
      <c r="G520" t="n">
        <v>0.9</v>
      </c>
      <c r="H520" t="n">
        <v>0</v>
      </c>
      <c r="I520" t="n">
        <v>0</v>
      </c>
      <c r="J520" t="n">
        <v>0</v>
      </c>
      <c r="K520" t="n">
        <v>0</v>
      </c>
      <c r="L520" t="n">
        <v>0</v>
      </c>
      <c r="M520" t="n">
        <v>0</v>
      </c>
      <c r="N520" t="n">
        <v>0</v>
      </c>
      <c r="O520" t="n">
        <v>0</v>
      </c>
      <c r="P520" t="n">
        <v>0</v>
      </c>
      <c r="Q520" t="n">
        <v>0</v>
      </c>
      <c r="R520" s="2" t="inlineStr"/>
    </row>
    <row r="521" ht="15" customHeight="1">
      <c r="A521" t="inlineStr">
        <is>
          <t>A 4499-2024</t>
        </is>
      </c>
      <c r="B521" s="1" t="n">
        <v>45327</v>
      </c>
      <c r="C521" s="1" t="n">
        <v>45829</v>
      </c>
      <c r="D521" t="inlineStr">
        <is>
          <t>VÄSTRA GÖTALANDS LÄN</t>
        </is>
      </c>
      <c r="E521" t="inlineStr">
        <is>
          <t>DALS-ED</t>
        </is>
      </c>
      <c r="G521" t="n">
        <v>2.8</v>
      </c>
      <c r="H521" t="n">
        <v>0</v>
      </c>
      <c r="I521" t="n">
        <v>0</v>
      </c>
      <c r="J521" t="n">
        <v>0</v>
      </c>
      <c r="K521" t="n">
        <v>0</v>
      </c>
      <c r="L521" t="n">
        <v>0</v>
      </c>
      <c r="M521" t="n">
        <v>0</v>
      </c>
      <c r="N521" t="n">
        <v>0</v>
      </c>
      <c r="O521" t="n">
        <v>0</v>
      </c>
      <c r="P521" t="n">
        <v>0</v>
      </c>
      <c r="Q521" t="n">
        <v>0</v>
      </c>
      <c r="R521" s="2" t="inlineStr"/>
    </row>
    <row r="522" ht="15" customHeight="1">
      <c r="A522" t="inlineStr">
        <is>
          <t>A 4537-2024</t>
        </is>
      </c>
      <c r="B522" s="1" t="n">
        <v>45327</v>
      </c>
      <c r="C522" s="1" t="n">
        <v>45829</v>
      </c>
      <c r="D522" t="inlineStr">
        <is>
          <t>VÄSTRA GÖTALANDS LÄN</t>
        </is>
      </c>
      <c r="E522" t="inlineStr">
        <is>
          <t>DALS-ED</t>
        </is>
      </c>
      <c r="G522" t="n">
        <v>1.2</v>
      </c>
      <c r="H522" t="n">
        <v>0</v>
      </c>
      <c r="I522" t="n">
        <v>0</v>
      </c>
      <c r="J522" t="n">
        <v>0</v>
      </c>
      <c r="K522" t="n">
        <v>0</v>
      </c>
      <c r="L522" t="n">
        <v>0</v>
      </c>
      <c r="M522" t="n">
        <v>0</v>
      </c>
      <c r="N522" t="n">
        <v>0</v>
      </c>
      <c r="O522" t="n">
        <v>0</v>
      </c>
      <c r="P522" t="n">
        <v>0</v>
      </c>
      <c r="Q522" t="n">
        <v>0</v>
      </c>
      <c r="R522" s="2" t="inlineStr"/>
    </row>
    <row r="523" ht="15" customHeight="1">
      <c r="A523" t="inlineStr">
        <is>
          <t>A 4534-2024</t>
        </is>
      </c>
      <c r="B523" s="1" t="n">
        <v>45327</v>
      </c>
      <c r="C523" s="1" t="n">
        <v>45829</v>
      </c>
      <c r="D523" t="inlineStr">
        <is>
          <t>VÄSTRA GÖTALANDS LÄN</t>
        </is>
      </c>
      <c r="E523" t="inlineStr">
        <is>
          <t>DALS-ED</t>
        </is>
      </c>
      <c r="G523" t="n">
        <v>2.4</v>
      </c>
      <c r="H523" t="n">
        <v>0</v>
      </c>
      <c r="I523" t="n">
        <v>0</v>
      </c>
      <c r="J523" t="n">
        <v>0</v>
      </c>
      <c r="K523" t="n">
        <v>0</v>
      </c>
      <c r="L523" t="n">
        <v>0</v>
      </c>
      <c r="M523" t="n">
        <v>0</v>
      </c>
      <c r="N523" t="n">
        <v>0</v>
      </c>
      <c r="O523" t="n">
        <v>0</v>
      </c>
      <c r="P523" t="n">
        <v>0</v>
      </c>
      <c r="Q523" t="n">
        <v>0</v>
      </c>
      <c r="R523" s="2" t="inlineStr"/>
    </row>
    <row r="524" ht="15" customHeight="1">
      <c r="A524" t="inlineStr">
        <is>
          <t>A 4661-2024</t>
        </is>
      </c>
      <c r="B524" s="1" t="n">
        <v>45328</v>
      </c>
      <c r="C524" s="1" t="n">
        <v>45829</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5399-2024</t>
        </is>
      </c>
      <c r="B525" s="1" t="n">
        <v>45331</v>
      </c>
      <c r="C525" s="1" t="n">
        <v>45829</v>
      </c>
      <c r="D525" t="inlineStr">
        <is>
          <t>VÄSTRA GÖTALANDS LÄN</t>
        </is>
      </c>
      <c r="E525" t="inlineStr">
        <is>
          <t>DALS-ED</t>
        </is>
      </c>
      <c r="G525" t="n">
        <v>2.2</v>
      </c>
      <c r="H525" t="n">
        <v>0</v>
      </c>
      <c r="I525" t="n">
        <v>0</v>
      </c>
      <c r="J525" t="n">
        <v>0</v>
      </c>
      <c r="K525" t="n">
        <v>0</v>
      </c>
      <c r="L525" t="n">
        <v>0</v>
      </c>
      <c r="M525" t="n">
        <v>0</v>
      </c>
      <c r="N525" t="n">
        <v>0</v>
      </c>
      <c r="O525" t="n">
        <v>0</v>
      </c>
      <c r="P525" t="n">
        <v>0</v>
      </c>
      <c r="Q525" t="n">
        <v>0</v>
      </c>
      <c r="R525" s="2" t="inlineStr"/>
    </row>
    <row r="526" ht="15" customHeight="1">
      <c r="A526" t="inlineStr">
        <is>
          <t>A 6817-2024</t>
        </is>
      </c>
      <c r="B526" s="1" t="n">
        <v>45342</v>
      </c>
      <c r="C526" s="1" t="n">
        <v>45829</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7415-2024</t>
        </is>
      </c>
      <c r="B527" s="1" t="n">
        <v>45345</v>
      </c>
      <c r="C527" s="1" t="n">
        <v>45829</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7482-2024</t>
        </is>
      </c>
      <c r="B528" s="1" t="n">
        <v>45346</v>
      </c>
      <c r="C528" s="1" t="n">
        <v>45829</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7527-2024</t>
        </is>
      </c>
      <c r="B529" s="1" t="n">
        <v>45348</v>
      </c>
      <c r="C529" s="1" t="n">
        <v>45829</v>
      </c>
      <c r="D529" t="inlineStr">
        <is>
          <t>VÄSTRA GÖTALANDS LÄN</t>
        </is>
      </c>
      <c r="E529" t="inlineStr">
        <is>
          <t>DALS-ED</t>
        </is>
      </c>
      <c r="G529" t="n">
        <v>8.1</v>
      </c>
      <c r="H529" t="n">
        <v>0</v>
      </c>
      <c r="I529" t="n">
        <v>0</v>
      </c>
      <c r="J529" t="n">
        <v>0</v>
      </c>
      <c r="K529" t="n">
        <v>0</v>
      </c>
      <c r="L529" t="n">
        <v>0</v>
      </c>
      <c r="M529" t="n">
        <v>0</v>
      </c>
      <c r="N529" t="n">
        <v>0</v>
      </c>
      <c r="O529" t="n">
        <v>0</v>
      </c>
      <c r="P529" t="n">
        <v>0</v>
      </c>
      <c r="Q529" t="n">
        <v>0</v>
      </c>
      <c r="R529" s="2" t="inlineStr"/>
    </row>
    <row r="530" ht="15" customHeight="1">
      <c r="A530" t="inlineStr">
        <is>
          <t>A 7522-2024</t>
        </is>
      </c>
      <c r="B530" s="1" t="n">
        <v>45348</v>
      </c>
      <c r="C530" s="1" t="n">
        <v>45829</v>
      </c>
      <c r="D530" t="inlineStr">
        <is>
          <t>VÄSTRA GÖTALANDS LÄN</t>
        </is>
      </c>
      <c r="E530" t="inlineStr">
        <is>
          <t>DALS-ED</t>
        </is>
      </c>
      <c r="G530" t="n">
        <v>0.6</v>
      </c>
      <c r="H530" t="n">
        <v>0</v>
      </c>
      <c r="I530" t="n">
        <v>0</v>
      </c>
      <c r="J530" t="n">
        <v>0</v>
      </c>
      <c r="K530" t="n">
        <v>0</v>
      </c>
      <c r="L530" t="n">
        <v>0</v>
      </c>
      <c r="M530" t="n">
        <v>0</v>
      </c>
      <c r="N530" t="n">
        <v>0</v>
      </c>
      <c r="O530" t="n">
        <v>0</v>
      </c>
      <c r="P530" t="n">
        <v>0</v>
      </c>
      <c r="Q530" t="n">
        <v>0</v>
      </c>
      <c r="R530" s="2" t="inlineStr"/>
    </row>
    <row r="531" ht="15" customHeight="1">
      <c r="A531" t="inlineStr">
        <is>
          <t>A 8180-2024</t>
        </is>
      </c>
      <c r="B531" s="1" t="n">
        <v>45351</v>
      </c>
      <c r="C531" s="1" t="n">
        <v>45829</v>
      </c>
      <c r="D531" t="inlineStr">
        <is>
          <t>VÄSTRA GÖTALANDS LÄN</t>
        </is>
      </c>
      <c r="E531" t="inlineStr">
        <is>
          <t>DALS-ED</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8176-2024</t>
        </is>
      </c>
      <c r="B532" s="1" t="n">
        <v>45351</v>
      </c>
      <c r="C532" s="1" t="n">
        <v>45829</v>
      </c>
      <c r="D532" t="inlineStr">
        <is>
          <t>VÄSTRA GÖTALANDS LÄN</t>
        </is>
      </c>
      <c r="E532" t="inlineStr">
        <is>
          <t>DALS-ED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8621-2024</t>
        </is>
      </c>
      <c r="B533" s="1" t="n">
        <v>45355</v>
      </c>
      <c r="C533" s="1" t="n">
        <v>45829</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9292-2024</t>
        </is>
      </c>
      <c r="B534" s="1" t="n">
        <v>45358</v>
      </c>
      <c r="C534" s="1" t="n">
        <v>45829</v>
      </c>
      <c r="D534" t="inlineStr">
        <is>
          <t>VÄSTRA GÖTALANDS LÄN</t>
        </is>
      </c>
      <c r="E534" t="inlineStr">
        <is>
          <t>DALS-ED</t>
        </is>
      </c>
      <c r="F534" t="inlineStr">
        <is>
          <t>Övriga Aktiebolag</t>
        </is>
      </c>
      <c r="G534" t="n">
        <v>26.4</v>
      </c>
      <c r="H534" t="n">
        <v>0</v>
      </c>
      <c r="I534" t="n">
        <v>0</v>
      </c>
      <c r="J534" t="n">
        <v>0</v>
      </c>
      <c r="K534" t="n">
        <v>0</v>
      </c>
      <c r="L534" t="n">
        <v>0</v>
      </c>
      <c r="M534" t="n">
        <v>0</v>
      </c>
      <c r="N534" t="n">
        <v>0</v>
      </c>
      <c r="O534" t="n">
        <v>0</v>
      </c>
      <c r="P534" t="n">
        <v>0</v>
      </c>
      <c r="Q534" t="n">
        <v>0</v>
      </c>
      <c r="R534" s="2" t="inlineStr"/>
    </row>
    <row r="535" ht="15" customHeight="1">
      <c r="A535" t="inlineStr">
        <is>
          <t>A 9382-2024</t>
        </is>
      </c>
      <c r="B535" s="1" t="n">
        <v>45359</v>
      </c>
      <c r="C535" s="1" t="n">
        <v>45829</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10452-2024</t>
        </is>
      </c>
      <c r="B536" s="1" t="n">
        <v>45366</v>
      </c>
      <c r="C536" s="1" t="n">
        <v>45829</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12275-2024</t>
        </is>
      </c>
      <c r="B537" s="1" t="n">
        <v>45378</v>
      </c>
      <c r="C537" s="1" t="n">
        <v>45829</v>
      </c>
      <c r="D537" t="inlineStr">
        <is>
          <t>VÄSTRA GÖTALANDS LÄN</t>
        </is>
      </c>
      <c r="E537" t="inlineStr">
        <is>
          <t>DALS-ED</t>
        </is>
      </c>
      <c r="G537" t="n">
        <v>0.8</v>
      </c>
      <c r="H537" t="n">
        <v>0</v>
      </c>
      <c r="I537" t="n">
        <v>0</v>
      </c>
      <c r="J537" t="n">
        <v>0</v>
      </c>
      <c r="K537" t="n">
        <v>0</v>
      </c>
      <c r="L537" t="n">
        <v>0</v>
      </c>
      <c r="M537" t="n">
        <v>0</v>
      </c>
      <c r="N537" t="n">
        <v>0</v>
      </c>
      <c r="O537" t="n">
        <v>0</v>
      </c>
      <c r="P537" t="n">
        <v>0</v>
      </c>
      <c r="Q537" t="n">
        <v>0</v>
      </c>
      <c r="R537" s="2" t="inlineStr"/>
    </row>
    <row r="538" ht="15" customHeight="1">
      <c r="A538" t="inlineStr">
        <is>
          <t>A 12844-2024</t>
        </is>
      </c>
      <c r="B538" s="1" t="n">
        <v>45384</v>
      </c>
      <c r="C538" s="1" t="n">
        <v>45829</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12693-2024</t>
        </is>
      </c>
      <c r="B539" s="1" t="n">
        <v>45384</v>
      </c>
      <c r="C539" s="1" t="n">
        <v>45829</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12972-2024</t>
        </is>
      </c>
      <c r="B540" s="1" t="n">
        <v>45385</v>
      </c>
      <c r="C540" s="1" t="n">
        <v>45829</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13112-2024</t>
        </is>
      </c>
      <c r="B541" s="1" t="n">
        <v>45385</v>
      </c>
      <c r="C541" s="1" t="n">
        <v>45829</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13489-2024</t>
        </is>
      </c>
      <c r="B542" s="1" t="n">
        <v>45387</v>
      </c>
      <c r="C542" s="1" t="n">
        <v>45829</v>
      </c>
      <c r="D542" t="inlineStr">
        <is>
          <t>VÄSTRA GÖTALANDS LÄN</t>
        </is>
      </c>
      <c r="E542" t="inlineStr">
        <is>
          <t>DALS-ED</t>
        </is>
      </c>
      <c r="G542" t="n">
        <v>5</v>
      </c>
      <c r="H542" t="n">
        <v>0</v>
      </c>
      <c r="I542" t="n">
        <v>0</v>
      </c>
      <c r="J542" t="n">
        <v>0</v>
      </c>
      <c r="K542" t="n">
        <v>0</v>
      </c>
      <c r="L542" t="n">
        <v>0</v>
      </c>
      <c r="M542" t="n">
        <v>0</v>
      </c>
      <c r="N542" t="n">
        <v>0</v>
      </c>
      <c r="O542" t="n">
        <v>0</v>
      </c>
      <c r="P542" t="n">
        <v>0</v>
      </c>
      <c r="Q542" t="n">
        <v>0</v>
      </c>
      <c r="R542" s="2" t="inlineStr"/>
    </row>
    <row r="543" ht="15" customHeight="1">
      <c r="A543" t="inlineStr">
        <is>
          <t>A 13491-2024</t>
        </is>
      </c>
      <c r="B543" s="1" t="n">
        <v>45387</v>
      </c>
      <c r="C543" s="1" t="n">
        <v>45829</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14186-2024</t>
        </is>
      </c>
      <c r="B544" s="1" t="n">
        <v>45393</v>
      </c>
      <c r="C544" s="1" t="n">
        <v>45829</v>
      </c>
      <c r="D544" t="inlineStr">
        <is>
          <t>VÄSTRA GÖTALANDS LÄN</t>
        </is>
      </c>
      <c r="E544" t="inlineStr">
        <is>
          <t>DALS-ED</t>
        </is>
      </c>
      <c r="G544" t="n">
        <v>1.4</v>
      </c>
      <c r="H544" t="n">
        <v>0</v>
      </c>
      <c r="I544" t="n">
        <v>0</v>
      </c>
      <c r="J544" t="n">
        <v>0</v>
      </c>
      <c r="K544" t="n">
        <v>0</v>
      </c>
      <c r="L544" t="n">
        <v>0</v>
      </c>
      <c r="M544" t="n">
        <v>0</v>
      </c>
      <c r="N544" t="n">
        <v>0</v>
      </c>
      <c r="O544" t="n">
        <v>0</v>
      </c>
      <c r="P544" t="n">
        <v>0</v>
      </c>
      <c r="Q544" t="n">
        <v>0</v>
      </c>
      <c r="R544" s="2" t="inlineStr"/>
    </row>
    <row r="545" ht="15" customHeight="1">
      <c r="A545" t="inlineStr">
        <is>
          <t>A 14285-2024</t>
        </is>
      </c>
      <c r="B545" s="1" t="n">
        <v>45393</v>
      </c>
      <c r="C545" s="1" t="n">
        <v>45829</v>
      </c>
      <c r="D545" t="inlineStr">
        <is>
          <t>VÄSTRA GÖTALANDS LÄN</t>
        </is>
      </c>
      <c r="E545" t="inlineStr">
        <is>
          <t>DALS-ED</t>
        </is>
      </c>
      <c r="G545" t="n">
        <v>1.6</v>
      </c>
      <c r="H545" t="n">
        <v>0</v>
      </c>
      <c r="I545" t="n">
        <v>0</v>
      </c>
      <c r="J545" t="n">
        <v>0</v>
      </c>
      <c r="K545" t="n">
        <v>0</v>
      </c>
      <c r="L545" t="n">
        <v>0</v>
      </c>
      <c r="M545" t="n">
        <v>0</v>
      </c>
      <c r="N545" t="n">
        <v>0</v>
      </c>
      <c r="O545" t="n">
        <v>0</v>
      </c>
      <c r="P545" t="n">
        <v>0</v>
      </c>
      <c r="Q545" t="n">
        <v>0</v>
      </c>
      <c r="R545" s="2" t="inlineStr"/>
    </row>
    <row r="546" ht="15" customHeight="1">
      <c r="A546" t="inlineStr">
        <is>
          <t>A 14289-2024</t>
        </is>
      </c>
      <c r="B546" s="1" t="n">
        <v>45393</v>
      </c>
      <c r="C546" s="1" t="n">
        <v>45829</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14628-2024</t>
        </is>
      </c>
      <c r="B547" s="1" t="n">
        <v>45397</v>
      </c>
      <c r="C547" s="1" t="n">
        <v>45829</v>
      </c>
      <c r="D547" t="inlineStr">
        <is>
          <t>VÄSTRA GÖTALANDS LÄN</t>
        </is>
      </c>
      <c r="E547" t="inlineStr">
        <is>
          <t>DALS-ED</t>
        </is>
      </c>
      <c r="G547" t="n">
        <v>3.9</v>
      </c>
      <c r="H547" t="n">
        <v>0</v>
      </c>
      <c r="I547" t="n">
        <v>0</v>
      </c>
      <c r="J547" t="n">
        <v>0</v>
      </c>
      <c r="K547" t="n">
        <v>0</v>
      </c>
      <c r="L547" t="n">
        <v>0</v>
      </c>
      <c r="M547" t="n">
        <v>0</v>
      </c>
      <c r="N547" t="n">
        <v>0</v>
      </c>
      <c r="O547" t="n">
        <v>0</v>
      </c>
      <c r="P547" t="n">
        <v>0</v>
      </c>
      <c r="Q547" t="n">
        <v>0</v>
      </c>
      <c r="R547" s="2" t="inlineStr"/>
    </row>
    <row r="548" ht="15" customHeight="1">
      <c r="A548" t="inlineStr">
        <is>
          <t>A 15125-2024</t>
        </is>
      </c>
      <c r="B548" s="1" t="n">
        <v>45399</v>
      </c>
      <c r="C548" s="1" t="n">
        <v>45829</v>
      </c>
      <c r="D548" t="inlineStr">
        <is>
          <t>VÄSTRA GÖTALANDS LÄN</t>
        </is>
      </c>
      <c r="E548" t="inlineStr">
        <is>
          <t>DALS-ED</t>
        </is>
      </c>
      <c r="G548" t="n">
        <v>2.6</v>
      </c>
      <c r="H548" t="n">
        <v>0</v>
      </c>
      <c r="I548" t="n">
        <v>0</v>
      </c>
      <c r="J548" t="n">
        <v>0</v>
      </c>
      <c r="K548" t="n">
        <v>0</v>
      </c>
      <c r="L548" t="n">
        <v>0</v>
      </c>
      <c r="M548" t="n">
        <v>0</v>
      </c>
      <c r="N548" t="n">
        <v>0</v>
      </c>
      <c r="O548" t="n">
        <v>0</v>
      </c>
      <c r="P548" t="n">
        <v>0</v>
      </c>
      <c r="Q548" t="n">
        <v>0</v>
      </c>
      <c r="R548" s="2" t="inlineStr"/>
    </row>
    <row r="549" ht="15" customHeight="1">
      <c r="A549" t="inlineStr">
        <is>
          <t>A 14991-2024</t>
        </is>
      </c>
      <c r="B549" s="1" t="n">
        <v>45399</v>
      </c>
      <c r="C549" s="1" t="n">
        <v>45829</v>
      </c>
      <c r="D549" t="inlineStr">
        <is>
          <t>VÄSTRA GÖTALANDS LÄN</t>
        </is>
      </c>
      <c r="E549" t="inlineStr">
        <is>
          <t>DALS-ED</t>
        </is>
      </c>
      <c r="G549" t="n">
        <v>1.5</v>
      </c>
      <c r="H549" t="n">
        <v>0</v>
      </c>
      <c r="I549" t="n">
        <v>0</v>
      </c>
      <c r="J549" t="n">
        <v>0</v>
      </c>
      <c r="K549" t="n">
        <v>0</v>
      </c>
      <c r="L549" t="n">
        <v>0</v>
      </c>
      <c r="M549" t="n">
        <v>0</v>
      </c>
      <c r="N549" t="n">
        <v>0</v>
      </c>
      <c r="O549" t="n">
        <v>0</v>
      </c>
      <c r="P549" t="n">
        <v>0</v>
      </c>
      <c r="Q549" t="n">
        <v>0</v>
      </c>
      <c r="R549" s="2" t="inlineStr"/>
    </row>
    <row r="550" ht="15" customHeight="1">
      <c r="A550" t="inlineStr">
        <is>
          <t>A 15331-2024</t>
        </is>
      </c>
      <c r="B550" s="1" t="n">
        <v>45400</v>
      </c>
      <c r="C550" s="1" t="n">
        <v>45829</v>
      </c>
      <c r="D550" t="inlineStr">
        <is>
          <t>VÄSTRA GÖTALANDS LÄN</t>
        </is>
      </c>
      <c r="E550" t="inlineStr">
        <is>
          <t>DALS-ED</t>
        </is>
      </c>
      <c r="G550" t="n">
        <v>5.3</v>
      </c>
      <c r="H550" t="n">
        <v>0</v>
      </c>
      <c r="I550" t="n">
        <v>0</v>
      </c>
      <c r="J550" t="n">
        <v>0</v>
      </c>
      <c r="K550" t="n">
        <v>0</v>
      </c>
      <c r="L550" t="n">
        <v>0</v>
      </c>
      <c r="M550" t="n">
        <v>0</v>
      </c>
      <c r="N550" t="n">
        <v>0</v>
      </c>
      <c r="O550" t="n">
        <v>0</v>
      </c>
      <c r="P550" t="n">
        <v>0</v>
      </c>
      <c r="Q550" t="n">
        <v>0</v>
      </c>
      <c r="R550" s="2" t="inlineStr"/>
    </row>
    <row r="551" ht="15" customHeight="1">
      <c r="A551" t="inlineStr">
        <is>
          <t>A 15363-2024</t>
        </is>
      </c>
      <c r="B551" s="1" t="n">
        <v>45400</v>
      </c>
      <c r="C551" s="1" t="n">
        <v>45829</v>
      </c>
      <c r="D551" t="inlineStr">
        <is>
          <t>VÄSTRA GÖTALANDS LÄN</t>
        </is>
      </c>
      <c r="E551" t="inlineStr">
        <is>
          <t>DALS-ED</t>
        </is>
      </c>
      <c r="G551" t="n">
        <v>1</v>
      </c>
      <c r="H551" t="n">
        <v>0</v>
      </c>
      <c r="I551" t="n">
        <v>0</v>
      </c>
      <c r="J551" t="n">
        <v>0</v>
      </c>
      <c r="K551" t="n">
        <v>0</v>
      </c>
      <c r="L551" t="n">
        <v>0</v>
      </c>
      <c r="M551" t="n">
        <v>0</v>
      </c>
      <c r="N551" t="n">
        <v>0</v>
      </c>
      <c r="O551" t="n">
        <v>0</v>
      </c>
      <c r="P551" t="n">
        <v>0</v>
      </c>
      <c r="Q551" t="n">
        <v>0</v>
      </c>
      <c r="R551" s="2" t="inlineStr"/>
    </row>
    <row r="552" ht="15" customHeight="1">
      <c r="A552" t="inlineStr">
        <is>
          <t>A 15626-2024</t>
        </is>
      </c>
      <c r="B552" s="1" t="n">
        <v>45402</v>
      </c>
      <c r="C552" s="1" t="n">
        <v>45829</v>
      </c>
      <c r="D552" t="inlineStr">
        <is>
          <t>VÄSTRA GÖTALANDS LÄN</t>
        </is>
      </c>
      <c r="E552" t="inlineStr">
        <is>
          <t>DALS-ED</t>
        </is>
      </c>
      <c r="G552" t="n">
        <v>9.9</v>
      </c>
      <c r="H552" t="n">
        <v>0</v>
      </c>
      <c r="I552" t="n">
        <v>0</v>
      </c>
      <c r="J552" t="n">
        <v>0</v>
      </c>
      <c r="K552" t="n">
        <v>0</v>
      </c>
      <c r="L552" t="n">
        <v>0</v>
      </c>
      <c r="M552" t="n">
        <v>0</v>
      </c>
      <c r="N552" t="n">
        <v>0</v>
      </c>
      <c r="O552" t="n">
        <v>0</v>
      </c>
      <c r="P552" t="n">
        <v>0</v>
      </c>
      <c r="Q552" t="n">
        <v>0</v>
      </c>
      <c r="R552" s="2" t="inlineStr"/>
    </row>
    <row r="553" ht="15" customHeight="1">
      <c r="A553" t="inlineStr">
        <is>
          <t>A 15849-2024</t>
        </is>
      </c>
      <c r="B553" s="1" t="n">
        <v>45404</v>
      </c>
      <c r="C553" s="1" t="n">
        <v>45829</v>
      </c>
      <c r="D553" t="inlineStr">
        <is>
          <t>VÄSTRA GÖTALANDS LÄN</t>
        </is>
      </c>
      <c r="E553" t="inlineStr">
        <is>
          <t>DALS-ED</t>
        </is>
      </c>
      <c r="G553" t="n">
        <v>1.3</v>
      </c>
      <c r="H553" t="n">
        <v>0</v>
      </c>
      <c r="I553" t="n">
        <v>0</v>
      </c>
      <c r="J553" t="n">
        <v>0</v>
      </c>
      <c r="K553" t="n">
        <v>0</v>
      </c>
      <c r="L553" t="n">
        <v>0</v>
      </c>
      <c r="M553" t="n">
        <v>0</v>
      </c>
      <c r="N553" t="n">
        <v>0</v>
      </c>
      <c r="O553" t="n">
        <v>0</v>
      </c>
      <c r="P553" t="n">
        <v>0</v>
      </c>
      <c r="Q553" t="n">
        <v>0</v>
      </c>
      <c r="R553" s="2" t="inlineStr"/>
    </row>
    <row r="554" ht="15" customHeight="1">
      <c r="A554" t="inlineStr">
        <is>
          <t>A 15841-2024</t>
        </is>
      </c>
      <c r="B554" s="1" t="n">
        <v>45404</v>
      </c>
      <c r="C554" s="1" t="n">
        <v>45829</v>
      </c>
      <c r="D554" t="inlineStr">
        <is>
          <t>VÄSTRA GÖTALANDS LÄN</t>
        </is>
      </c>
      <c r="E554" t="inlineStr">
        <is>
          <t>DALS-ED</t>
        </is>
      </c>
      <c r="G554" t="n">
        <v>4.4</v>
      </c>
      <c r="H554" t="n">
        <v>0</v>
      </c>
      <c r="I554" t="n">
        <v>0</v>
      </c>
      <c r="J554" t="n">
        <v>0</v>
      </c>
      <c r="K554" t="n">
        <v>0</v>
      </c>
      <c r="L554" t="n">
        <v>0</v>
      </c>
      <c r="M554" t="n">
        <v>0</v>
      </c>
      <c r="N554" t="n">
        <v>0</v>
      </c>
      <c r="O554" t="n">
        <v>0</v>
      </c>
      <c r="P554" t="n">
        <v>0</v>
      </c>
      <c r="Q554" t="n">
        <v>0</v>
      </c>
      <c r="R554" s="2" t="inlineStr"/>
    </row>
    <row r="555" ht="15" customHeight="1">
      <c r="A555" t="inlineStr">
        <is>
          <t>A 15880-2024</t>
        </is>
      </c>
      <c r="B555" s="1" t="n">
        <v>45405</v>
      </c>
      <c r="C555" s="1" t="n">
        <v>45829</v>
      </c>
      <c r="D555" t="inlineStr">
        <is>
          <t>VÄSTRA GÖTALANDS LÄN</t>
        </is>
      </c>
      <c r="E555" t="inlineStr">
        <is>
          <t>DALS-ED</t>
        </is>
      </c>
      <c r="G555" t="n">
        <v>2.3</v>
      </c>
      <c r="H555" t="n">
        <v>0</v>
      </c>
      <c r="I555" t="n">
        <v>0</v>
      </c>
      <c r="J555" t="n">
        <v>0</v>
      </c>
      <c r="K555" t="n">
        <v>0</v>
      </c>
      <c r="L555" t="n">
        <v>0</v>
      </c>
      <c r="M555" t="n">
        <v>0</v>
      </c>
      <c r="N555" t="n">
        <v>0</v>
      </c>
      <c r="O555" t="n">
        <v>0</v>
      </c>
      <c r="P555" t="n">
        <v>0</v>
      </c>
      <c r="Q555" t="n">
        <v>0</v>
      </c>
      <c r="R555" s="2" t="inlineStr"/>
    </row>
    <row r="556" ht="15" customHeight="1">
      <c r="A556" t="inlineStr">
        <is>
          <t>A 16273-2024</t>
        </is>
      </c>
      <c r="B556" s="1" t="n">
        <v>45407</v>
      </c>
      <c r="C556" s="1" t="n">
        <v>45829</v>
      </c>
      <c r="D556" t="inlineStr">
        <is>
          <t>VÄSTRA GÖTALANDS LÄN</t>
        </is>
      </c>
      <c r="E556" t="inlineStr">
        <is>
          <t>DALS-ED</t>
        </is>
      </c>
      <c r="G556" t="n">
        <v>6.4</v>
      </c>
      <c r="H556" t="n">
        <v>0</v>
      </c>
      <c r="I556" t="n">
        <v>0</v>
      </c>
      <c r="J556" t="n">
        <v>0</v>
      </c>
      <c r="K556" t="n">
        <v>0</v>
      </c>
      <c r="L556" t="n">
        <v>0</v>
      </c>
      <c r="M556" t="n">
        <v>0</v>
      </c>
      <c r="N556" t="n">
        <v>0</v>
      </c>
      <c r="O556" t="n">
        <v>0</v>
      </c>
      <c r="P556" t="n">
        <v>0</v>
      </c>
      <c r="Q556" t="n">
        <v>0</v>
      </c>
      <c r="R556" s="2" t="inlineStr"/>
    </row>
    <row r="557" ht="15" customHeight="1">
      <c r="A557" t="inlineStr">
        <is>
          <t>A 16294-2024</t>
        </is>
      </c>
      <c r="B557" s="1" t="n">
        <v>45407</v>
      </c>
      <c r="C557" s="1" t="n">
        <v>45829</v>
      </c>
      <c r="D557" t="inlineStr">
        <is>
          <t>VÄSTRA GÖTALANDS LÄN</t>
        </is>
      </c>
      <c r="E557" t="inlineStr">
        <is>
          <t>DALS-ED</t>
        </is>
      </c>
      <c r="G557" t="n">
        <v>11</v>
      </c>
      <c r="H557" t="n">
        <v>0</v>
      </c>
      <c r="I557" t="n">
        <v>0</v>
      </c>
      <c r="J557" t="n">
        <v>0</v>
      </c>
      <c r="K557" t="n">
        <v>0</v>
      </c>
      <c r="L557" t="n">
        <v>0</v>
      </c>
      <c r="M557" t="n">
        <v>0</v>
      </c>
      <c r="N557" t="n">
        <v>0</v>
      </c>
      <c r="O557" t="n">
        <v>0</v>
      </c>
      <c r="P557" t="n">
        <v>0</v>
      </c>
      <c r="Q557" t="n">
        <v>0</v>
      </c>
      <c r="R557" s="2" t="inlineStr"/>
    </row>
    <row r="558" ht="15" customHeight="1">
      <c r="A558" t="inlineStr">
        <is>
          <t>A 16299-2024</t>
        </is>
      </c>
      <c r="B558" s="1" t="n">
        <v>45407</v>
      </c>
      <c r="C558" s="1" t="n">
        <v>45829</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16300-2024</t>
        </is>
      </c>
      <c r="B559" s="1" t="n">
        <v>45407</v>
      </c>
      <c r="C559" s="1" t="n">
        <v>45829</v>
      </c>
      <c r="D559" t="inlineStr">
        <is>
          <t>VÄSTRA GÖTALANDS LÄN</t>
        </is>
      </c>
      <c r="E559" t="inlineStr">
        <is>
          <t>DALS-ED</t>
        </is>
      </c>
      <c r="G559" t="n">
        <v>2.9</v>
      </c>
      <c r="H559" t="n">
        <v>0</v>
      </c>
      <c r="I559" t="n">
        <v>0</v>
      </c>
      <c r="J559" t="n">
        <v>0</v>
      </c>
      <c r="K559" t="n">
        <v>0</v>
      </c>
      <c r="L559" t="n">
        <v>0</v>
      </c>
      <c r="M559" t="n">
        <v>0</v>
      </c>
      <c r="N559" t="n">
        <v>0</v>
      </c>
      <c r="O559" t="n">
        <v>0</v>
      </c>
      <c r="P559" t="n">
        <v>0</v>
      </c>
      <c r="Q559" t="n">
        <v>0</v>
      </c>
      <c r="R559" s="2" t="inlineStr"/>
    </row>
    <row r="560" ht="15" customHeight="1">
      <c r="A560" t="inlineStr">
        <is>
          <t>A 16688-2024</t>
        </is>
      </c>
      <c r="B560" s="1" t="n">
        <v>45408</v>
      </c>
      <c r="C560" s="1" t="n">
        <v>45829</v>
      </c>
      <c r="D560" t="inlineStr">
        <is>
          <t>VÄSTRA GÖTALANDS LÄN</t>
        </is>
      </c>
      <c r="E560" t="inlineStr">
        <is>
          <t>DALS-ED</t>
        </is>
      </c>
      <c r="G560" t="n">
        <v>13.2</v>
      </c>
      <c r="H560" t="n">
        <v>0</v>
      </c>
      <c r="I560" t="n">
        <v>0</v>
      </c>
      <c r="J560" t="n">
        <v>0</v>
      </c>
      <c r="K560" t="n">
        <v>0</v>
      </c>
      <c r="L560" t="n">
        <v>0</v>
      </c>
      <c r="M560" t="n">
        <v>0</v>
      </c>
      <c r="N560" t="n">
        <v>0</v>
      </c>
      <c r="O560" t="n">
        <v>0</v>
      </c>
      <c r="P560" t="n">
        <v>0</v>
      </c>
      <c r="Q560" t="n">
        <v>0</v>
      </c>
      <c r="R560" s="2" t="inlineStr"/>
    </row>
    <row r="561" ht="15" customHeight="1">
      <c r="A561" t="inlineStr">
        <is>
          <t>A 17144-2024</t>
        </is>
      </c>
      <c r="B561" s="1" t="n">
        <v>45412</v>
      </c>
      <c r="C561" s="1" t="n">
        <v>45829</v>
      </c>
      <c r="D561" t="inlineStr">
        <is>
          <t>VÄSTRA GÖTALANDS LÄN</t>
        </is>
      </c>
      <c r="E561" t="inlineStr">
        <is>
          <t>DALS-ED</t>
        </is>
      </c>
      <c r="G561" t="n">
        <v>0.4</v>
      </c>
      <c r="H561" t="n">
        <v>0</v>
      </c>
      <c r="I561" t="n">
        <v>0</v>
      </c>
      <c r="J561" t="n">
        <v>0</v>
      </c>
      <c r="K561" t="n">
        <v>0</v>
      </c>
      <c r="L561" t="n">
        <v>0</v>
      </c>
      <c r="M561" t="n">
        <v>0</v>
      </c>
      <c r="N561" t="n">
        <v>0</v>
      </c>
      <c r="O561" t="n">
        <v>0</v>
      </c>
      <c r="P561" t="n">
        <v>0</v>
      </c>
      <c r="Q561" t="n">
        <v>0</v>
      </c>
      <c r="R561" s="2" t="inlineStr"/>
    </row>
    <row r="562" ht="15" customHeight="1">
      <c r="A562" t="inlineStr">
        <is>
          <t>A 17147-2024</t>
        </is>
      </c>
      <c r="B562" s="1" t="n">
        <v>45412</v>
      </c>
      <c r="C562" s="1" t="n">
        <v>45829</v>
      </c>
      <c r="D562" t="inlineStr">
        <is>
          <t>VÄSTRA GÖTALANDS LÄN</t>
        </is>
      </c>
      <c r="E562" t="inlineStr">
        <is>
          <t>DALS-ED</t>
        </is>
      </c>
      <c r="G562" t="n">
        <v>0.7</v>
      </c>
      <c r="H562" t="n">
        <v>0</v>
      </c>
      <c r="I562" t="n">
        <v>0</v>
      </c>
      <c r="J562" t="n">
        <v>0</v>
      </c>
      <c r="K562" t="n">
        <v>0</v>
      </c>
      <c r="L562" t="n">
        <v>0</v>
      </c>
      <c r="M562" t="n">
        <v>0</v>
      </c>
      <c r="N562" t="n">
        <v>0</v>
      </c>
      <c r="O562" t="n">
        <v>0</v>
      </c>
      <c r="P562" t="n">
        <v>0</v>
      </c>
      <c r="Q562" t="n">
        <v>0</v>
      </c>
      <c r="R562" s="2" t="inlineStr"/>
    </row>
    <row r="563" ht="15" customHeight="1">
      <c r="A563" t="inlineStr">
        <is>
          <t>A 17142-2024</t>
        </is>
      </c>
      <c r="B563" s="1" t="n">
        <v>45412</v>
      </c>
      <c r="C563" s="1" t="n">
        <v>45829</v>
      </c>
      <c r="D563" t="inlineStr">
        <is>
          <t>VÄSTRA GÖTALANDS LÄN</t>
        </is>
      </c>
      <c r="E563" t="inlineStr">
        <is>
          <t>DALS-ED</t>
        </is>
      </c>
      <c r="G563" t="n">
        <v>2</v>
      </c>
      <c r="H563" t="n">
        <v>0</v>
      </c>
      <c r="I563" t="n">
        <v>0</v>
      </c>
      <c r="J563" t="n">
        <v>0</v>
      </c>
      <c r="K563" t="n">
        <v>0</v>
      </c>
      <c r="L563" t="n">
        <v>0</v>
      </c>
      <c r="M563" t="n">
        <v>0</v>
      </c>
      <c r="N563" t="n">
        <v>0</v>
      </c>
      <c r="O563" t="n">
        <v>0</v>
      </c>
      <c r="P563" t="n">
        <v>0</v>
      </c>
      <c r="Q563" t="n">
        <v>0</v>
      </c>
      <c r="R563" s="2" t="inlineStr"/>
    </row>
    <row r="564" ht="15" customHeight="1">
      <c r="A564" t="inlineStr">
        <is>
          <t>A 17503-2024</t>
        </is>
      </c>
      <c r="B564" s="1" t="n">
        <v>45415</v>
      </c>
      <c r="C564" s="1" t="n">
        <v>45829</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17502-2024</t>
        </is>
      </c>
      <c r="B565" s="1" t="n">
        <v>45415</v>
      </c>
      <c r="C565" s="1" t="n">
        <v>45829</v>
      </c>
      <c r="D565" t="inlineStr">
        <is>
          <t>VÄSTRA GÖTALANDS LÄN</t>
        </is>
      </c>
      <c r="E565" t="inlineStr">
        <is>
          <t>DALS-ED</t>
        </is>
      </c>
      <c r="G565" t="n">
        <v>4.1</v>
      </c>
      <c r="H565" t="n">
        <v>0</v>
      </c>
      <c r="I565" t="n">
        <v>0</v>
      </c>
      <c r="J565" t="n">
        <v>0</v>
      </c>
      <c r="K565" t="n">
        <v>0</v>
      </c>
      <c r="L565" t="n">
        <v>0</v>
      </c>
      <c r="M565" t="n">
        <v>0</v>
      </c>
      <c r="N565" t="n">
        <v>0</v>
      </c>
      <c r="O565" t="n">
        <v>0</v>
      </c>
      <c r="P565" t="n">
        <v>0</v>
      </c>
      <c r="Q565" t="n">
        <v>0</v>
      </c>
      <c r="R565" s="2" t="inlineStr"/>
    </row>
    <row r="566" ht="15" customHeight="1">
      <c r="A566" t="inlineStr">
        <is>
          <t>A 17643-2024</t>
        </is>
      </c>
      <c r="B566" s="1" t="n">
        <v>45418</v>
      </c>
      <c r="C566" s="1" t="n">
        <v>45829</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17720-2024</t>
        </is>
      </c>
      <c r="B567" s="1" t="n">
        <v>45418</v>
      </c>
      <c r="C567" s="1" t="n">
        <v>45829</v>
      </c>
      <c r="D567" t="inlineStr">
        <is>
          <t>VÄSTRA GÖTALANDS LÄN</t>
        </is>
      </c>
      <c r="E567" t="inlineStr">
        <is>
          <t>DALS-ED</t>
        </is>
      </c>
      <c r="G567" t="n">
        <v>2.1</v>
      </c>
      <c r="H567" t="n">
        <v>0</v>
      </c>
      <c r="I567" t="n">
        <v>0</v>
      </c>
      <c r="J567" t="n">
        <v>0</v>
      </c>
      <c r="K567" t="n">
        <v>0</v>
      </c>
      <c r="L567" t="n">
        <v>0</v>
      </c>
      <c r="M567" t="n">
        <v>0</v>
      </c>
      <c r="N567" t="n">
        <v>0</v>
      </c>
      <c r="O567" t="n">
        <v>0</v>
      </c>
      <c r="P567" t="n">
        <v>0</v>
      </c>
      <c r="Q567" t="n">
        <v>0</v>
      </c>
      <c r="R567" s="2" t="inlineStr"/>
    </row>
    <row r="568" ht="15" customHeight="1">
      <c r="A568" t="inlineStr">
        <is>
          <t>A 17976-2024</t>
        </is>
      </c>
      <c r="B568" s="1" t="n">
        <v>45419</v>
      </c>
      <c r="C568" s="1" t="n">
        <v>45829</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18435-2024</t>
        </is>
      </c>
      <c r="B569" s="1" t="n">
        <v>45425</v>
      </c>
      <c r="C569" s="1" t="n">
        <v>45829</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18453-2024</t>
        </is>
      </c>
      <c r="B570" s="1" t="n">
        <v>45425</v>
      </c>
      <c r="C570" s="1" t="n">
        <v>45829</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19171-2024</t>
        </is>
      </c>
      <c r="B571" s="1" t="n">
        <v>45428</v>
      </c>
      <c r="C571" s="1" t="n">
        <v>45829</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19372-2024</t>
        </is>
      </c>
      <c r="B572" s="1" t="n">
        <v>45429</v>
      </c>
      <c r="C572" s="1" t="n">
        <v>45829</v>
      </c>
      <c r="D572" t="inlineStr">
        <is>
          <t>VÄSTRA GÖTALANDS LÄN</t>
        </is>
      </c>
      <c r="E572" t="inlineStr">
        <is>
          <t>DALS-ED</t>
        </is>
      </c>
      <c r="G572" t="n">
        <v>3.1</v>
      </c>
      <c r="H572" t="n">
        <v>0</v>
      </c>
      <c r="I572" t="n">
        <v>0</v>
      </c>
      <c r="J572" t="n">
        <v>0</v>
      </c>
      <c r="K572" t="n">
        <v>0</v>
      </c>
      <c r="L572" t="n">
        <v>0</v>
      </c>
      <c r="M572" t="n">
        <v>0</v>
      </c>
      <c r="N572" t="n">
        <v>0</v>
      </c>
      <c r="O572" t="n">
        <v>0</v>
      </c>
      <c r="P572" t="n">
        <v>0</v>
      </c>
      <c r="Q572" t="n">
        <v>0</v>
      </c>
      <c r="R572" s="2" t="inlineStr"/>
    </row>
    <row r="573" ht="15" customHeight="1">
      <c r="A573" t="inlineStr">
        <is>
          <t>A 19559-2024</t>
        </is>
      </c>
      <c r="B573" s="1" t="n">
        <v>45429</v>
      </c>
      <c r="C573" s="1" t="n">
        <v>45829</v>
      </c>
      <c r="D573" t="inlineStr">
        <is>
          <t>VÄSTRA GÖTALANDS LÄN</t>
        </is>
      </c>
      <c r="E573" t="inlineStr">
        <is>
          <t>DALS-ED</t>
        </is>
      </c>
      <c r="G573" t="n">
        <v>1.3</v>
      </c>
      <c r="H573" t="n">
        <v>0</v>
      </c>
      <c r="I573" t="n">
        <v>0</v>
      </c>
      <c r="J573" t="n">
        <v>0</v>
      </c>
      <c r="K573" t="n">
        <v>0</v>
      </c>
      <c r="L573" t="n">
        <v>0</v>
      </c>
      <c r="M573" t="n">
        <v>0</v>
      </c>
      <c r="N573" t="n">
        <v>0</v>
      </c>
      <c r="O573" t="n">
        <v>0</v>
      </c>
      <c r="P573" t="n">
        <v>0</v>
      </c>
      <c r="Q573" t="n">
        <v>0</v>
      </c>
      <c r="R573" s="2" t="inlineStr"/>
    </row>
    <row r="574" ht="15" customHeight="1">
      <c r="A574" t="inlineStr">
        <is>
          <t>A 21185-2024</t>
        </is>
      </c>
      <c r="B574" s="1" t="n">
        <v>45440</v>
      </c>
      <c r="C574" s="1" t="n">
        <v>45829</v>
      </c>
      <c r="D574" t="inlineStr">
        <is>
          <t>VÄSTRA GÖTALANDS LÄN</t>
        </is>
      </c>
      <c r="E574" t="inlineStr">
        <is>
          <t>DALS-ED</t>
        </is>
      </c>
      <c r="G574" t="n">
        <v>5.8</v>
      </c>
      <c r="H574" t="n">
        <v>0</v>
      </c>
      <c r="I574" t="n">
        <v>0</v>
      </c>
      <c r="J574" t="n">
        <v>0</v>
      </c>
      <c r="K574" t="n">
        <v>0</v>
      </c>
      <c r="L574" t="n">
        <v>0</v>
      </c>
      <c r="M574" t="n">
        <v>0</v>
      </c>
      <c r="N574" t="n">
        <v>0</v>
      </c>
      <c r="O574" t="n">
        <v>0</v>
      </c>
      <c r="P574" t="n">
        <v>0</v>
      </c>
      <c r="Q574" t="n">
        <v>0</v>
      </c>
      <c r="R574" s="2" t="inlineStr"/>
    </row>
    <row r="575" ht="15" customHeight="1">
      <c r="A575" t="inlineStr">
        <is>
          <t>A 21148-2024</t>
        </is>
      </c>
      <c r="B575" s="1" t="n">
        <v>45440</v>
      </c>
      <c r="C575" s="1" t="n">
        <v>45829</v>
      </c>
      <c r="D575" t="inlineStr">
        <is>
          <t>VÄSTRA GÖTALANDS LÄN</t>
        </is>
      </c>
      <c r="E575" t="inlineStr">
        <is>
          <t>DALS-ED</t>
        </is>
      </c>
      <c r="G575" t="n">
        <v>1</v>
      </c>
      <c r="H575" t="n">
        <v>0</v>
      </c>
      <c r="I575" t="n">
        <v>0</v>
      </c>
      <c r="J575" t="n">
        <v>0</v>
      </c>
      <c r="K575" t="n">
        <v>0</v>
      </c>
      <c r="L575" t="n">
        <v>0</v>
      </c>
      <c r="M575" t="n">
        <v>0</v>
      </c>
      <c r="N575" t="n">
        <v>0</v>
      </c>
      <c r="O575" t="n">
        <v>0</v>
      </c>
      <c r="P575" t="n">
        <v>0</v>
      </c>
      <c r="Q575" t="n">
        <v>0</v>
      </c>
      <c r="R575" s="2" t="inlineStr"/>
    </row>
    <row r="576" ht="15" customHeight="1">
      <c r="A576" t="inlineStr">
        <is>
          <t>A 21140-2024</t>
        </is>
      </c>
      <c r="B576" s="1" t="n">
        <v>45440</v>
      </c>
      <c r="C576" s="1" t="n">
        <v>45829</v>
      </c>
      <c r="D576" t="inlineStr">
        <is>
          <t>VÄSTRA GÖTALANDS LÄN</t>
        </is>
      </c>
      <c r="E576" t="inlineStr">
        <is>
          <t>DALS-ED</t>
        </is>
      </c>
      <c r="G576" t="n">
        <v>0.7</v>
      </c>
      <c r="H576" t="n">
        <v>0</v>
      </c>
      <c r="I576" t="n">
        <v>0</v>
      </c>
      <c r="J576" t="n">
        <v>0</v>
      </c>
      <c r="K576" t="n">
        <v>0</v>
      </c>
      <c r="L576" t="n">
        <v>0</v>
      </c>
      <c r="M576" t="n">
        <v>0</v>
      </c>
      <c r="N576" t="n">
        <v>0</v>
      </c>
      <c r="O576" t="n">
        <v>0</v>
      </c>
      <c r="P576" t="n">
        <v>0</v>
      </c>
      <c r="Q576" t="n">
        <v>0</v>
      </c>
      <c r="R576" s="2" t="inlineStr"/>
    </row>
    <row r="577" ht="15" customHeight="1">
      <c r="A577" t="inlineStr">
        <is>
          <t>A 22448-2024</t>
        </is>
      </c>
      <c r="B577" s="1" t="n">
        <v>45447</v>
      </c>
      <c r="C577" s="1" t="n">
        <v>45829</v>
      </c>
      <c r="D577" t="inlineStr">
        <is>
          <t>VÄSTRA GÖTALANDS LÄN</t>
        </is>
      </c>
      <c r="E577" t="inlineStr">
        <is>
          <t>DALS-ED</t>
        </is>
      </c>
      <c r="G577" t="n">
        <v>0.5</v>
      </c>
      <c r="H577" t="n">
        <v>0</v>
      </c>
      <c r="I577" t="n">
        <v>0</v>
      </c>
      <c r="J577" t="n">
        <v>0</v>
      </c>
      <c r="K577" t="n">
        <v>0</v>
      </c>
      <c r="L577" t="n">
        <v>0</v>
      </c>
      <c r="M577" t="n">
        <v>0</v>
      </c>
      <c r="N577" t="n">
        <v>0</v>
      </c>
      <c r="O577" t="n">
        <v>0</v>
      </c>
      <c r="P577" t="n">
        <v>0</v>
      </c>
      <c r="Q577" t="n">
        <v>0</v>
      </c>
      <c r="R577" s="2" t="inlineStr"/>
    </row>
    <row r="578" ht="15" customHeight="1">
      <c r="A578" t="inlineStr">
        <is>
          <t>A 23614-2024</t>
        </is>
      </c>
      <c r="B578" s="1" t="n">
        <v>45454</v>
      </c>
      <c r="C578" s="1" t="n">
        <v>45829</v>
      </c>
      <c r="D578" t="inlineStr">
        <is>
          <t>VÄSTRA GÖTALANDS LÄN</t>
        </is>
      </c>
      <c r="E578" t="inlineStr">
        <is>
          <t>DALS-ED</t>
        </is>
      </c>
      <c r="G578" t="n">
        <v>2.9</v>
      </c>
      <c r="H578" t="n">
        <v>0</v>
      </c>
      <c r="I578" t="n">
        <v>0</v>
      </c>
      <c r="J578" t="n">
        <v>0</v>
      </c>
      <c r="K578" t="n">
        <v>0</v>
      </c>
      <c r="L578" t="n">
        <v>0</v>
      </c>
      <c r="M578" t="n">
        <v>0</v>
      </c>
      <c r="N578" t="n">
        <v>0</v>
      </c>
      <c r="O578" t="n">
        <v>0</v>
      </c>
      <c r="P578" t="n">
        <v>0</v>
      </c>
      <c r="Q578" t="n">
        <v>0</v>
      </c>
      <c r="R578" s="2" t="inlineStr"/>
    </row>
    <row r="579" ht="15" customHeight="1">
      <c r="A579" t="inlineStr">
        <is>
          <t>A 23679-2024</t>
        </is>
      </c>
      <c r="B579" s="1" t="n">
        <v>45454</v>
      </c>
      <c r="C579" s="1" t="n">
        <v>45829</v>
      </c>
      <c r="D579" t="inlineStr">
        <is>
          <t>VÄSTRA GÖTALANDS LÄN</t>
        </is>
      </c>
      <c r="E579" t="inlineStr">
        <is>
          <t>DALS-ED</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23695-2024</t>
        </is>
      </c>
      <c r="B580" s="1" t="n">
        <v>45454</v>
      </c>
      <c r="C580" s="1" t="n">
        <v>45829</v>
      </c>
      <c r="D580" t="inlineStr">
        <is>
          <t>VÄSTRA GÖTALANDS LÄN</t>
        </is>
      </c>
      <c r="E580" t="inlineStr">
        <is>
          <t>DALS-ED</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23863-2024</t>
        </is>
      </c>
      <c r="B581" s="1" t="n">
        <v>45455</v>
      </c>
      <c r="C581" s="1" t="n">
        <v>45829</v>
      </c>
      <c r="D581" t="inlineStr">
        <is>
          <t>VÄSTRA GÖTALANDS LÄN</t>
        </is>
      </c>
      <c r="E581" t="inlineStr">
        <is>
          <t>DALS-ED</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24482-2024</t>
        </is>
      </c>
      <c r="B582" s="1" t="n">
        <v>45459</v>
      </c>
      <c r="C582" s="1" t="n">
        <v>45829</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24650-2024</t>
        </is>
      </c>
      <c r="B583" s="1" t="n">
        <v>45460</v>
      </c>
      <c r="C583" s="1" t="n">
        <v>45829</v>
      </c>
      <c r="D583" t="inlineStr">
        <is>
          <t>VÄSTRA GÖTALANDS LÄN</t>
        </is>
      </c>
      <c r="E583" t="inlineStr">
        <is>
          <t>DALS-ED</t>
        </is>
      </c>
      <c r="G583" t="n">
        <v>1.5</v>
      </c>
      <c r="H583" t="n">
        <v>0</v>
      </c>
      <c r="I583" t="n">
        <v>0</v>
      </c>
      <c r="J583" t="n">
        <v>0</v>
      </c>
      <c r="K583" t="n">
        <v>0</v>
      </c>
      <c r="L583" t="n">
        <v>0</v>
      </c>
      <c r="M583" t="n">
        <v>0</v>
      </c>
      <c r="N583" t="n">
        <v>0</v>
      </c>
      <c r="O583" t="n">
        <v>0</v>
      </c>
      <c r="P583" t="n">
        <v>0</v>
      </c>
      <c r="Q583" t="n">
        <v>0</v>
      </c>
      <c r="R583" s="2" t="inlineStr"/>
    </row>
    <row r="584" ht="15" customHeight="1">
      <c r="A584" t="inlineStr">
        <is>
          <t>A 25591-2024</t>
        </is>
      </c>
      <c r="B584" s="1" t="n">
        <v>45463</v>
      </c>
      <c r="C584" s="1" t="n">
        <v>45829</v>
      </c>
      <c r="D584" t="inlineStr">
        <is>
          <t>VÄSTRA GÖTALANDS LÄN</t>
        </is>
      </c>
      <c r="E584" t="inlineStr">
        <is>
          <t>DALS-ED</t>
        </is>
      </c>
      <c r="G584" t="n">
        <v>3.5</v>
      </c>
      <c r="H584" t="n">
        <v>0</v>
      </c>
      <c r="I584" t="n">
        <v>0</v>
      </c>
      <c r="J584" t="n">
        <v>0</v>
      </c>
      <c r="K584" t="n">
        <v>0</v>
      </c>
      <c r="L584" t="n">
        <v>0</v>
      </c>
      <c r="M584" t="n">
        <v>0</v>
      </c>
      <c r="N584" t="n">
        <v>0</v>
      </c>
      <c r="O584" t="n">
        <v>0</v>
      </c>
      <c r="P584" t="n">
        <v>0</v>
      </c>
      <c r="Q584" t="n">
        <v>0</v>
      </c>
      <c r="R584" s="2" t="inlineStr"/>
    </row>
    <row r="585" ht="15" customHeight="1">
      <c r="A585" t="inlineStr">
        <is>
          <t>A 25924-2024</t>
        </is>
      </c>
      <c r="B585" s="1" t="n">
        <v>45467</v>
      </c>
      <c r="C585" s="1" t="n">
        <v>45829</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26199-2024</t>
        </is>
      </c>
      <c r="B586" s="1" t="n">
        <v>45468</v>
      </c>
      <c r="C586" s="1" t="n">
        <v>45829</v>
      </c>
      <c r="D586" t="inlineStr">
        <is>
          <t>VÄSTRA GÖTALANDS LÄN</t>
        </is>
      </c>
      <c r="E586" t="inlineStr">
        <is>
          <t>DALS-ED</t>
        </is>
      </c>
      <c r="G586" t="n">
        <v>11.6</v>
      </c>
      <c r="H586" t="n">
        <v>0</v>
      </c>
      <c r="I586" t="n">
        <v>0</v>
      </c>
      <c r="J586" t="n">
        <v>0</v>
      </c>
      <c r="K586" t="n">
        <v>0</v>
      </c>
      <c r="L586" t="n">
        <v>0</v>
      </c>
      <c r="M586" t="n">
        <v>0</v>
      </c>
      <c r="N586" t="n">
        <v>0</v>
      </c>
      <c r="O586" t="n">
        <v>0</v>
      </c>
      <c r="P586" t="n">
        <v>0</v>
      </c>
      <c r="Q586" t="n">
        <v>0</v>
      </c>
      <c r="R586" s="2" t="inlineStr"/>
    </row>
    <row r="587" ht="15" customHeight="1">
      <c r="A587" t="inlineStr">
        <is>
          <t>A 26864-2024</t>
        </is>
      </c>
      <c r="B587" s="1" t="n">
        <v>45470</v>
      </c>
      <c r="C587" s="1" t="n">
        <v>45829</v>
      </c>
      <c r="D587" t="inlineStr">
        <is>
          <t>VÄSTRA GÖTALANDS LÄN</t>
        </is>
      </c>
      <c r="E587" t="inlineStr">
        <is>
          <t>DALS-ED</t>
        </is>
      </c>
      <c r="G587" t="n">
        <v>2.6</v>
      </c>
      <c r="H587" t="n">
        <v>0</v>
      </c>
      <c r="I587" t="n">
        <v>0</v>
      </c>
      <c r="J587" t="n">
        <v>0</v>
      </c>
      <c r="K587" t="n">
        <v>0</v>
      </c>
      <c r="L587" t="n">
        <v>0</v>
      </c>
      <c r="M587" t="n">
        <v>0</v>
      </c>
      <c r="N587" t="n">
        <v>0</v>
      </c>
      <c r="O587" t="n">
        <v>0</v>
      </c>
      <c r="P587" t="n">
        <v>0</v>
      </c>
      <c r="Q587" t="n">
        <v>0</v>
      </c>
      <c r="R587" s="2" t="inlineStr"/>
    </row>
    <row r="588" ht="15" customHeight="1">
      <c r="A588" t="inlineStr">
        <is>
          <t>A 27435-2024</t>
        </is>
      </c>
      <c r="B588" s="1" t="n">
        <v>45474</v>
      </c>
      <c r="C588" s="1" t="n">
        <v>45829</v>
      </c>
      <c r="D588" t="inlineStr">
        <is>
          <t>VÄSTRA GÖTALANDS LÄN</t>
        </is>
      </c>
      <c r="E588" t="inlineStr">
        <is>
          <t>DALS-ED</t>
        </is>
      </c>
      <c r="G588" t="n">
        <v>0.9</v>
      </c>
      <c r="H588" t="n">
        <v>0</v>
      </c>
      <c r="I588" t="n">
        <v>0</v>
      </c>
      <c r="J588" t="n">
        <v>0</v>
      </c>
      <c r="K588" t="n">
        <v>0</v>
      </c>
      <c r="L588" t="n">
        <v>0</v>
      </c>
      <c r="M588" t="n">
        <v>0</v>
      </c>
      <c r="N588" t="n">
        <v>0</v>
      </c>
      <c r="O588" t="n">
        <v>0</v>
      </c>
      <c r="P588" t="n">
        <v>0</v>
      </c>
      <c r="Q588" t="n">
        <v>0</v>
      </c>
      <c r="R588" s="2" t="inlineStr"/>
    </row>
    <row r="589" ht="15" customHeight="1">
      <c r="A589" t="inlineStr">
        <is>
          <t>A 27846-2024</t>
        </is>
      </c>
      <c r="B589" s="1" t="n">
        <v>45475</v>
      </c>
      <c r="C589" s="1" t="n">
        <v>45829</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27876-2024</t>
        </is>
      </c>
      <c r="B590" s="1" t="n">
        <v>45475</v>
      </c>
      <c r="C590" s="1" t="n">
        <v>45829</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27877-2024</t>
        </is>
      </c>
      <c r="B591" s="1" t="n">
        <v>45475</v>
      </c>
      <c r="C591" s="1" t="n">
        <v>45829</v>
      </c>
      <c r="D591" t="inlineStr">
        <is>
          <t>VÄSTRA GÖTALANDS LÄN</t>
        </is>
      </c>
      <c r="E591" t="inlineStr">
        <is>
          <t>DALS-ED</t>
        </is>
      </c>
      <c r="G591" t="n">
        <v>0.7</v>
      </c>
      <c r="H591" t="n">
        <v>0</v>
      </c>
      <c r="I591" t="n">
        <v>0</v>
      </c>
      <c r="J591" t="n">
        <v>0</v>
      </c>
      <c r="K591" t="n">
        <v>0</v>
      </c>
      <c r="L591" t="n">
        <v>0</v>
      </c>
      <c r="M591" t="n">
        <v>0</v>
      </c>
      <c r="N591" t="n">
        <v>0</v>
      </c>
      <c r="O591" t="n">
        <v>0</v>
      </c>
      <c r="P591" t="n">
        <v>0</v>
      </c>
      <c r="Q591" t="n">
        <v>0</v>
      </c>
      <c r="R591" s="2" t="inlineStr"/>
    </row>
    <row r="592" ht="15" customHeight="1">
      <c r="A592" t="inlineStr">
        <is>
          <t>A 28588-2024</t>
        </is>
      </c>
      <c r="B592" s="1" t="n">
        <v>45478</v>
      </c>
      <c r="C592" s="1" t="n">
        <v>45829</v>
      </c>
      <c r="D592" t="inlineStr">
        <is>
          <t>VÄSTRA GÖTALANDS LÄN</t>
        </is>
      </c>
      <c r="E592" t="inlineStr">
        <is>
          <t>DALS-ED</t>
        </is>
      </c>
      <c r="G592" t="n">
        <v>5.1</v>
      </c>
      <c r="H592" t="n">
        <v>0</v>
      </c>
      <c r="I592" t="n">
        <v>0</v>
      </c>
      <c r="J592" t="n">
        <v>0</v>
      </c>
      <c r="K592" t="n">
        <v>0</v>
      </c>
      <c r="L592" t="n">
        <v>0</v>
      </c>
      <c r="M592" t="n">
        <v>0</v>
      </c>
      <c r="N592" t="n">
        <v>0</v>
      </c>
      <c r="O592" t="n">
        <v>0</v>
      </c>
      <c r="P592" t="n">
        <v>0</v>
      </c>
      <c r="Q592" t="n">
        <v>0</v>
      </c>
      <c r="R592" s="2" t="inlineStr"/>
    </row>
    <row r="593" ht="15" customHeight="1">
      <c r="A593" t="inlineStr">
        <is>
          <t>A 28714-2024</t>
        </is>
      </c>
      <c r="B593" s="1" t="n">
        <v>45478</v>
      </c>
      <c r="C593" s="1" t="n">
        <v>45829</v>
      </c>
      <c r="D593" t="inlineStr">
        <is>
          <t>VÄSTRA GÖTALANDS LÄN</t>
        </is>
      </c>
      <c r="E593" t="inlineStr">
        <is>
          <t>DALS-ED</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28998-2024</t>
        </is>
      </c>
      <c r="B594" s="1" t="n">
        <v>45481</v>
      </c>
      <c r="C594" s="1" t="n">
        <v>45829</v>
      </c>
      <c r="D594" t="inlineStr">
        <is>
          <t>VÄSTRA GÖTALANDS LÄN</t>
        </is>
      </c>
      <c r="E594" t="inlineStr">
        <is>
          <t>DALS-ED</t>
        </is>
      </c>
      <c r="G594" t="n">
        <v>3</v>
      </c>
      <c r="H594" t="n">
        <v>0</v>
      </c>
      <c r="I594" t="n">
        <v>0</v>
      </c>
      <c r="J594" t="n">
        <v>0</v>
      </c>
      <c r="K594" t="n">
        <v>0</v>
      </c>
      <c r="L594" t="n">
        <v>0</v>
      </c>
      <c r="M594" t="n">
        <v>0</v>
      </c>
      <c r="N594" t="n">
        <v>0</v>
      </c>
      <c r="O594" t="n">
        <v>0</v>
      </c>
      <c r="P594" t="n">
        <v>0</v>
      </c>
      <c r="Q594" t="n">
        <v>0</v>
      </c>
      <c r="R594" s="2" t="inlineStr"/>
    </row>
    <row r="595" ht="15" customHeight="1">
      <c r="A595" t="inlineStr">
        <is>
          <t>A 30001-2024</t>
        </is>
      </c>
      <c r="B595" s="1" t="n">
        <v>45488</v>
      </c>
      <c r="C595" s="1" t="n">
        <v>45829</v>
      </c>
      <c r="D595" t="inlineStr">
        <is>
          <t>VÄSTRA GÖTALANDS LÄN</t>
        </is>
      </c>
      <c r="E595" t="inlineStr">
        <is>
          <t>DALS-ED</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30909-2024</t>
        </is>
      </c>
      <c r="B596" s="1" t="n">
        <v>45498</v>
      </c>
      <c r="C596" s="1" t="n">
        <v>45829</v>
      </c>
      <c r="D596" t="inlineStr">
        <is>
          <t>VÄSTRA GÖTALANDS LÄN</t>
        </is>
      </c>
      <c r="E596" t="inlineStr">
        <is>
          <t>DALS-ED</t>
        </is>
      </c>
      <c r="G596" t="n">
        <v>1.3</v>
      </c>
      <c r="H596" t="n">
        <v>0</v>
      </c>
      <c r="I596" t="n">
        <v>0</v>
      </c>
      <c r="J596" t="n">
        <v>0</v>
      </c>
      <c r="K596" t="n">
        <v>0</v>
      </c>
      <c r="L596" t="n">
        <v>0</v>
      </c>
      <c r="M596" t="n">
        <v>0</v>
      </c>
      <c r="N596" t="n">
        <v>0</v>
      </c>
      <c r="O596" t="n">
        <v>0</v>
      </c>
      <c r="P596" t="n">
        <v>0</v>
      </c>
      <c r="Q596" t="n">
        <v>0</v>
      </c>
      <c r="R596" s="2" t="inlineStr"/>
    </row>
    <row r="597" ht="15" customHeight="1">
      <c r="A597" t="inlineStr">
        <is>
          <t>A 32700-2024</t>
        </is>
      </c>
      <c r="B597" s="1" t="n">
        <v>45516</v>
      </c>
      <c r="C597" s="1" t="n">
        <v>45829</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32766-2024</t>
        </is>
      </c>
      <c r="B598" s="1" t="n">
        <v>45516</v>
      </c>
      <c r="C598" s="1" t="n">
        <v>45829</v>
      </c>
      <c r="D598" t="inlineStr">
        <is>
          <t>VÄSTRA GÖTALANDS LÄN</t>
        </is>
      </c>
      <c r="E598" t="inlineStr">
        <is>
          <t>DALS-ED</t>
        </is>
      </c>
      <c r="G598" t="n">
        <v>1.5</v>
      </c>
      <c r="H598" t="n">
        <v>0</v>
      </c>
      <c r="I598" t="n">
        <v>0</v>
      </c>
      <c r="J598" t="n">
        <v>0</v>
      </c>
      <c r="K598" t="n">
        <v>0</v>
      </c>
      <c r="L598" t="n">
        <v>0</v>
      </c>
      <c r="M598" t="n">
        <v>0</v>
      </c>
      <c r="N598" t="n">
        <v>0</v>
      </c>
      <c r="O598" t="n">
        <v>0</v>
      </c>
      <c r="P598" t="n">
        <v>0</v>
      </c>
      <c r="Q598" t="n">
        <v>0</v>
      </c>
      <c r="R598" s="2" t="inlineStr"/>
    </row>
    <row r="599" ht="15" customHeight="1">
      <c r="A599" t="inlineStr">
        <is>
          <t>A 33290-2024</t>
        </is>
      </c>
      <c r="B599" s="1" t="n">
        <v>45518</v>
      </c>
      <c r="C599" s="1" t="n">
        <v>45829</v>
      </c>
      <c r="D599" t="inlineStr">
        <is>
          <t>VÄSTRA GÖTALANDS LÄN</t>
        </is>
      </c>
      <c r="E599" t="inlineStr">
        <is>
          <t>DALS-ED</t>
        </is>
      </c>
      <c r="G599" t="n">
        <v>1.1</v>
      </c>
      <c r="H599" t="n">
        <v>0</v>
      </c>
      <c r="I599" t="n">
        <v>0</v>
      </c>
      <c r="J599" t="n">
        <v>0</v>
      </c>
      <c r="K599" t="n">
        <v>0</v>
      </c>
      <c r="L599" t="n">
        <v>0</v>
      </c>
      <c r="M599" t="n">
        <v>0</v>
      </c>
      <c r="N599" t="n">
        <v>0</v>
      </c>
      <c r="O599" t="n">
        <v>0</v>
      </c>
      <c r="P599" t="n">
        <v>0</v>
      </c>
      <c r="Q599" t="n">
        <v>0</v>
      </c>
      <c r="R599" s="2" t="inlineStr"/>
    </row>
    <row r="600" ht="15" customHeight="1">
      <c r="A600" t="inlineStr">
        <is>
          <t>A 33596-2024</t>
        </is>
      </c>
      <c r="B600" s="1" t="n">
        <v>45520</v>
      </c>
      <c r="C600" s="1" t="n">
        <v>45829</v>
      </c>
      <c r="D600" t="inlineStr">
        <is>
          <t>VÄSTRA GÖTALANDS LÄN</t>
        </is>
      </c>
      <c r="E600" t="inlineStr">
        <is>
          <t>DALS-ED</t>
        </is>
      </c>
      <c r="G600" t="n">
        <v>5.8</v>
      </c>
      <c r="H600" t="n">
        <v>0</v>
      </c>
      <c r="I600" t="n">
        <v>0</v>
      </c>
      <c r="J600" t="n">
        <v>0</v>
      </c>
      <c r="K600" t="n">
        <v>0</v>
      </c>
      <c r="L600" t="n">
        <v>0</v>
      </c>
      <c r="M600" t="n">
        <v>0</v>
      </c>
      <c r="N600" t="n">
        <v>0</v>
      </c>
      <c r="O600" t="n">
        <v>0</v>
      </c>
      <c r="P600" t="n">
        <v>0</v>
      </c>
      <c r="Q600" t="n">
        <v>0</v>
      </c>
      <c r="R600" s="2" t="inlineStr"/>
    </row>
    <row r="601" ht="15" customHeight="1">
      <c r="A601" t="inlineStr">
        <is>
          <t>A 35295-2024</t>
        </is>
      </c>
      <c r="B601" s="1" t="n">
        <v>45530</v>
      </c>
      <c r="C601" s="1" t="n">
        <v>45829</v>
      </c>
      <c r="D601" t="inlineStr">
        <is>
          <t>VÄSTRA GÖTALANDS LÄN</t>
        </is>
      </c>
      <c r="E601" t="inlineStr">
        <is>
          <t>DALS-ED</t>
        </is>
      </c>
      <c r="G601" t="n">
        <v>0.3</v>
      </c>
      <c r="H601" t="n">
        <v>0</v>
      </c>
      <c r="I601" t="n">
        <v>0</v>
      </c>
      <c r="J601" t="n">
        <v>0</v>
      </c>
      <c r="K601" t="n">
        <v>0</v>
      </c>
      <c r="L601" t="n">
        <v>0</v>
      </c>
      <c r="M601" t="n">
        <v>0</v>
      </c>
      <c r="N601" t="n">
        <v>0</v>
      </c>
      <c r="O601" t="n">
        <v>0</v>
      </c>
      <c r="P601" t="n">
        <v>0</v>
      </c>
      <c r="Q601" t="n">
        <v>0</v>
      </c>
      <c r="R601" s="2" t="inlineStr"/>
    </row>
    <row r="602" ht="15" customHeight="1">
      <c r="A602" t="inlineStr">
        <is>
          <t>A 35466-2024</t>
        </is>
      </c>
      <c r="B602" s="1" t="n">
        <v>45531</v>
      </c>
      <c r="C602" s="1" t="n">
        <v>45829</v>
      </c>
      <c r="D602" t="inlineStr">
        <is>
          <t>VÄSTRA GÖTALANDS LÄN</t>
        </is>
      </c>
      <c r="E602" t="inlineStr">
        <is>
          <t>DALS-ED</t>
        </is>
      </c>
      <c r="G602" t="n">
        <v>4.7</v>
      </c>
      <c r="H602" t="n">
        <v>0</v>
      </c>
      <c r="I602" t="n">
        <v>0</v>
      </c>
      <c r="J602" t="n">
        <v>0</v>
      </c>
      <c r="K602" t="n">
        <v>0</v>
      </c>
      <c r="L602" t="n">
        <v>0</v>
      </c>
      <c r="M602" t="n">
        <v>0</v>
      </c>
      <c r="N602" t="n">
        <v>0</v>
      </c>
      <c r="O602" t="n">
        <v>0</v>
      </c>
      <c r="P602" t="n">
        <v>0</v>
      </c>
      <c r="Q602" t="n">
        <v>0</v>
      </c>
      <c r="R602" s="2" t="inlineStr"/>
    </row>
    <row r="603" ht="15" customHeight="1">
      <c r="A603" t="inlineStr">
        <is>
          <t>A 35484-2024</t>
        </is>
      </c>
      <c r="B603" s="1" t="n">
        <v>45531</v>
      </c>
      <c r="C603" s="1" t="n">
        <v>45829</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35868-2024</t>
        </is>
      </c>
      <c r="B604" s="1" t="n">
        <v>45533</v>
      </c>
      <c r="C604" s="1" t="n">
        <v>45829</v>
      </c>
      <c r="D604" t="inlineStr">
        <is>
          <t>VÄSTRA GÖTALANDS LÄN</t>
        </is>
      </c>
      <c r="E604" t="inlineStr">
        <is>
          <t>DALS-ED</t>
        </is>
      </c>
      <c r="F604" t="inlineStr">
        <is>
          <t>Kommuner</t>
        </is>
      </c>
      <c r="G604" t="n">
        <v>2.3</v>
      </c>
      <c r="H604" t="n">
        <v>0</v>
      </c>
      <c r="I604" t="n">
        <v>0</v>
      </c>
      <c r="J604" t="n">
        <v>0</v>
      </c>
      <c r="K604" t="n">
        <v>0</v>
      </c>
      <c r="L604" t="n">
        <v>0</v>
      </c>
      <c r="M604" t="n">
        <v>0</v>
      </c>
      <c r="N604" t="n">
        <v>0</v>
      </c>
      <c r="O604" t="n">
        <v>0</v>
      </c>
      <c r="P604" t="n">
        <v>0</v>
      </c>
      <c r="Q604" t="n">
        <v>0</v>
      </c>
      <c r="R604" s="2" t="inlineStr"/>
    </row>
    <row r="605" ht="15" customHeight="1">
      <c r="A605" t="inlineStr">
        <is>
          <t>A 35887-2024</t>
        </is>
      </c>
      <c r="B605" s="1" t="n">
        <v>45533</v>
      </c>
      <c r="C605" s="1" t="n">
        <v>45829</v>
      </c>
      <c r="D605" t="inlineStr">
        <is>
          <t>VÄSTRA GÖTALANDS LÄN</t>
        </is>
      </c>
      <c r="E605" t="inlineStr">
        <is>
          <t>DALS-ED</t>
        </is>
      </c>
      <c r="G605" t="n">
        <v>3.2</v>
      </c>
      <c r="H605" t="n">
        <v>0</v>
      </c>
      <c r="I605" t="n">
        <v>0</v>
      </c>
      <c r="J605" t="n">
        <v>0</v>
      </c>
      <c r="K605" t="n">
        <v>0</v>
      </c>
      <c r="L605" t="n">
        <v>0</v>
      </c>
      <c r="M605" t="n">
        <v>0</v>
      </c>
      <c r="N605" t="n">
        <v>0</v>
      </c>
      <c r="O605" t="n">
        <v>0</v>
      </c>
      <c r="P605" t="n">
        <v>0</v>
      </c>
      <c r="Q605" t="n">
        <v>0</v>
      </c>
      <c r="R605" s="2" t="inlineStr"/>
    </row>
    <row r="606" ht="15" customHeight="1">
      <c r="A606" t="inlineStr">
        <is>
          <t>A 35891-2024</t>
        </is>
      </c>
      <c r="B606" s="1" t="n">
        <v>45533</v>
      </c>
      <c r="C606" s="1" t="n">
        <v>45829</v>
      </c>
      <c r="D606" t="inlineStr">
        <is>
          <t>VÄSTRA GÖTALANDS LÄN</t>
        </is>
      </c>
      <c r="E606" t="inlineStr">
        <is>
          <t>DALS-ED</t>
        </is>
      </c>
      <c r="G606" t="n">
        <v>10.8</v>
      </c>
      <c r="H606" t="n">
        <v>0</v>
      </c>
      <c r="I606" t="n">
        <v>0</v>
      </c>
      <c r="J606" t="n">
        <v>0</v>
      </c>
      <c r="K606" t="n">
        <v>0</v>
      </c>
      <c r="L606" t="n">
        <v>0</v>
      </c>
      <c r="M606" t="n">
        <v>0</v>
      </c>
      <c r="N606" t="n">
        <v>0</v>
      </c>
      <c r="O606" t="n">
        <v>0</v>
      </c>
      <c r="P606" t="n">
        <v>0</v>
      </c>
      <c r="Q606" t="n">
        <v>0</v>
      </c>
      <c r="R606" s="2" t="inlineStr"/>
    </row>
    <row r="607" ht="15" customHeight="1">
      <c r="A607" t="inlineStr">
        <is>
          <t>A 36095-2024</t>
        </is>
      </c>
      <c r="B607" s="1" t="n">
        <v>45533</v>
      </c>
      <c r="C607" s="1" t="n">
        <v>45829</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36803-2024</t>
        </is>
      </c>
      <c r="B608" s="1" t="n">
        <v>45538</v>
      </c>
      <c r="C608" s="1" t="n">
        <v>45829</v>
      </c>
      <c r="D608" t="inlineStr">
        <is>
          <t>VÄSTRA GÖTALANDS LÄN</t>
        </is>
      </c>
      <c r="E608" t="inlineStr">
        <is>
          <t>DALS-ED</t>
        </is>
      </c>
      <c r="G608" t="n">
        <v>2.3</v>
      </c>
      <c r="H608" t="n">
        <v>0</v>
      </c>
      <c r="I608" t="n">
        <v>0</v>
      </c>
      <c r="J608" t="n">
        <v>0</v>
      </c>
      <c r="K608" t="n">
        <v>0</v>
      </c>
      <c r="L608" t="n">
        <v>0</v>
      </c>
      <c r="M608" t="n">
        <v>0</v>
      </c>
      <c r="N608" t="n">
        <v>0</v>
      </c>
      <c r="O608" t="n">
        <v>0</v>
      </c>
      <c r="P608" t="n">
        <v>0</v>
      </c>
      <c r="Q608" t="n">
        <v>0</v>
      </c>
      <c r="R608" s="2" t="inlineStr"/>
    </row>
    <row r="609" ht="15" customHeight="1">
      <c r="A609" t="inlineStr">
        <is>
          <t>A 37181-2024</t>
        </is>
      </c>
      <c r="B609" s="1" t="n">
        <v>45539</v>
      </c>
      <c r="C609" s="1" t="n">
        <v>45829</v>
      </c>
      <c r="D609" t="inlineStr">
        <is>
          <t>VÄSTRA GÖTALANDS LÄN</t>
        </is>
      </c>
      <c r="E609" t="inlineStr">
        <is>
          <t>DALS-ED</t>
        </is>
      </c>
      <c r="G609" t="n">
        <v>4.8</v>
      </c>
      <c r="H609" t="n">
        <v>0</v>
      </c>
      <c r="I609" t="n">
        <v>0</v>
      </c>
      <c r="J609" t="n">
        <v>0</v>
      </c>
      <c r="K609" t="n">
        <v>0</v>
      </c>
      <c r="L609" t="n">
        <v>0</v>
      </c>
      <c r="M609" t="n">
        <v>0</v>
      </c>
      <c r="N609" t="n">
        <v>0</v>
      </c>
      <c r="O609" t="n">
        <v>0</v>
      </c>
      <c r="P609" t="n">
        <v>0</v>
      </c>
      <c r="Q609" t="n">
        <v>0</v>
      </c>
      <c r="R609" s="2" t="inlineStr"/>
    </row>
    <row r="610" ht="15" customHeight="1">
      <c r="A610" t="inlineStr">
        <is>
          <t>A 37526-2024</t>
        </is>
      </c>
      <c r="B610" s="1" t="n">
        <v>45541</v>
      </c>
      <c r="C610" s="1" t="n">
        <v>45829</v>
      </c>
      <c r="D610" t="inlineStr">
        <is>
          <t>VÄSTRA GÖTALANDS LÄN</t>
        </is>
      </c>
      <c r="E610" t="inlineStr">
        <is>
          <t>DALS-ED</t>
        </is>
      </c>
      <c r="G610" t="n">
        <v>0.8</v>
      </c>
      <c r="H610" t="n">
        <v>0</v>
      </c>
      <c r="I610" t="n">
        <v>0</v>
      </c>
      <c r="J610" t="n">
        <v>0</v>
      </c>
      <c r="K610" t="n">
        <v>0</v>
      </c>
      <c r="L610" t="n">
        <v>0</v>
      </c>
      <c r="M610" t="n">
        <v>0</v>
      </c>
      <c r="N610" t="n">
        <v>0</v>
      </c>
      <c r="O610" t="n">
        <v>0</v>
      </c>
      <c r="P610" t="n">
        <v>0</v>
      </c>
      <c r="Q610" t="n">
        <v>0</v>
      </c>
      <c r="R610" s="2" t="inlineStr"/>
    </row>
    <row r="611" ht="15" customHeight="1">
      <c r="A611" t="inlineStr">
        <is>
          <t>A 37874-2024</t>
        </is>
      </c>
      <c r="B611" s="1" t="n">
        <v>45544</v>
      </c>
      <c r="C611" s="1" t="n">
        <v>45829</v>
      </c>
      <c r="D611" t="inlineStr">
        <is>
          <t>VÄSTRA GÖTALANDS LÄN</t>
        </is>
      </c>
      <c r="E611" t="inlineStr">
        <is>
          <t>DALS-ED</t>
        </is>
      </c>
      <c r="G611" t="n">
        <v>1.6</v>
      </c>
      <c r="H611" t="n">
        <v>0</v>
      </c>
      <c r="I611" t="n">
        <v>0</v>
      </c>
      <c r="J611" t="n">
        <v>0</v>
      </c>
      <c r="K611" t="n">
        <v>0</v>
      </c>
      <c r="L611" t="n">
        <v>0</v>
      </c>
      <c r="M611" t="n">
        <v>0</v>
      </c>
      <c r="N611" t="n">
        <v>0</v>
      </c>
      <c r="O611" t="n">
        <v>0</v>
      </c>
      <c r="P611" t="n">
        <v>0</v>
      </c>
      <c r="Q611" t="n">
        <v>0</v>
      </c>
      <c r="R611" s="2" t="inlineStr"/>
    </row>
    <row r="612" ht="15" customHeight="1">
      <c r="A612" t="inlineStr">
        <is>
          <t>A 38412-2024</t>
        </is>
      </c>
      <c r="B612" s="1" t="n">
        <v>45546</v>
      </c>
      <c r="C612" s="1" t="n">
        <v>45829</v>
      </c>
      <c r="D612" t="inlineStr">
        <is>
          <t>VÄSTRA GÖTALANDS LÄN</t>
        </is>
      </c>
      <c r="E612" t="inlineStr">
        <is>
          <t>DALS-ED</t>
        </is>
      </c>
      <c r="G612" t="n">
        <v>3</v>
      </c>
      <c r="H612" t="n">
        <v>0</v>
      </c>
      <c r="I612" t="n">
        <v>0</v>
      </c>
      <c r="J612" t="n">
        <v>0</v>
      </c>
      <c r="K612" t="n">
        <v>0</v>
      </c>
      <c r="L612" t="n">
        <v>0</v>
      </c>
      <c r="M612" t="n">
        <v>0</v>
      </c>
      <c r="N612" t="n">
        <v>0</v>
      </c>
      <c r="O612" t="n">
        <v>0</v>
      </c>
      <c r="P612" t="n">
        <v>0</v>
      </c>
      <c r="Q612" t="n">
        <v>0</v>
      </c>
      <c r="R612" s="2" t="inlineStr"/>
    </row>
    <row r="613" ht="15" customHeight="1">
      <c r="A613" t="inlineStr">
        <is>
          <t>A 38579-2024</t>
        </is>
      </c>
      <c r="B613" s="1" t="n">
        <v>45546</v>
      </c>
      <c r="C613" s="1" t="n">
        <v>45829</v>
      </c>
      <c r="D613" t="inlineStr">
        <is>
          <t>VÄSTRA GÖTALANDS LÄN</t>
        </is>
      </c>
      <c r="E613" t="inlineStr">
        <is>
          <t>DALS-ED</t>
        </is>
      </c>
      <c r="G613" t="n">
        <v>1.2</v>
      </c>
      <c r="H613" t="n">
        <v>0</v>
      </c>
      <c r="I613" t="n">
        <v>0</v>
      </c>
      <c r="J613" t="n">
        <v>0</v>
      </c>
      <c r="K613" t="n">
        <v>0</v>
      </c>
      <c r="L613" t="n">
        <v>0</v>
      </c>
      <c r="M613" t="n">
        <v>0</v>
      </c>
      <c r="N613" t="n">
        <v>0</v>
      </c>
      <c r="O613" t="n">
        <v>0</v>
      </c>
      <c r="P613" t="n">
        <v>0</v>
      </c>
      <c r="Q613" t="n">
        <v>0</v>
      </c>
      <c r="R613" s="2" t="inlineStr"/>
    </row>
    <row r="614" ht="15" customHeight="1">
      <c r="A614" t="inlineStr">
        <is>
          <t>A 38671-2024</t>
        </is>
      </c>
      <c r="B614" s="1" t="n">
        <v>45547</v>
      </c>
      <c r="C614" s="1" t="n">
        <v>45829</v>
      </c>
      <c r="D614" t="inlineStr">
        <is>
          <t>VÄSTRA GÖTALANDS LÄN</t>
        </is>
      </c>
      <c r="E614" t="inlineStr">
        <is>
          <t>DALS-ED</t>
        </is>
      </c>
      <c r="G614" t="n">
        <v>4.9</v>
      </c>
      <c r="H614" t="n">
        <v>0</v>
      </c>
      <c r="I614" t="n">
        <v>0</v>
      </c>
      <c r="J614" t="n">
        <v>0</v>
      </c>
      <c r="K614" t="n">
        <v>0</v>
      </c>
      <c r="L614" t="n">
        <v>0</v>
      </c>
      <c r="M614" t="n">
        <v>0</v>
      </c>
      <c r="N614" t="n">
        <v>0</v>
      </c>
      <c r="O614" t="n">
        <v>0</v>
      </c>
      <c r="P614" t="n">
        <v>0</v>
      </c>
      <c r="Q614" t="n">
        <v>0</v>
      </c>
      <c r="R614" s="2" t="inlineStr"/>
    </row>
    <row r="615" ht="15" customHeight="1">
      <c r="A615" t="inlineStr">
        <is>
          <t>A 39931-2024</t>
        </is>
      </c>
      <c r="B615" s="1" t="n">
        <v>45553</v>
      </c>
      <c r="C615" s="1" t="n">
        <v>45829</v>
      </c>
      <c r="D615" t="inlineStr">
        <is>
          <t>VÄSTRA GÖTALANDS LÄN</t>
        </is>
      </c>
      <c r="E615" t="inlineStr">
        <is>
          <t>DALS-ED</t>
        </is>
      </c>
      <c r="G615" t="n">
        <v>7.1</v>
      </c>
      <c r="H615" t="n">
        <v>0</v>
      </c>
      <c r="I615" t="n">
        <v>0</v>
      </c>
      <c r="J615" t="n">
        <v>0</v>
      </c>
      <c r="K615" t="n">
        <v>0</v>
      </c>
      <c r="L615" t="n">
        <v>0</v>
      </c>
      <c r="M615" t="n">
        <v>0</v>
      </c>
      <c r="N615" t="n">
        <v>0</v>
      </c>
      <c r="O615" t="n">
        <v>0</v>
      </c>
      <c r="P615" t="n">
        <v>0</v>
      </c>
      <c r="Q615" t="n">
        <v>0</v>
      </c>
      <c r="R615" s="2" t="inlineStr"/>
    </row>
    <row r="616" ht="15" customHeight="1">
      <c r="A616" t="inlineStr">
        <is>
          <t>A 40113-2024</t>
        </is>
      </c>
      <c r="B616" s="1" t="n">
        <v>45554</v>
      </c>
      <c r="C616" s="1" t="n">
        <v>45829</v>
      </c>
      <c r="D616" t="inlineStr">
        <is>
          <t>VÄSTRA GÖTALANDS LÄN</t>
        </is>
      </c>
      <c r="E616" t="inlineStr">
        <is>
          <t>DALS-ED</t>
        </is>
      </c>
      <c r="G616" t="n">
        <v>1</v>
      </c>
      <c r="H616" t="n">
        <v>0</v>
      </c>
      <c r="I616" t="n">
        <v>0</v>
      </c>
      <c r="J616" t="n">
        <v>0</v>
      </c>
      <c r="K616" t="n">
        <v>0</v>
      </c>
      <c r="L616" t="n">
        <v>0</v>
      </c>
      <c r="M616" t="n">
        <v>0</v>
      </c>
      <c r="N616" t="n">
        <v>0</v>
      </c>
      <c r="O616" t="n">
        <v>0</v>
      </c>
      <c r="P616" t="n">
        <v>0</v>
      </c>
      <c r="Q616" t="n">
        <v>0</v>
      </c>
      <c r="R616" s="2" t="inlineStr"/>
    </row>
    <row r="617" ht="15" customHeight="1">
      <c r="A617" t="inlineStr">
        <is>
          <t>A 41799-2024</t>
        </is>
      </c>
      <c r="B617" s="1" t="n">
        <v>45561</v>
      </c>
      <c r="C617" s="1" t="n">
        <v>45829</v>
      </c>
      <c r="D617" t="inlineStr">
        <is>
          <t>VÄSTRA GÖTALANDS LÄN</t>
        </is>
      </c>
      <c r="E617" t="inlineStr">
        <is>
          <t>DALS-ED</t>
        </is>
      </c>
      <c r="G617" t="n">
        <v>2.9</v>
      </c>
      <c r="H617" t="n">
        <v>0</v>
      </c>
      <c r="I617" t="n">
        <v>0</v>
      </c>
      <c r="J617" t="n">
        <v>0</v>
      </c>
      <c r="K617" t="n">
        <v>0</v>
      </c>
      <c r="L617" t="n">
        <v>0</v>
      </c>
      <c r="M617" t="n">
        <v>0</v>
      </c>
      <c r="N617" t="n">
        <v>0</v>
      </c>
      <c r="O617" t="n">
        <v>0</v>
      </c>
      <c r="P617" t="n">
        <v>0</v>
      </c>
      <c r="Q617" t="n">
        <v>0</v>
      </c>
      <c r="R617" s="2" t="inlineStr"/>
    </row>
    <row r="618" ht="15" customHeight="1">
      <c r="A618" t="inlineStr">
        <is>
          <t>A 41804-2024</t>
        </is>
      </c>
      <c r="B618" s="1" t="n">
        <v>45561</v>
      </c>
      <c r="C618" s="1" t="n">
        <v>45829</v>
      </c>
      <c r="D618" t="inlineStr">
        <is>
          <t>VÄSTRA GÖTALANDS LÄN</t>
        </is>
      </c>
      <c r="E618" t="inlineStr">
        <is>
          <t>DALS-ED</t>
        </is>
      </c>
      <c r="G618" t="n">
        <v>1.4</v>
      </c>
      <c r="H618" t="n">
        <v>0</v>
      </c>
      <c r="I618" t="n">
        <v>0</v>
      </c>
      <c r="J618" t="n">
        <v>0</v>
      </c>
      <c r="K618" t="n">
        <v>0</v>
      </c>
      <c r="L618" t="n">
        <v>0</v>
      </c>
      <c r="M618" t="n">
        <v>0</v>
      </c>
      <c r="N618" t="n">
        <v>0</v>
      </c>
      <c r="O618" t="n">
        <v>0</v>
      </c>
      <c r="P618" t="n">
        <v>0</v>
      </c>
      <c r="Q618" t="n">
        <v>0</v>
      </c>
      <c r="R618" s="2" t="inlineStr"/>
    </row>
    <row r="619" ht="15" customHeight="1">
      <c r="A619" t="inlineStr">
        <is>
          <t>A 42434-2024</t>
        </is>
      </c>
      <c r="B619" s="1" t="n">
        <v>45565</v>
      </c>
      <c r="C619" s="1" t="n">
        <v>45829</v>
      </c>
      <c r="D619" t="inlineStr">
        <is>
          <t>VÄSTRA GÖTALANDS LÄN</t>
        </is>
      </c>
      <c r="E619" t="inlineStr">
        <is>
          <t>DALS-ED</t>
        </is>
      </c>
      <c r="G619" t="n">
        <v>0.9</v>
      </c>
      <c r="H619" t="n">
        <v>0</v>
      </c>
      <c r="I619" t="n">
        <v>0</v>
      </c>
      <c r="J619" t="n">
        <v>0</v>
      </c>
      <c r="K619" t="n">
        <v>0</v>
      </c>
      <c r="L619" t="n">
        <v>0</v>
      </c>
      <c r="M619" t="n">
        <v>0</v>
      </c>
      <c r="N619" t="n">
        <v>0</v>
      </c>
      <c r="O619" t="n">
        <v>0</v>
      </c>
      <c r="P619" t="n">
        <v>0</v>
      </c>
      <c r="Q619" t="n">
        <v>0</v>
      </c>
      <c r="R619" s="2" t="inlineStr"/>
    </row>
    <row r="620" ht="15" customHeight="1">
      <c r="A620" t="inlineStr">
        <is>
          <t>A 42440-2024</t>
        </is>
      </c>
      <c r="B620" s="1" t="n">
        <v>45565</v>
      </c>
      <c r="C620" s="1" t="n">
        <v>45829</v>
      </c>
      <c r="D620" t="inlineStr">
        <is>
          <t>VÄSTRA GÖTALANDS LÄN</t>
        </is>
      </c>
      <c r="E620" t="inlineStr">
        <is>
          <t>DALS-ED</t>
        </is>
      </c>
      <c r="G620" t="n">
        <v>9</v>
      </c>
      <c r="H620" t="n">
        <v>0</v>
      </c>
      <c r="I620" t="n">
        <v>0</v>
      </c>
      <c r="J620" t="n">
        <v>0</v>
      </c>
      <c r="K620" t="n">
        <v>0</v>
      </c>
      <c r="L620" t="n">
        <v>0</v>
      </c>
      <c r="M620" t="n">
        <v>0</v>
      </c>
      <c r="N620" t="n">
        <v>0</v>
      </c>
      <c r="O620" t="n">
        <v>0</v>
      </c>
      <c r="P620" t="n">
        <v>0</v>
      </c>
      <c r="Q620" t="n">
        <v>0</v>
      </c>
      <c r="R620" s="2" t="inlineStr"/>
    </row>
    <row r="621" ht="15" customHeight="1">
      <c r="A621" t="inlineStr">
        <is>
          <t>A 42777-2024</t>
        </is>
      </c>
      <c r="B621" s="1" t="n">
        <v>45566</v>
      </c>
      <c r="C621" s="1" t="n">
        <v>45829</v>
      </c>
      <c r="D621" t="inlineStr">
        <is>
          <t>VÄSTRA GÖTALANDS LÄN</t>
        </is>
      </c>
      <c r="E621" t="inlineStr">
        <is>
          <t>DALS-ED</t>
        </is>
      </c>
      <c r="G621" t="n">
        <v>9.4</v>
      </c>
      <c r="H621" t="n">
        <v>0</v>
      </c>
      <c r="I621" t="n">
        <v>0</v>
      </c>
      <c r="J621" t="n">
        <v>0</v>
      </c>
      <c r="K621" t="n">
        <v>0</v>
      </c>
      <c r="L621" t="n">
        <v>0</v>
      </c>
      <c r="M621" t="n">
        <v>0</v>
      </c>
      <c r="N621" t="n">
        <v>0</v>
      </c>
      <c r="O621" t="n">
        <v>0</v>
      </c>
      <c r="P621" t="n">
        <v>0</v>
      </c>
      <c r="Q621" t="n">
        <v>0</v>
      </c>
      <c r="R621" s="2" t="inlineStr"/>
    </row>
    <row r="622" ht="15" customHeight="1">
      <c r="A622" t="inlineStr">
        <is>
          <t>A 42676-2024</t>
        </is>
      </c>
      <c r="B622" s="1" t="n">
        <v>45566</v>
      </c>
      <c r="C622" s="1" t="n">
        <v>45829</v>
      </c>
      <c r="D622" t="inlineStr">
        <is>
          <t>VÄSTRA GÖTALANDS LÄN</t>
        </is>
      </c>
      <c r="E622" t="inlineStr">
        <is>
          <t>DALS-ED</t>
        </is>
      </c>
      <c r="G622" t="n">
        <v>3.5</v>
      </c>
      <c r="H622" t="n">
        <v>0</v>
      </c>
      <c r="I622" t="n">
        <v>0</v>
      </c>
      <c r="J622" t="n">
        <v>0</v>
      </c>
      <c r="K622" t="n">
        <v>0</v>
      </c>
      <c r="L622" t="n">
        <v>0</v>
      </c>
      <c r="M622" t="n">
        <v>0</v>
      </c>
      <c r="N622" t="n">
        <v>0</v>
      </c>
      <c r="O622" t="n">
        <v>0</v>
      </c>
      <c r="P622" t="n">
        <v>0</v>
      </c>
      <c r="Q622" t="n">
        <v>0</v>
      </c>
      <c r="R622" s="2" t="inlineStr"/>
    </row>
    <row r="623" ht="15" customHeight="1">
      <c r="A623" t="inlineStr">
        <is>
          <t>A 43841-2024</t>
        </is>
      </c>
      <c r="B623" s="1" t="n">
        <v>45572</v>
      </c>
      <c r="C623" s="1" t="n">
        <v>45829</v>
      </c>
      <c r="D623" t="inlineStr">
        <is>
          <t>VÄSTRA GÖTALANDS LÄN</t>
        </is>
      </c>
      <c r="E623" t="inlineStr">
        <is>
          <t>DALS-ED</t>
        </is>
      </c>
      <c r="G623" t="n">
        <v>2.4</v>
      </c>
      <c r="H623" t="n">
        <v>0</v>
      </c>
      <c r="I623" t="n">
        <v>0</v>
      </c>
      <c r="J623" t="n">
        <v>0</v>
      </c>
      <c r="K623" t="n">
        <v>0</v>
      </c>
      <c r="L623" t="n">
        <v>0</v>
      </c>
      <c r="M623" t="n">
        <v>0</v>
      </c>
      <c r="N623" t="n">
        <v>0</v>
      </c>
      <c r="O623" t="n">
        <v>0</v>
      </c>
      <c r="P623" t="n">
        <v>0</v>
      </c>
      <c r="Q623" t="n">
        <v>0</v>
      </c>
      <c r="R623" s="2" t="inlineStr"/>
    </row>
    <row r="624" ht="15" customHeight="1">
      <c r="A624" t="inlineStr">
        <is>
          <t>A 43901-2024</t>
        </is>
      </c>
      <c r="B624" s="1" t="n">
        <v>45572</v>
      </c>
      <c r="C624" s="1" t="n">
        <v>45829</v>
      </c>
      <c r="D624" t="inlineStr">
        <is>
          <t>VÄSTRA GÖTALANDS LÄN</t>
        </is>
      </c>
      <c r="E624" t="inlineStr">
        <is>
          <t>DALS-ED</t>
        </is>
      </c>
      <c r="G624" t="n">
        <v>2.3</v>
      </c>
      <c r="H624" t="n">
        <v>0</v>
      </c>
      <c r="I624" t="n">
        <v>0</v>
      </c>
      <c r="J624" t="n">
        <v>0</v>
      </c>
      <c r="K624" t="n">
        <v>0</v>
      </c>
      <c r="L624" t="n">
        <v>0</v>
      </c>
      <c r="M624" t="n">
        <v>0</v>
      </c>
      <c r="N624" t="n">
        <v>0</v>
      </c>
      <c r="O624" t="n">
        <v>0</v>
      </c>
      <c r="P624" t="n">
        <v>0</v>
      </c>
      <c r="Q624" t="n">
        <v>0</v>
      </c>
      <c r="R624" s="2" t="inlineStr"/>
    </row>
    <row r="625" ht="15" customHeight="1">
      <c r="A625" t="inlineStr">
        <is>
          <t>A 44517-2024</t>
        </is>
      </c>
      <c r="B625" s="1" t="n">
        <v>45574</v>
      </c>
      <c r="C625" s="1" t="n">
        <v>45829</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44454-2024</t>
        </is>
      </c>
      <c r="B626" s="1" t="n">
        <v>45574</v>
      </c>
      <c r="C626" s="1" t="n">
        <v>45829</v>
      </c>
      <c r="D626" t="inlineStr">
        <is>
          <t>VÄSTRA GÖTALANDS LÄN</t>
        </is>
      </c>
      <c r="E626" t="inlineStr">
        <is>
          <t>DALS-ED</t>
        </is>
      </c>
      <c r="F626" t="inlineStr">
        <is>
          <t>Kommuner</t>
        </is>
      </c>
      <c r="G626" t="n">
        <v>10.8</v>
      </c>
      <c r="H626" t="n">
        <v>0</v>
      </c>
      <c r="I626" t="n">
        <v>0</v>
      </c>
      <c r="J626" t="n">
        <v>0</v>
      </c>
      <c r="K626" t="n">
        <v>0</v>
      </c>
      <c r="L626" t="n">
        <v>0</v>
      </c>
      <c r="M626" t="n">
        <v>0</v>
      </c>
      <c r="N626" t="n">
        <v>0</v>
      </c>
      <c r="O626" t="n">
        <v>0</v>
      </c>
      <c r="P626" t="n">
        <v>0</v>
      </c>
      <c r="Q626" t="n">
        <v>0</v>
      </c>
      <c r="R626" s="2" t="inlineStr"/>
    </row>
    <row r="627" ht="15" customHeight="1">
      <c r="A627" t="inlineStr">
        <is>
          <t>A 44458-2024</t>
        </is>
      </c>
      <c r="B627" s="1" t="n">
        <v>45574</v>
      </c>
      <c r="C627" s="1" t="n">
        <v>45829</v>
      </c>
      <c r="D627" t="inlineStr">
        <is>
          <t>VÄSTRA GÖTALANDS LÄN</t>
        </is>
      </c>
      <c r="E627" t="inlineStr">
        <is>
          <t>DALS-ED</t>
        </is>
      </c>
      <c r="G627" t="n">
        <v>2.2</v>
      </c>
      <c r="H627" t="n">
        <v>0</v>
      </c>
      <c r="I627" t="n">
        <v>0</v>
      </c>
      <c r="J627" t="n">
        <v>0</v>
      </c>
      <c r="K627" t="n">
        <v>0</v>
      </c>
      <c r="L627" t="n">
        <v>0</v>
      </c>
      <c r="M627" t="n">
        <v>0</v>
      </c>
      <c r="N627" t="n">
        <v>0</v>
      </c>
      <c r="O627" t="n">
        <v>0</v>
      </c>
      <c r="P627" t="n">
        <v>0</v>
      </c>
      <c r="Q627" t="n">
        <v>0</v>
      </c>
      <c r="R627" s="2" t="inlineStr"/>
    </row>
    <row r="628" ht="15" customHeight="1">
      <c r="A628" t="inlineStr">
        <is>
          <t>A 44887-2024</t>
        </is>
      </c>
      <c r="B628" s="1" t="n">
        <v>45575</v>
      </c>
      <c r="C628" s="1" t="n">
        <v>45829</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45506-2024</t>
        </is>
      </c>
      <c r="B629" s="1" t="n">
        <v>45578</v>
      </c>
      <c r="C629" s="1" t="n">
        <v>45829</v>
      </c>
      <c r="D629" t="inlineStr">
        <is>
          <t>VÄSTRA GÖTALANDS LÄN</t>
        </is>
      </c>
      <c r="E629" t="inlineStr">
        <is>
          <t>DALS-ED</t>
        </is>
      </c>
      <c r="G629" t="n">
        <v>0.7</v>
      </c>
      <c r="H629" t="n">
        <v>0</v>
      </c>
      <c r="I629" t="n">
        <v>0</v>
      </c>
      <c r="J629" t="n">
        <v>0</v>
      </c>
      <c r="K629" t="n">
        <v>0</v>
      </c>
      <c r="L629" t="n">
        <v>0</v>
      </c>
      <c r="M629" t="n">
        <v>0</v>
      </c>
      <c r="N629" t="n">
        <v>0</v>
      </c>
      <c r="O629" t="n">
        <v>0</v>
      </c>
      <c r="P629" t="n">
        <v>0</v>
      </c>
      <c r="Q629" t="n">
        <v>0</v>
      </c>
      <c r="R629" s="2" t="inlineStr"/>
    </row>
    <row r="630" ht="15" customHeight="1">
      <c r="A630" t="inlineStr">
        <is>
          <t>A 45588-2024</t>
        </is>
      </c>
      <c r="B630" s="1" t="n">
        <v>45579</v>
      </c>
      <c r="C630" s="1" t="n">
        <v>45829</v>
      </c>
      <c r="D630" t="inlineStr">
        <is>
          <t>VÄSTRA GÖTALANDS LÄN</t>
        </is>
      </c>
      <c r="E630" t="inlineStr">
        <is>
          <t>DALS-ED</t>
        </is>
      </c>
      <c r="G630" t="n">
        <v>1.2</v>
      </c>
      <c r="H630" t="n">
        <v>0</v>
      </c>
      <c r="I630" t="n">
        <v>0</v>
      </c>
      <c r="J630" t="n">
        <v>0</v>
      </c>
      <c r="K630" t="n">
        <v>0</v>
      </c>
      <c r="L630" t="n">
        <v>0</v>
      </c>
      <c r="M630" t="n">
        <v>0</v>
      </c>
      <c r="N630" t="n">
        <v>0</v>
      </c>
      <c r="O630" t="n">
        <v>0</v>
      </c>
      <c r="P630" t="n">
        <v>0</v>
      </c>
      <c r="Q630" t="n">
        <v>0</v>
      </c>
      <c r="R630" s="2" t="inlineStr"/>
    </row>
    <row r="631" ht="15" customHeight="1">
      <c r="A631" t="inlineStr">
        <is>
          <t>A 46490-2024</t>
        </is>
      </c>
      <c r="B631" s="1" t="n">
        <v>45582</v>
      </c>
      <c r="C631" s="1" t="n">
        <v>45829</v>
      </c>
      <c r="D631" t="inlineStr">
        <is>
          <t>VÄSTRA GÖTALANDS LÄN</t>
        </is>
      </c>
      <c r="E631" t="inlineStr">
        <is>
          <t>DALS-ED</t>
        </is>
      </c>
      <c r="G631" t="n">
        <v>1.5</v>
      </c>
      <c r="H631" t="n">
        <v>0</v>
      </c>
      <c r="I631" t="n">
        <v>0</v>
      </c>
      <c r="J631" t="n">
        <v>0</v>
      </c>
      <c r="K631" t="n">
        <v>0</v>
      </c>
      <c r="L631" t="n">
        <v>0</v>
      </c>
      <c r="M631" t="n">
        <v>0</v>
      </c>
      <c r="N631" t="n">
        <v>0</v>
      </c>
      <c r="O631" t="n">
        <v>0</v>
      </c>
      <c r="P631" t="n">
        <v>0</v>
      </c>
      <c r="Q631" t="n">
        <v>0</v>
      </c>
      <c r="R631" s="2" t="inlineStr"/>
    </row>
    <row r="632" ht="15" customHeight="1">
      <c r="A632" t="inlineStr">
        <is>
          <t>A 46493-2024</t>
        </is>
      </c>
      <c r="B632" s="1" t="n">
        <v>45582</v>
      </c>
      <c r="C632" s="1" t="n">
        <v>45829</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46617-2024</t>
        </is>
      </c>
      <c r="B633" s="1" t="n">
        <v>45583</v>
      </c>
      <c r="C633" s="1" t="n">
        <v>45829</v>
      </c>
      <c r="D633" t="inlineStr">
        <is>
          <t>VÄSTRA GÖTALANDS LÄN</t>
        </is>
      </c>
      <c r="E633" t="inlineStr">
        <is>
          <t>DALS-ED</t>
        </is>
      </c>
      <c r="F633" t="inlineStr">
        <is>
          <t>Övriga Aktiebolag</t>
        </is>
      </c>
      <c r="G633" t="n">
        <v>4</v>
      </c>
      <c r="H633" t="n">
        <v>0</v>
      </c>
      <c r="I633" t="n">
        <v>0</v>
      </c>
      <c r="J633" t="n">
        <v>0</v>
      </c>
      <c r="K633" t="n">
        <v>0</v>
      </c>
      <c r="L633" t="n">
        <v>0</v>
      </c>
      <c r="M633" t="n">
        <v>0</v>
      </c>
      <c r="N633" t="n">
        <v>0</v>
      </c>
      <c r="O633" t="n">
        <v>0</v>
      </c>
      <c r="P633" t="n">
        <v>0</v>
      </c>
      <c r="Q633" t="n">
        <v>0</v>
      </c>
      <c r="R633" s="2" t="inlineStr"/>
    </row>
    <row r="634" ht="15" customHeight="1">
      <c r="A634" t="inlineStr">
        <is>
          <t>A 47434-2024</t>
        </is>
      </c>
      <c r="B634" s="1" t="n">
        <v>45587</v>
      </c>
      <c r="C634" s="1" t="n">
        <v>45829</v>
      </c>
      <c r="D634" t="inlineStr">
        <is>
          <t>VÄSTRA GÖTALANDS LÄN</t>
        </is>
      </c>
      <c r="E634" t="inlineStr">
        <is>
          <t>DALS-ED</t>
        </is>
      </c>
      <c r="G634" t="n">
        <v>2.6</v>
      </c>
      <c r="H634" t="n">
        <v>0</v>
      </c>
      <c r="I634" t="n">
        <v>0</v>
      </c>
      <c r="J634" t="n">
        <v>0</v>
      </c>
      <c r="K634" t="n">
        <v>0</v>
      </c>
      <c r="L634" t="n">
        <v>0</v>
      </c>
      <c r="M634" t="n">
        <v>0</v>
      </c>
      <c r="N634" t="n">
        <v>0</v>
      </c>
      <c r="O634" t="n">
        <v>0</v>
      </c>
      <c r="P634" t="n">
        <v>0</v>
      </c>
      <c r="Q634" t="n">
        <v>0</v>
      </c>
      <c r="R634" s="2" t="inlineStr"/>
    </row>
    <row r="635" ht="15" customHeight="1">
      <c r="A635" t="inlineStr">
        <is>
          <t>A 47444-2024</t>
        </is>
      </c>
      <c r="B635" s="1" t="n">
        <v>45587</v>
      </c>
      <c r="C635" s="1" t="n">
        <v>45829</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47650-2024</t>
        </is>
      </c>
      <c r="B636" s="1" t="n">
        <v>45588</v>
      </c>
      <c r="C636" s="1" t="n">
        <v>45829</v>
      </c>
      <c r="D636" t="inlineStr">
        <is>
          <t>VÄSTRA GÖTALANDS LÄN</t>
        </is>
      </c>
      <c r="E636" t="inlineStr">
        <is>
          <t>DALS-ED</t>
        </is>
      </c>
      <c r="G636" t="n">
        <v>3.6</v>
      </c>
      <c r="H636" t="n">
        <v>0</v>
      </c>
      <c r="I636" t="n">
        <v>0</v>
      </c>
      <c r="J636" t="n">
        <v>0</v>
      </c>
      <c r="K636" t="n">
        <v>0</v>
      </c>
      <c r="L636" t="n">
        <v>0</v>
      </c>
      <c r="M636" t="n">
        <v>0</v>
      </c>
      <c r="N636" t="n">
        <v>0</v>
      </c>
      <c r="O636" t="n">
        <v>0</v>
      </c>
      <c r="P636" t="n">
        <v>0</v>
      </c>
      <c r="Q636" t="n">
        <v>0</v>
      </c>
      <c r="R636" s="2" t="inlineStr"/>
    </row>
    <row r="637" ht="15" customHeight="1">
      <c r="A637" t="inlineStr">
        <is>
          <t>A 48023-2024</t>
        </is>
      </c>
      <c r="B637" s="1" t="n">
        <v>45589</v>
      </c>
      <c r="C637" s="1" t="n">
        <v>45829</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47994-2024</t>
        </is>
      </c>
      <c r="B638" s="1" t="n">
        <v>45589</v>
      </c>
      <c r="C638" s="1" t="n">
        <v>45829</v>
      </c>
      <c r="D638" t="inlineStr">
        <is>
          <t>VÄSTRA GÖTALANDS LÄN</t>
        </is>
      </c>
      <c r="E638" t="inlineStr">
        <is>
          <t>DALS-ED</t>
        </is>
      </c>
      <c r="G638" t="n">
        <v>3.3</v>
      </c>
      <c r="H638" t="n">
        <v>0</v>
      </c>
      <c r="I638" t="n">
        <v>0</v>
      </c>
      <c r="J638" t="n">
        <v>0</v>
      </c>
      <c r="K638" t="n">
        <v>0</v>
      </c>
      <c r="L638" t="n">
        <v>0</v>
      </c>
      <c r="M638" t="n">
        <v>0</v>
      </c>
      <c r="N638" t="n">
        <v>0</v>
      </c>
      <c r="O638" t="n">
        <v>0</v>
      </c>
      <c r="P638" t="n">
        <v>0</v>
      </c>
      <c r="Q638" t="n">
        <v>0</v>
      </c>
      <c r="R638" s="2" t="inlineStr"/>
    </row>
    <row r="639" ht="15" customHeight="1">
      <c r="A639" t="inlineStr">
        <is>
          <t>A 48199-2024</t>
        </is>
      </c>
      <c r="B639" s="1" t="n">
        <v>45590</v>
      </c>
      <c r="C639" s="1" t="n">
        <v>45829</v>
      </c>
      <c r="D639" t="inlineStr">
        <is>
          <t>VÄSTRA GÖTALANDS LÄN</t>
        </is>
      </c>
      <c r="E639" t="inlineStr">
        <is>
          <t>DALS-ED</t>
        </is>
      </c>
      <c r="G639" t="n">
        <v>6.3</v>
      </c>
      <c r="H639" t="n">
        <v>0</v>
      </c>
      <c r="I639" t="n">
        <v>0</v>
      </c>
      <c r="J639" t="n">
        <v>0</v>
      </c>
      <c r="K639" t="n">
        <v>0</v>
      </c>
      <c r="L639" t="n">
        <v>0</v>
      </c>
      <c r="M639" t="n">
        <v>0</v>
      </c>
      <c r="N639" t="n">
        <v>0</v>
      </c>
      <c r="O639" t="n">
        <v>0</v>
      </c>
      <c r="P639" t="n">
        <v>0</v>
      </c>
      <c r="Q639" t="n">
        <v>0</v>
      </c>
      <c r="R639" s="2" t="inlineStr"/>
    </row>
    <row r="640" ht="15" customHeight="1">
      <c r="A640" t="inlineStr">
        <is>
          <t>A 48341-2024</t>
        </is>
      </c>
      <c r="B640" s="1" t="n">
        <v>45590</v>
      </c>
      <c r="C640" s="1" t="n">
        <v>45829</v>
      </c>
      <c r="D640" t="inlineStr">
        <is>
          <t>VÄSTRA GÖTALANDS LÄN</t>
        </is>
      </c>
      <c r="E640" t="inlineStr">
        <is>
          <t>DALS-ED</t>
        </is>
      </c>
      <c r="G640" t="n">
        <v>0.6</v>
      </c>
      <c r="H640" t="n">
        <v>0</v>
      </c>
      <c r="I640" t="n">
        <v>0</v>
      </c>
      <c r="J640" t="n">
        <v>0</v>
      </c>
      <c r="K640" t="n">
        <v>0</v>
      </c>
      <c r="L640" t="n">
        <v>0</v>
      </c>
      <c r="M640" t="n">
        <v>0</v>
      </c>
      <c r="N640" t="n">
        <v>0</v>
      </c>
      <c r="O640" t="n">
        <v>0</v>
      </c>
      <c r="P640" t="n">
        <v>0</v>
      </c>
      <c r="Q640" t="n">
        <v>0</v>
      </c>
      <c r="R640" s="2" t="inlineStr"/>
    </row>
    <row r="641" ht="15" customHeight="1">
      <c r="A641" t="inlineStr">
        <is>
          <t>A 48200-2024</t>
        </is>
      </c>
      <c r="B641" s="1" t="n">
        <v>45590</v>
      </c>
      <c r="C641" s="1" t="n">
        <v>45829</v>
      </c>
      <c r="D641" t="inlineStr">
        <is>
          <t>VÄSTRA GÖTALANDS LÄN</t>
        </is>
      </c>
      <c r="E641" t="inlineStr">
        <is>
          <t>DALS-ED</t>
        </is>
      </c>
      <c r="G641" t="n">
        <v>1.1</v>
      </c>
      <c r="H641" t="n">
        <v>0</v>
      </c>
      <c r="I641" t="n">
        <v>0</v>
      </c>
      <c r="J641" t="n">
        <v>0</v>
      </c>
      <c r="K641" t="n">
        <v>0</v>
      </c>
      <c r="L641" t="n">
        <v>0</v>
      </c>
      <c r="M641" t="n">
        <v>0</v>
      </c>
      <c r="N641" t="n">
        <v>0</v>
      </c>
      <c r="O641" t="n">
        <v>0</v>
      </c>
      <c r="P641" t="n">
        <v>0</v>
      </c>
      <c r="Q641" t="n">
        <v>0</v>
      </c>
      <c r="R641" s="2" t="inlineStr"/>
    </row>
    <row r="642" ht="15" customHeight="1">
      <c r="A642" t="inlineStr">
        <is>
          <t>A 48344-2024</t>
        </is>
      </c>
      <c r="B642" s="1" t="n">
        <v>45590</v>
      </c>
      <c r="C642" s="1" t="n">
        <v>45829</v>
      </c>
      <c r="D642" t="inlineStr">
        <is>
          <t>VÄSTRA GÖTALANDS LÄN</t>
        </is>
      </c>
      <c r="E642" t="inlineStr">
        <is>
          <t>DALS-ED</t>
        </is>
      </c>
      <c r="G642" t="n">
        <v>2.3</v>
      </c>
      <c r="H642" t="n">
        <v>0</v>
      </c>
      <c r="I642" t="n">
        <v>0</v>
      </c>
      <c r="J642" t="n">
        <v>0</v>
      </c>
      <c r="K642" t="n">
        <v>0</v>
      </c>
      <c r="L642" t="n">
        <v>0</v>
      </c>
      <c r="M642" t="n">
        <v>0</v>
      </c>
      <c r="N642" t="n">
        <v>0</v>
      </c>
      <c r="O642" t="n">
        <v>0</v>
      </c>
      <c r="P642" t="n">
        <v>0</v>
      </c>
      <c r="Q642" t="n">
        <v>0</v>
      </c>
      <c r="R642" s="2" t="inlineStr"/>
    </row>
    <row r="643" ht="15" customHeight="1">
      <c r="A643" t="inlineStr">
        <is>
          <t>A 48574-2024</t>
        </is>
      </c>
      <c r="B643" s="1" t="n">
        <v>45593</v>
      </c>
      <c r="C643" s="1" t="n">
        <v>45829</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48732-2024</t>
        </is>
      </c>
      <c r="B644" s="1" t="n">
        <v>45593</v>
      </c>
      <c r="C644" s="1" t="n">
        <v>45829</v>
      </c>
      <c r="D644" t="inlineStr">
        <is>
          <t>VÄSTRA GÖTALANDS LÄN</t>
        </is>
      </c>
      <c r="E644" t="inlineStr">
        <is>
          <t>DALS-ED</t>
        </is>
      </c>
      <c r="G644" t="n">
        <v>4.8</v>
      </c>
      <c r="H644" t="n">
        <v>0</v>
      </c>
      <c r="I644" t="n">
        <v>0</v>
      </c>
      <c r="J644" t="n">
        <v>0</v>
      </c>
      <c r="K644" t="n">
        <v>0</v>
      </c>
      <c r="L644" t="n">
        <v>0</v>
      </c>
      <c r="M644" t="n">
        <v>0</v>
      </c>
      <c r="N644" t="n">
        <v>0</v>
      </c>
      <c r="O644" t="n">
        <v>0</v>
      </c>
      <c r="P644" t="n">
        <v>0</v>
      </c>
      <c r="Q644" t="n">
        <v>0</v>
      </c>
      <c r="R644" s="2" t="inlineStr"/>
    </row>
    <row r="645" ht="15" customHeight="1">
      <c r="A645" t="inlineStr">
        <is>
          <t>A 48741-2024</t>
        </is>
      </c>
      <c r="B645" s="1" t="n">
        <v>45593</v>
      </c>
      <c r="C645" s="1" t="n">
        <v>45829</v>
      </c>
      <c r="D645" t="inlineStr">
        <is>
          <t>VÄSTRA GÖTALANDS LÄN</t>
        </is>
      </c>
      <c r="E645" t="inlineStr">
        <is>
          <t>DALS-ED</t>
        </is>
      </c>
      <c r="G645" t="n">
        <v>0.8</v>
      </c>
      <c r="H645" t="n">
        <v>0</v>
      </c>
      <c r="I645" t="n">
        <v>0</v>
      </c>
      <c r="J645" t="n">
        <v>0</v>
      </c>
      <c r="K645" t="n">
        <v>0</v>
      </c>
      <c r="L645" t="n">
        <v>0</v>
      </c>
      <c r="M645" t="n">
        <v>0</v>
      </c>
      <c r="N645" t="n">
        <v>0</v>
      </c>
      <c r="O645" t="n">
        <v>0</v>
      </c>
      <c r="P645" t="n">
        <v>0</v>
      </c>
      <c r="Q645" t="n">
        <v>0</v>
      </c>
      <c r="R645" s="2" t="inlineStr"/>
    </row>
    <row r="646" ht="15" customHeight="1">
      <c r="A646" t="inlineStr">
        <is>
          <t>A 48553-2024</t>
        </is>
      </c>
      <c r="B646" s="1" t="n">
        <v>45593</v>
      </c>
      <c r="C646" s="1" t="n">
        <v>45829</v>
      </c>
      <c r="D646" t="inlineStr">
        <is>
          <t>VÄSTRA GÖTALANDS LÄN</t>
        </is>
      </c>
      <c r="E646" t="inlineStr">
        <is>
          <t>DALS-ED</t>
        </is>
      </c>
      <c r="G646" t="n">
        <v>2.8</v>
      </c>
      <c r="H646" t="n">
        <v>0</v>
      </c>
      <c r="I646" t="n">
        <v>0</v>
      </c>
      <c r="J646" t="n">
        <v>0</v>
      </c>
      <c r="K646" t="n">
        <v>0</v>
      </c>
      <c r="L646" t="n">
        <v>0</v>
      </c>
      <c r="M646" t="n">
        <v>0</v>
      </c>
      <c r="N646" t="n">
        <v>0</v>
      </c>
      <c r="O646" t="n">
        <v>0</v>
      </c>
      <c r="P646" t="n">
        <v>0</v>
      </c>
      <c r="Q646" t="n">
        <v>0</v>
      </c>
      <c r="R646" s="2" t="inlineStr"/>
    </row>
    <row r="647" ht="15" customHeight="1">
      <c r="A647" t="inlineStr">
        <is>
          <t>A 48618-2024</t>
        </is>
      </c>
      <c r="B647" s="1" t="n">
        <v>45593</v>
      </c>
      <c r="C647" s="1" t="n">
        <v>45829</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49290-2024</t>
        </is>
      </c>
      <c r="B648" s="1" t="n">
        <v>45595</v>
      </c>
      <c r="C648" s="1" t="n">
        <v>45829</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49361-2024</t>
        </is>
      </c>
      <c r="B649" s="1" t="n">
        <v>45595</v>
      </c>
      <c r="C649" s="1" t="n">
        <v>45829</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49863-2024</t>
        </is>
      </c>
      <c r="B650" s="1" t="n">
        <v>45597</v>
      </c>
      <c r="C650" s="1" t="n">
        <v>45829</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50303-2024</t>
        </is>
      </c>
      <c r="B651" s="1" t="n">
        <v>45600</v>
      </c>
      <c r="C651" s="1" t="n">
        <v>45829</v>
      </c>
      <c r="D651" t="inlineStr">
        <is>
          <t>VÄSTRA GÖTALANDS LÄN</t>
        </is>
      </c>
      <c r="E651" t="inlineStr">
        <is>
          <t>DALS-ED</t>
        </is>
      </c>
      <c r="G651" t="n">
        <v>1.1</v>
      </c>
      <c r="H651" t="n">
        <v>0</v>
      </c>
      <c r="I651" t="n">
        <v>0</v>
      </c>
      <c r="J651" t="n">
        <v>0</v>
      </c>
      <c r="K651" t="n">
        <v>0</v>
      </c>
      <c r="L651" t="n">
        <v>0</v>
      </c>
      <c r="M651" t="n">
        <v>0</v>
      </c>
      <c r="N651" t="n">
        <v>0</v>
      </c>
      <c r="O651" t="n">
        <v>0</v>
      </c>
      <c r="P651" t="n">
        <v>0</v>
      </c>
      <c r="Q651" t="n">
        <v>0</v>
      </c>
      <c r="R651" s="2" t="inlineStr"/>
    </row>
    <row r="652" ht="15" customHeight="1">
      <c r="A652" t="inlineStr">
        <is>
          <t>A 50298-2024</t>
        </is>
      </c>
      <c r="B652" s="1" t="n">
        <v>45600</v>
      </c>
      <c r="C652" s="1" t="n">
        <v>45829</v>
      </c>
      <c r="D652" t="inlineStr">
        <is>
          <t>VÄSTRA GÖTALANDS LÄN</t>
        </is>
      </c>
      <c r="E652" t="inlineStr">
        <is>
          <t>DALS-ED</t>
        </is>
      </c>
      <c r="G652" t="n">
        <v>2.5</v>
      </c>
      <c r="H652" t="n">
        <v>0</v>
      </c>
      <c r="I652" t="n">
        <v>0</v>
      </c>
      <c r="J652" t="n">
        <v>0</v>
      </c>
      <c r="K652" t="n">
        <v>0</v>
      </c>
      <c r="L652" t="n">
        <v>0</v>
      </c>
      <c r="M652" t="n">
        <v>0</v>
      </c>
      <c r="N652" t="n">
        <v>0</v>
      </c>
      <c r="O652" t="n">
        <v>0</v>
      </c>
      <c r="P652" t="n">
        <v>0</v>
      </c>
      <c r="Q652" t="n">
        <v>0</v>
      </c>
      <c r="R652" s="2" t="inlineStr"/>
    </row>
    <row r="653" ht="15" customHeight="1">
      <c r="A653" t="inlineStr">
        <is>
          <t>A 50637-2024</t>
        </is>
      </c>
      <c r="B653" s="1" t="n">
        <v>45601</v>
      </c>
      <c r="C653" s="1" t="n">
        <v>45829</v>
      </c>
      <c r="D653" t="inlineStr">
        <is>
          <t>VÄSTRA GÖTALANDS LÄN</t>
        </is>
      </c>
      <c r="E653" t="inlineStr">
        <is>
          <t>DALS-ED</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50736-2024</t>
        </is>
      </c>
      <c r="B654" s="1" t="n">
        <v>45601</v>
      </c>
      <c r="C654" s="1" t="n">
        <v>45829</v>
      </c>
      <c r="D654" t="inlineStr">
        <is>
          <t>VÄSTRA GÖTALANDS LÄN</t>
        </is>
      </c>
      <c r="E654" t="inlineStr">
        <is>
          <t>DALS-ED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50732-2024</t>
        </is>
      </c>
      <c r="B655" s="1" t="n">
        <v>45602</v>
      </c>
      <c r="C655" s="1" t="n">
        <v>45829</v>
      </c>
      <c r="D655" t="inlineStr">
        <is>
          <t>VÄSTRA GÖTALANDS LÄN</t>
        </is>
      </c>
      <c r="E655" t="inlineStr">
        <is>
          <t>DALS-ED</t>
        </is>
      </c>
      <c r="G655" t="n">
        <v>3.8</v>
      </c>
      <c r="H655" t="n">
        <v>0</v>
      </c>
      <c r="I655" t="n">
        <v>0</v>
      </c>
      <c r="J655" t="n">
        <v>0</v>
      </c>
      <c r="K655" t="n">
        <v>0</v>
      </c>
      <c r="L655" t="n">
        <v>0</v>
      </c>
      <c r="M655" t="n">
        <v>0</v>
      </c>
      <c r="N655" t="n">
        <v>0</v>
      </c>
      <c r="O655" t="n">
        <v>0</v>
      </c>
      <c r="P655" t="n">
        <v>0</v>
      </c>
      <c r="Q655" t="n">
        <v>0</v>
      </c>
      <c r="R655" s="2" t="inlineStr"/>
    </row>
    <row r="656" ht="15" customHeight="1">
      <c r="A656" t="inlineStr">
        <is>
          <t>A 51020-2024</t>
        </is>
      </c>
      <c r="B656" s="1" t="n">
        <v>45603</v>
      </c>
      <c r="C656" s="1" t="n">
        <v>45829</v>
      </c>
      <c r="D656" t="inlineStr">
        <is>
          <t>VÄSTRA GÖTALANDS LÄN</t>
        </is>
      </c>
      <c r="E656" t="inlineStr">
        <is>
          <t>DALS-ED</t>
        </is>
      </c>
      <c r="G656" t="n">
        <v>3.1</v>
      </c>
      <c r="H656" t="n">
        <v>0</v>
      </c>
      <c r="I656" t="n">
        <v>0</v>
      </c>
      <c r="J656" t="n">
        <v>0</v>
      </c>
      <c r="K656" t="n">
        <v>0</v>
      </c>
      <c r="L656" t="n">
        <v>0</v>
      </c>
      <c r="M656" t="n">
        <v>0</v>
      </c>
      <c r="N656" t="n">
        <v>0</v>
      </c>
      <c r="O656" t="n">
        <v>0</v>
      </c>
      <c r="P656" t="n">
        <v>0</v>
      </c>
      <c r="Q656" t="n">
        <v>0</v>
      </c>
      <c r="R656" s="2" t="inlineStr"/>
    </row>
    <row r="657" ht="15" customHeight="1">
      <c r="A657" t="inlineStr">
        <is>
          <t>A 51283-2024</t>
        </is>
      </c>
      <c r="B657" s="1" t="n">
        <v>45603</v>
      </c>
      <c r="C657" s="1" t="n">
        <v>45829</v>
      </c>
      <c r="D657" t="inlineStr">
        <is>
          <t>VÄSTRA GÖTALANDS LÄN</t>
        </is>
      </c>
      <c r="E657" t="inlineStr">
        <is>
          <t>DALS-ED</t>
        </is>
      </c>
      <c r="G657" t="n">
        <v>2.1</v>
      </c>
      <c r="H657" t="n">
        <v>0</v>
      </c>
      <c r="I657" t="n">
        <v>0</v>
      </c>
      <c r="J657" t="n">
        <v>0</v>
      </c>
      <c r="K657" t="n">
        <v>0</v>
      </c>
      <c r="L657" t="n">
        <v>0</v>
      </c>
      <c r="M657" t="n">
        <v>0</v>
      </c>
      <c r="N657" t="n">
        <v>0</v>
      </c>
      <c r="O657" t="n">
        <v>0</v>
      </c>
      <c r="P657" t="n">
        <v>0</v>
      </c>
      <c r="Q657" t="n">
        <v>0</v>
      </c>
      <c r="R657" s="2" t="inlineStr"/>
    </row>
    <row r="658" ht="15" customHeight="1">
      <c r="A658" t="inlineStr">
        <is>
          <t>A 51654-2024</t>
        </is>
      </c>
      <c r="B658" s="1" t="n">
        <v>45606</v>
      </c>
      <c r="C658" s="1" t="n">
        <v>45829</v>
      </c>
      <c r="D658" t="inlineStr">
        <is>
          <t>VÄSTRA GÖTALANDS LÄN</t>
        </is>
      </c>
      <c r="E658" t="inlineStr">
        <is>
          <t>DALS-ED</t>
        </is>
      </c>
      <c r="G658" t="n">
        <v>2.7</v>
      </c>
      <c r="H658" t="n">
        <v>0</v>
      </c>
      <c r="I658" t="n">
        <v>0</v>
      </c>
      <c r="J658" t="n">
        <v>0</v>
      </c>
      <c r="K658" t="n">
        <v>0</v>
      </c>
      <c r="L658" t="n">
        <v>0</v>
      </c>
      <c r="M658" t="n">
        <v>0</v>
      </c>
      <c r="N658" t="n">
        <v>0</v>
      </c>
      <c r="O658" t="n">
        <v>0</v>
      </c>
      <c r="P658" t="n">
        <v>0</v>
      </c>
      <c r="Q658" t="n">
        <v>0</v>
      </c>
      <c r="R658" s="2" t="inlineStr"/>
    </row>
    <row r="659" ht="15" customHeight="1">
      <c r="A659" t="inlineStr">
        <is>
          <t>A 51779-2024</t>
        </is>
      </c>
      <c r="B659" s="1" t="n">
        <v>45607</v>
      </c>
      <c r="C659" s="1" t="n">
        <v>45829</v>
      </c>
      <c r="D659" t="inlineStr">
        <is>
          <t>VÄSTRA GÖTALANDS LÄN</t>
        </is>
      </c>
      <c r="E659" t="inlineStr">
        <is>
          <t>DALS-ED</t>
        </is>
      </c>
      <c r="G659" t="n">
        <v>1.4</v>
      </c>
      <c r="H659" t="n">
        <v>0</v>
      </c>
      <c r="I659" t="n">
        <v>0</v>
      </c>
      <c r="J659" t="n">
        <v>0</v>
      </c>
      <c r="K659" t="n">
        <v>0</v>
      </c>
      <c r="L659" t="n">
        <v>0</v>
      </c>
      <c r="M659" t="n">
        <v>0</v>
      </c>
      <c r="N659" t="n">
        <v>0</v>
      </c>
      <c r="O659" t="n">
        <v>0</v>
      </c>
      <c r="P659" t="n">
        <v>0</v>
      </c>
      <c r="Q659" t="n">
        <v>0</v>
      </c>
      <c r="R659" s="2" t="inlineStr"/>
    </row>
    <row r="660" ht="15" customHeight="1">
      <c r="A660" t="inlineStr">
        <is>
          <t>A 51900-2024</t>
        </is>
      </c>
      <c r="B660" s="1" t="n">
        <v>45607</v>
      </c>
      <c r="C660" s="1" t="n">
        <v>45829</v>
      </c>
      <c r="D660" t="inlineStr">
        <is>
          <t>VÄSTRA GÖTALANDS LÄN</t>
        </is>
      </c>
      <c r="E660" t="inlineStr">
        <is>
          <t>DALS-ED</t>
        </is>
      </c>
      <c r="G660" t="n">
        <v>0.9</v>
      </c>
      <c r="H660" t="n">
        <v>0</v>
      </c>
      <c r="I660" t="n">
        <v>0</v>
      </c>
      <c r="J660" t="n">
        <v>0</v>
      </c>
      <c r="K660" t="n">
        <v>0</v>
      </c>
      <c r="L660" t="n">
        <v>0</v>
      </c>
      <c r="M660" t="n">
        <v>0</v>
      </c>
      <c r="N660" t="n">
        <v>0</v>
      </c>
      <c r="O660" t="n">
        <v>0</v>
      </c>
      <c r="P660" t="n">
        <v>0</v>
      </c>
      <c r="Q660" t="n">
        <v>0</v>
      </c>
      <c r="R660" s="2" t="inlineStr"/>
    </row>
    <row r="661" ht="15" customHeight="1">
      <c r="A661" t="inlineStr">
        <is>
          <t>A 52307-2024</t>
        </is>
      </c>
      <c r="B661" s="1" t="n">
        <v>45608</v>
      </c>
      <c r="C661" s="1" t="n">
        <v>45829</v>
      </c>
      <c r="D661" t="inlineStr">
        <is>
          <t>VÄSTRA GÖTALANDS LÄN</t>
        </is>
      </c>
      <c r="E661" t="inlineStr">
        <is>
          <t>DALS-ED</t>
        </is>
      </c>
      <c r="G661" t="n">
        <v>0.6</v>
      </c>
      <c r="H661" t="n">
        <v>0</v>
      </c>
      <c r="I661" t="n">
        <v>0</v>
      </c>
      <c r="J661" t="n">
        <v>0</v>
      </c>
      <c r="K661" t="n">
        <v>0</v>
      </c>
      <c r="L661" t="n">
        <v>0</v>
      </c>
      <c r="M661" t="n">
        <v>0</v>
      </c>
      <c r="N661" t="n">
        <v>0</v>
      </c>
      <c r="O661" t="n">
        <v>0</v>
      </c>
      <c r="P661" t="n">
        <v>0</v>
      </c>
      <c r="Q661" t="n">
        <v>0</v>
      </c>
      <c r="R661" s="2" t="inlineStr"/>
    </row>
    <row r="662" ht="15" customHeight="1">
      <c r="A662" t="inlineStr">
        <is>
          <t>A 52350-2024</t>
        </is>
      </c>
      <c r="B662" s="1" t="n">
        <v>45609</v>
      </c>
      <c r="C662" s="1" t="n">
        <v>45829</v>
      </c>
      <c r="D662" t="inlineStr">
        <is>
          <t>VÄSTRA GÖTALANDS LÄN</t>
        </is>
      </c>
      <c r="E662" t="inlineStr">
        <is>
          <t>DALS-ED</t>
        </is>
      </c>
      <c r="G662" t="n">
        <v>1</v>
      </c>
      <c r="H662" t="n">
        <v>0</v>
      </c>
      <c r="I662" t="n">
        <v>0</v>
      </c>
      <c r="J662" t="n">
        <v>0</v>
      </c>
      <c r="K662" t="n">
        <v>0</v>
      </c>
      <c r="L662" t="n">
        <v>0</v>
      </c>
      <c r="M662" t="n">
        <v>0</v>
      </c>
      <c r="N662" t="n">
        <v>0</v>
      </c>
      <c r="O662" t="n">
        <v>0</v>
      </c>
      <c r="P662" t="n">
        <v>0</v>
      </c>
      <c r="Q662" t="n">
        <v>0</v>
      </c>
      <c r="R662" s="2" t="inlineStr"/>
    </row>
    <row r="663" ht="15" customHeight="1">
      <c r="A663" t="inlineStr">
        <is>
          <t>A 52373-2024</t>
        </is>
      </c>
      <c r="B663" s="1" t="n">
        <v>45609</v>
      </c>
      <c r="C663" s="1" t="n">
        <v>45829</v>
      </c>
      <c r="D663" t="inlineStr">
        <is>
          <t>VÄSTRA GÖTALANDS LÄN</t>
        </is>
      </c>
      <c r="E663" t="inlineStr">
        <is>
          <t>DALS-ED</t>
        </is>
      </c>
      <c r="G663" t="n">
        <v>4.5</v>
      </c>
      <c r="H663" t="n">
        <v>0</v>
      </c>
      <c r="I663" t="n">
        <v>0</v>
      </c>
      <c r="J663" t="n">
        <v>0</v>
      </c>
      <c r="K663" t="n">
        <v>0</v>
      </c>
      <c r="L663" t="n">
        <v>0</v>
      </c>
      <c r="M663" t="n">
        <v>0</v>
      </c>
      <c r="N663" t="n">
        <v>0</v>
      </c>
      <c r="O663" t="n">
        <v>0</v>
      </c>
      <c r="P663" t="n">
        <v>0</v>
      </c>
      <c r="Q663" t="n">
        <v>0</v>
      </c>
      <c r="R663" s="2" t="inlineStr"/>
    </row>
    <row r="664" ht="15" customHeight="1">
      <c r="A664" t="inlineStr">
        <is>
          <t>A 52349-2024</t>
        </is>
      </c>
      <c r="B664" s="1" t="n">
        <v>45609</v>
      </c>
      <c r="C664" s="1" t="n">
        <v>45829</v>
      </c>
      <c r="D664" t="inlineStr">
        <is>
          <t>VÄSTRA GÖTALANDS LÄN</t>
        </is>
      </c>
      <c r="E664" t="inlineStr">
        <is>
          <t>DALS-ED</t>
        </is>
      </c>
      <c r="G664" t="n">
        <v>6.1</v>
      </c>
      <c r="H664" t="n">
        <v>0</v>
      </c>
      <c r="I664" t="n">
        <v>0</v>
      </c>
      <c r="J664" t="n">
        <v>0</v>
      </c>
      <c r="K664" t="n">
        <v>0</v>
      </c>
      <c r="L664" t="n">
        <v>0</v>
      </c>
      <c r="M664" t="n">
        <v>0</v>
      </c>
      <c r="N664" t="n">
        <v>0</v>
      </c>
      <c r="O664" t="n">
        <v>0</v>
      </c>
      <c r="P664" t="n">
        <v>0</v>
      </c>
      <c r="Q664" t="n">
        <v>0</v>
      </c>
      <c r="R664" s="2" t="inlineStr"/>
    </row>
    <row r="665" ht="15" customHeight="1">
      <c r="A665" t="inlineStr">
        <is>
          <t>A 53534-2024</t>
        </is>
      </c>
      <c r="B665" s="1" t="n">
        <v>45614</v>
      </c>
      <c r="C665" s="1" t="n">
        <v>45829</v>
      </c>
      <c r="D665" t="inlineStr">
        <is>
          <t>VÄSTRA GÖTALANDS LÄN</t>
        </is>
      </c>
      <c r="E665" t="inlineStr">
        <is>
          <t>DALS-ED</t>
        </is>
      </c>
      <c r="G665" t="n">
        <v>3</v>
      </c>
      <c r="H665" t="n">
        <v>0</v>
      </c>
      <c r="I665" t="n">
        <v>0</v>
      </c>
      <c r="J665" t="n">
        <v>0</v>
      </c>
      <c r="K665" t="n">
        <v>0</v>
      </c>
      <c r="L665" t="n">
        <v>0</v>
      </c>
      <c r="M665" t="n">
        <v>0</v>
      </c>
      <c r="N665" t="n">
        <v>0</v>
      </c>
      <c r="O665" t="n">
        <v>0</v>
      </c>
      <c r="P665" t="n">
        <v>0</v>
      </c>
      <c r="Q665" t="n">
        <v>0</v>
      </c>
      <c r="R665" s="2" t="inlineStr"/>
    </row>
    <row r="666" ht="15" customHeight="1">
      <c r="A666" t="inlineStr">
        <is>
          <t>A 53802-2024</t>
        </is>
      </c>
      <c r="B666" s="1" t="n">
        <v>45615</v>
      </c>
      <c r="C666" s="1" t="n">
        <v>45829</v>
      </c>
      <c r="D666" t="inlineStr">
        <is>
          <t>VÄSTRA GÖTALANDS LÄN</t>
        </is>
      </c>
      <c r="E666" t="inlineStr">
        <is>
          <t>DALS-ED</t>
        </is>
      </c>
      <c r="G666" t="n">
        <v>5.6</v>
      </c>
      <c r="H666" t="n">
        <v>0</v>
      </c>
      <c r="I666" t="n">
        <v>0</v>
      </c>
      <c r="J666" t="n">
        <v>0</v>
      </c>
      <c r="K666" t="n">
        <v>0</v>
      </c>
      <c r="L666" t="n">
        <v>0</v>
      </c>
      <c r="M666" t="n">
        <v>0</v>
      </c>
      <c r="N666" t="n">
        <v>0</v>
      </c>
      <c r="O666" t="n">
        <v>0</v>
      </c>
      <c r="P666" t="n">
        <v>0</v>
      </c>
      <c r="Q666" t="n">
        <v>0</v>
      </c>
      <c r="R666" s="2" t="inlineStr"/>
    </row>
    <row r="667" ht="15" customHeight="1">
      <c r="A667" t="inlineStr">
        <is>
          <t>A 53819-2024</t>
        </is>
      </c>
      <c r="B667" s="1" t="n">
        <v>45615</v>
      </c>
      <c r="C667" s="1" t="n">
        <v>45829</v>
      </c>
      <c r="D667" t="inlineStr">
        <is>
          <t>VÄSTRA GÖTALANDS LÄN</t>
        </is>
      </c>
      <c r="E667" t="inlineStr">
        <is>
          <t>DALS-ED</t>
        </is>
      </c>
      <c r="G667" t="n">
        <v>1.1</v>
      </c>
      <c r="H667" t="n">
        <v>0</v>
      </c>
      <c r="I667" t="n">
        <v>0</v>
      </c>
      <c r="J667" t="n">
        <v>0</v>
      </c>
      <c r="K667" t="n">
        <v>0</v>
      </c>
      <c r="L667" t="n">
        <v>0</v>
      </c>
      <c r="M667" t="n">
        <v>0</v>
      </c>
      <c r="N667" t="n">
        <v>0</v>
      </c>
      <c r="O667" t="n">
        <v>0</v>
      </c>
      <c r="P667" t="n">
        <v>0</v>
      </c>
      <c r="Q667" t="n">
        <v>0</v>
      </c>
      <c r="R667" s="2" t="inlineStr"/>
    </row>
    <row r="668" ht="15" customHeight="1">
      <c r="A668" t="inlineStr">
        <is>
          <t>A 53910-2024</t>
        </is>
      </c>
      <c r="B668" s="1" t="n">
        <v>45615</v>
      </c>
      <c r="C668" s="1" t="n">
        <v>45829</v>
      </c>
      <c r="D668" t="inlineStr">
        <is>
          <t>VÄSTRA GÖTALANDS LÄN</t>
        </is>
      </c>
      <c r="E668" t="inlineStr">
        <is>
          <t>DALS-ED</t>
        </is>
      </c>
      <c r="G668" t="n">
        <v>1.5</v>
      </c>
      <c r="H668" t="n">
        <v>0</v>
      </c>
      <c r="I668" t="n">
        <v>0</v>
      </c>
      <c r="J668" t="n">
        <v>0</v>
      </c>
      <c r="K668" t="n">
        <v>0</v>
      </c>
      <c r="L668" t="n">
        <v>0</v>
      </c>
      <c r="M668" t="n">
        <v>0</v>
      </c>
      <c r="N668" t="n">
        <v>0</v>
      </c>
      <c r="O668" t="n">
        <v>0</v>
      </c>
      <c r="P668" t="n">
        <v>0</v>
      </c>
      <c r="Q668" t="n">
        <v>0</v>
      </c>
      <c r="R668" s="2" t="inlineStr"/>
    </row>
    <row r="669" ht="15" customHeight="1">
      <c r="A669" t="inlineStr">
        <is>
          <t>A 54206-2024</t>
        </is>
      </c>
      <c r="B669" s="1" t="n">
        <v>45616</v>
      </c>
      <c r="C669" s="1" t="n">
        <v>45829</v>
      </c>
      <c r="D669" t="inlineStr">
        <is>
          <t>VÄSTRA GÖTALANDS LÄN</t>
        </is>
      </c>
      <c r="E669" t="inlineStr">
        <is>
          <t>DALS-ED</t>
        </is>
      </c>
      <c r="G669" t="n">
        <v>5</v>
      </c>
      <c r="H669" t="n">
        <v>0</v>
      </c>
      <c r="I669" t="n">
        <v>0</v>
      </c>
      <c r="J669" t="n">
        <v>0</v>
      </c>
      <c r="K669" t="n">
        <v>0</v>
      </c>
      <c r="L669" t="n">
        <v>0</v>
      </c>
      <c r="M669" t="n">
        <v>0</v>
      </c>
      <c r="N669" t="n">
        <v>0</v>
      </c>
      <c r="O669" t="n">
        <v>0</v>
      </c>
      <c r="P669" t="n">
        <v>0</v>
      </c>
      <c r="Q669" t="n">
        <v>0</v>
      </c>
      <c r="R669" s="2" t="inlineStr"/>
    </row>
    <row r="670" ht="15" customHeight="1">
      <c r="A670" t="inlineStr">
        <is>
          <t>A 54183-2024</t>
        </is>
      </c>
      <c r="B670" s="1" t="n">
        <v>45616</v>
      </c>
      <c r="C670" s="1" t="n">
        <v>45829</v>
      </c>
      <c r="D670" t="inlineStr">
        <is>
          <t>VÄSTRA GÖTALANDS LÄN</t>
        </is>
      </c>
      <c r="E670" t="inlineStr">
        <is>
          <t>DALS-ED</t>
        </is>
      </c>
      <c r="G670" t="n">
        <v>1.6</v>
      </c>
      <c r="H670" t="n">
        <v>0</v>
      </c>
      <c r="I670" t="n">
        <v>0</v>
      </c>
      <c r="J670" t="n">
        <v>0</v>
      </c>
      <c r="K670" t="n">
        <v>0</v>
      </c>
      <c r="L670" t="n">
        <v>0</v>
      </c>
      <c r="M670" t="n">
        <v>0</v>
      </c>
      <c r="N670" t="n">
        <v>0</v>
      </c>
      <c r="O670" t="n">
        <v>0</v>
      </c>
      <c r="P670" t="n">
        <v>0</v>
      </c>
      <c r="Q670" t="n">
        <v>0</v>
      </c>
      <c r="R670" s="2" t="inlineStr"/>
    </row>
    <row r="671" ht="15" customHeight="1">
      <c r="A671" t="inlineStr">
        <is>
          <t>A 55077-2024</t>
        </is>
      </c>
      <c r="B671" s="1" t="n">
        <v>45621</v>
      </c>
      <c r="C671" s="1" t="n">
        <v>45829</v>
      </c>
      <c r="D671" t="inlineStr">
        <is>
          <t>VÄSTRA GÖTALANDS LÄN</t>
        </is>
      </c>
      <c r="E671" t="inlineStr">
        <is>
          <t>DALS-ED</t>
        </is>
      </c>
      <c r="G671" t="n">
        <v>0.5</v>
      </c>
      <c r="H671" t="n">
        <v>0</v>
      </c>
      <c r="I671" t="n">
        <v>0</v>
      </c>
      <c r="J671" t="n">
        <v>0</v>
      </c>
      <c r="K671" t="n">
        <v>0</v>
      </c>
      <c r="L671" t="n">
        <v>0</v>
      </c>
      <c r="M671" t="n">
        <v>0</v>
      </c>
      <c r="N671" t="n">
        <v>0</v>
      </c>
      <c r="O671" t="n">
        <v>0</v>
      </c>
      <c r="P671" t="n">
        <v>0</v>
      </c>
      <c r="Q671" t="n">
        <v>0</v>
      </c>
      <c r="R671" s="2" t="inlineStr"/>
    </row>
    <row r="672" ht="15" customHeight="1">
      <c r="A672" t="inlineStr">
        <is>
          <t>A 55088-2024</t>
        </is>
      </c>
      <c r="B672" s="1" t="n">
        <v>45621</v>
      </c>
      <c r="C672" s="1" t="n">
        <v>45829</v>
      </c>
      <c r="D672" t="inlineStr">
        <is>
          <t>VÄSTRA GÖTALANDS LÄN</t>
        </is>
      </c>
      <c r="E672" t="inlineStr">
        <is>
          <t>DALS-ED</t>
        </is>
      </c>
      <c r="G672" t="n">
        <v>0.3</v>
      </c>
      <c r="H672" t="n">
        <v>0</v>
      </c>
      <c r="I672" t="n">
        <v>0</v>
      </c>
      <c r="J672" t="n">
        <v>0</v>
      </c>
      <c r="K672" t="n">
        <v>0</v>
      </c>
      <c r="L672" t="n">
        <v>0</v>
      </c>
      <c r="M672" t="n">
        <v>0</v>
      </c>
      <c r="N672" t="n">
        <v>0</v>
      </c>
      <c r="O672" t="n">
        <v>0</v>
      </c>
      <c r="P672" t="n">
        <v>0</v>
      </c>
      <c r="Q672" t="n">
        <v>0</v>
      </c>
      <c r="R672" s="2" t="inlineStr"/>
    </row>
    <row r="673" ht="15" customHeight="1">
      <c r="A673" t="inlineStr">
        <is>
          <t>A 55084-2024</t>
        </is>
      </c>
      <c r="B673" s="1" t="n">
        <v>45621</v>
      </c>
      <c r="C673" s="1" t="n">
        <v>45829</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55138-2024</t>
        </is>
      </c>
      <c r="B674" s="1" t="n">
        <v>45621</v>
      </c>
      <c r="C674" s="1" t="n">
        <v>45829</v>
      </c>
      <c r="D674" t="inlineStr">
        <is>
          <t>VÄSTRA GÖTALANDS LÄN</t>
        </is>
      </c>
      <c r="E674" t="inlineStr">
        <is>
          <t>DALS-ED</t>
        </is>
      </c>
      <c r="G674" t="n">
        <v>2.7</v>
      </c>
      <c r="H674" t="n">
        <v>0</v>
      </c>
      <c r="I674" t="n">
        <v>0</v>
      </c>
      <c r="J674" t="n">
        <v>0</v>
      </c>
      <c r="K674" t="n">
        <v>0</v>
      </c>
      <c r="L674" t="n">
        <v>0</v>
      </c>
      <c r="M674" t="n">
        <v>0</v>
      </c>
      <c r="N674" t="n">
        <v>0</v>
      </c>
      <c r="O674" t="n">
        <v>0</v>
      </c>
      <c r="P674" t="n">
        <v>0</v>
      </c>
      <c r="Q674" t="n">
        <v>0</v>
      </c>
      <c r="R674" s="2" t="inlineStr"/>
    </row>
    <row r="675" ht="15" customHeight="1">
      <c r="A675" t="inlineStr">
        <is>
          <t>A 55134-2024</t>
        </is>
      </c>
      <c r="B675" s="1" t="n">
        <v>45621</v>
      </c>
      <c r="C675" s="1" t="n">
        <v>45829</v>
      </c>
      <c r="D675" t="inlineStr">
        <is>
          <t>VÄSTRA GÖTALANDS LÄN</t>
        </is>
      </c>
      <c r="E675" t="inlineStr">
        <is>
          <t>DALS-ED</t>
        </is>
      </c>
      <c r="G675" t="n">
        <v>1.1</v>
      </c>
      <c r="H675" t="n">
        <v>0</v>
      </c>
      <c r="I675" t="n">
        <v>0</v>
      </c>
      <c r="J675" t="n">
        <v>0</v>
      </c>
      <c r="K675" t="n">
        <v>0</v>
      </c>
      <c r="L675" t="n">
        <v>0</v>
      </c>
      <c r="M675" t="n">
        <v>0</v>
      </c>
      <c r="N675" t="n">
        <v>0</v>
      </c>
      <c r="O675" t="n">
        <v>0</v>
      </c>
      <c r="P675" t="n">
        <v>0</v>
      </c>
      <c r="Q675" t="n">
        <v>0</v>
      </c>
      <c r="R675" s="2" t="inlineStr"/>
    </row>
    <row r="676" ht="15" customHeight="1">
      <c r="A676" t="inlineStr">
        <is>
          <t>A 55912-2024</t>
        </is>
      </c>
      <c r="B676" s="1" t="n">
        <v>45623</v>
      </c>
      <c r="C676" s="1" t="n">
        <v>45829</v>
      </c>
      <c r="D676" t="inlineStr">
        <is>
          <t>VÄSTRA GÖTALANDS LÄN</t>
        </is>
      </c>
      <c r="E676" t="inlineStr">
        <is>
          <t>DALS-ED</t>
        </is>
      </c>
      <c r="G676" t="n">
        <v>7.7</v>
      </c>
      <c r="H676" t="n">
        <v>0</v>
      </c>
      <c r="I676" t="n">
        <v>0</v>
      </c>
      <c r="J676" t="n">
        <v>0</v>
      </c>
      <c r="K676" t="n">
        <v>0</v>
      </c>
      <c r="L676" t="n">
        <v>0</v>
      </c>
      <c r="M676" t="n">
        <v>0</v>
      </c>
      <c r="N676" t="n">
        <v>0</v>
      </c>
      <c r="O676" t="n">
        <v>0</v>
      </c>
      <c r="P676" t="n">
        <v>0</v>
      </c>
      <c r="Q676" t="n">
        <v>0</v>
      </c>
      <c r="R676" s="2" t="inlineStr"/>
    </row>
    <row r="677" ht="15" customHeight="1">
      <c r="A677" t="inlineStr">
        <is>
          <t>A 56344-2024</t>
        </is>
      </c>
      <c r="B677" s="1" t="n">
        <v>45624</v>
      </c>
      <c r="C677" s="1" t="n">
        <v>45829</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56341-2024</t>
        </is>
      </c>
      <c r="B678" s="1" t="n">
        <v>45624</v>
      </c>
      <c r="C678" s="1" t="n">
        <v>45829</v>
      </c>
      <c r="D678" t="inlineStr">
        <is>
          <t>VÄSTRA GÖTALANDS LÄN</t>
        </is>
      </c>
      <c r="E678" t="inlineStr">
        <is>
          <t>DALS-ED</t>
        </is>
      </c>
      <c r="G678" t="n">
        <v>3</v>
      </c>
      <c r="H678" t="n">
        <v>0</v>
      </c>
      <c r="I678" t="n">
        <v>0</v>
      </c>
      <c r="J678" t="n">
        <v>0</v>
      </c>
      <c r="K678" t="n">
        <v>0</v>
      </c>
      <c r="L678" t="n">
        <v>0</v>
      </c>
      <c r="M678" t="n">
        <v>0</v>
      </c>
      <c r="N678" t="n">
        <v>0</v>
      </c>
      <c r="O678" t="n">
        <v>0</v>
      </c>
      <c r="P678" t="n">
        <v>0</v>
      </c>
      <c r="Q678" t="n">
        <v>0</v>
      </c>
      <c r="R678" s="2" t="inlineStr"/>
    </row>
    <row r="679" ht="15" customHeight="1">
      <c r="A679" t="inlineStr">
        <is>
          <t>A 56781-2024</t>
        </is>
      </c>
      <c r="B679" s="1" t="n">
        <v>45628</v>
      </c>
      <c r="C679" s="1" t="n">
        <v>45829</v>
      </c>
      <c r="D679" t="inlineStr">
        <is>
          <t>VÄSTRA GÖTALANDS LÄN</t>
        </is>
      </c>
      <c r="E679" t="inlineStr">
        <is>
          <t>DALS-ED</t>
        </is>
      </c>
      <c r="G679" t="n">
        <v>1.8</v>
      </c>
      <c r="H679" t="n">
        <v>0</v>
      </c>
      <c r="I679" t="n">
        <v>0</v>
      </c>
      <c r="J679" t="n">
        <v>0</v>
      </c>
      <c r="K679" t="n">
        <v>0</v>
      </c>
      <c r="L679" t="n">
        <v>0</v>
      </c>
      <c r="M679" t="n">
        <v>0</v>
      </c>
      <c r="N679" t="n">
        <v>0</v>
      </c>
      <c r="O679" t="n">
        <v>0</v>
      </c>
      <c r="P679" t="n">
        <v>0</v>
      </c>
      <c r="Q679" t="n">
        <v>0</v>
      </c>
      <c r="R679" s="2" t="inlineStr"/>
    </row>
    <row r="680" ht="15" customHeight="1">
      <c r="A680" t="inlineStr">
        <is>
          <t>A 56765-2024</t>
        </is>
      </c>
      <c r="B680" s="1" t="n">
        <v>45628</v>
      </c>
      <c r="C680" s="1" t="n">
        <v>45829</v>
      </c>
      <c r="D680" t="inlineStr">
        <is>
          <t>VÄSTRA GÖTALANDS LÄN</t>
        </is>
      </c>
      <c r="E680" t="inlineStr">
        <is>
          <t>DALS-ED</t>
        </is>
      </c>
      <c r="G680" t="n">
        <v>0.8</v>
      </c>
      <c r="H680" t="n">
        <v>0</v>
      </c>
      <c r="I680" t="n">
        <v>0</v>
      </c>
      <c r="J680" t="n">
        <v>0</v>
      </c>
      <c r="K680" t="n">
        <v>0</v>
      </c>
      <c r="L680" t="n">
        <v>0</v>
      </c>
      <c r="M680" t="n">
        <v>0</v>
      </c>
      <c r="N680" t="n">
        <v>0</v>
      </c>
      <c r="O680" t="n">
        <v>0</v>
      </c>
      <c r="P680" t="n">
        <v>0</v>
      </c>
      <c r="Q680" t="n">
        <v>0</v>
      </c>
      <c r="R680" s="2" t="inlineStr"/>
    </row>
    <row r="681" ht="15" customHeight="1">
      <c r="A681" t="inlineStr">
        <is>
          <t>A 58590-2024</t>
        </is>
      </c>
      <c r="B681" s="1" t="n">
        <v>45632</v>
      </c>
      <c r="C681" s="1" t="n">
        <v>45829</v>
      </c>
      <c r="D681" t="inlineStr">
        <is>
          <t>VÄSTRA GÖTALANDS LÄN</t>
        </is>
      </c>
      <c r="E681" t="inlineStr">
        <is>
          <t>DALS-ED</t>
        </is>
      </c>
      <c r="G681" t="n">
        <v>1.7</v>
      </c>
      <c r="H681" t="n">
        <v>0</v>
      </c>
      <c r="I681" t="n">
        <v>0</v>
      </c>
      <c r="J681" t="n">
        <v>0</v>
      </c>
      <c r="K681" t="n">
        <v>0</v>
      </c>
      <c r="L681" t="n">
        <v>0</v>
      </c>
      <c r="M681" t="n">
        <v>0</v>
      </c>
      <c r="N681" t="n">
        <v>0</v>
      </c>
      <c r="O681" t="n">
        <v>0</v>
      </c>
      <c r="P681" t="n">
        <v>0</v>
      </c>
      <c r="Q681" t="n">
        <v>0</v>
      </c>
      <c r="R681" s="2" t="inlineStr"/>
    </row>
    <row r="682" ht="15" customHeight="1">
      <c r="A682" t="inlineStr">
        <is>
          <t>A 58354-2024</t>
        </is>
      </c>
      <c r="B682" s="1" t="n">
        <v>45632</v>
      </c>
      <c r="C682" s="1" t="n">
        <v>45829</v>
      </c>
      <c r="D682" t="inlineStr">
        <is>
          <t>VÄSTRA GÖTALANDS LÄN</t>
        </is>
      </c>
      <c r="E682" t="inlineStr">
        <is>
          <t>DALS-ED</t>
        </is>
      </c>
      <c r="G682" t="n">
        <v>3.3</v>
      </c>
      <c r="H682" t="n">
        <v>0</v>
      </c>
      <c r="I682" t="n">
        <v>0</v>
      </c>
      <c r="J682" t="n">
        <v>0</v>
      </c>
      <c r="K682" t="n">
        <v>0</v>
      </c>
      <c r="L682" t="n">
        <v>0</v>
      </c>
      <c r="M682" t="n">
        <v>0</v>
      </c>
      <c r="N682" t="n">
        <v>0</v>
      </c>
      <c r="O682" t="n">
        <v>0</v>
      </c>
      <c r="P682" t="n">
        <v>0</v>
      </c>
      <c r="Q682" t="n">
        <v>0</v>
      </c>
      <c r="R682" s="2" t="inlineStr"/>
    </row>
    <row r="683" ht="15" customHeight="1">
      <c r="A683" t="inlineStr">
        <is>
          <t>A 58346-2024</t>
        </is>
      </c>
      <c r="B683" s="1" t="n">
        <v>45632</v>
      </c>
      <c r="C683" s="1" t="n">
        <v>45829</v>
      </c>
      <c r="D683" t="inlineStr">
        <is>
          <t>VÄSTRA GÖTALANDS LÄN</t>
        </is>
      </c>
      <c r="E683" t="inlineStr">
        <is>
          <t>DALS-ED</t>
        </is>
      </c>
      <c r="G683" t="n">
        <v>2.4</v>
      </c>
      <c r="H683" t="n">
        <v>0</v>
      </c>
      <c r="I683" t="n">
        <v>0</v>
      </c>
      <c r="J683" t="n">
        <v>0</v>
      </c>
      <c r="K683" t="n">
        <v>0</v>
      </c>
      <c r="L683" t="n">
        <v>0</v>
      </c>
      <c r="M683" t="n">
        <v>0</v>
      </c>
      <c r="N683" t="n">
        <v>0</v>
      </c>
      <c r="O683" t="n">
        <v>0</v>
      </c>
      <c r="P683" t="n">
        <v>0</v>
      </c>
      <c r="Q683" t="n">
        <v>0</v>
      </c>
      <c r="R683" s="2" t="inlineStr"/>
    </row>
    <row r="684" ht="15" customHeight="1">
      <c r="A684" t="inlineStr">
        <is>
          <t>A 58584-2024</t>
        </is>
      </c>
      <c r="B684" s="1" t="n">
        <v>45632</v>
      </c>
      <c r="C684" s="1" t="n">
        <v>45829</v>
      </c>
      <c r="D684" t="inlineStr">
        <is>
          <t>VÄSTRA GÖTALANDS LÄN</t>
        </is>
      </c>
      <c r="E684" t="inlineStr">
        <is>
          <t>DALS-ED</t>
        </is>
      </c>
      <c r="G684" t="n">
        <v>1.5</v>
      </c>
      <c r="H684" t="n">
        <v>0</v>
      </c>
      <c r="I684" t="n">
        <v>0</v>
      </c>
      <c r="J684" t="n">
        <v>0</v>
      </c>
      <c r="K684" t="n">
        <v>0</v>
      </c>
      <c r="L684" t="n">
        <v>0</v>
      </c>
      <c r="M684" t="n">
        <v>0</v>
      </c>
      <c r="N684" t="n">
        <v>0</v>
      </c>
      <c r="O684" t="n">
        <v>0</v>
      </c>
      <c r="P684" t="n">
        <v>0</v>
      </c>
      <c r="Q684" t="n">
        <v>0</v>
      </c>
      <c r="R684" s="2" t="inlineStr"/>
    </row>
    <row r="685" ht="15" customHeight="1">
      <c r="A685" t="inlineStr">
        <is>
          <t>A 58405-2024</t>
        </is>
      </c>
      <c r="B685" s="1" t="n">
        <v>45634</v>
      </c>
      <c r="C685" s="1" t="n">
        <v>45829</v>
      </c>
      <c r="D685" t="inlineStr">
        <is>
          <t>VÄSTRA GÖTALANDS LÄN</t>
        </is>
      </c>
      <c r="E685" t="inlineStr">
        <is>
          <t>DALS-ED</t>
        </is>
      </c>
      <c r="G685" t="n">
        <v>4.4</v>
      </c>
      <c r="H685" t="n">
        <v>0</v>
      </c>
      <c r="I685" t="n">
        <v>0</v>
      </c>
      <c r="J685" t="n">
        <v>0</v>
      </c>
      <c r="K685" t="n">
        <v>0</v>
      </c>
      <c r="L685" t="n">
        <v>0</v>
      </c>
      <c r="M685" t="n">
        <v>0</v>
      </c>
      <c r="N685" t="n">
        <v>0</v>
      </c>
      <c r="O685" t="n">
        <v>0</v>
      </c>
      <c r="P685" t="n">
        <v>0</v>
      </c>
      <c r="Q685" t="n">
        <v>0</v>
      </c>
      <c r="R685" s="2" t="inlineStr"/>
    </row>
    <row r="686" ht="15" customHeight="1">
      <c r="A686" t="inlineStr">
        <is>
          <t>A 58859-2024</t>
        </is>
      </c>
      <c r="B686" s="1" t="n">
        <v>45636</v>
      </c>
      <c r="C686" s="1" t="n">
        <v>45829</v>
      </c>
      <c r="D686" t="inlineStr">
        <is>
          <t>VÄSTRA GÖTALANDS LÄN</t>
        </is>
      </c>
      <c r="E686" t="inlineStr">
        <is>
          <t>DALS-ED</t>
        </is>
      </c>
      <c r="G686" t="n">
        <v>1.4</v>
      </c>
      <c r="H686" t="n">
        <v>0</v>
      </c>
      <c r="I686" t="n">
        <v>0</v>
      </c>
      <c r="J686" t="n">
        <v>0</v>
      </c>
      <c r="K686" t="n">
        <v>0</v>
      </c>
      <c r="L686" t="n">
        <v>0</v>
      </c>
      <c r="M686" t="n">
        <v>0</v>
      </c>
      <c r="N686" t="n">
        <v>0</v>
      </c>
      <c r="O686" t="n">
        <v>0</v>
      </c>
      <c r="P686" t="n">
        <v>0</v>
      </c>
      <c r="Q686" t="n">
        <v>0</v>
      </c>
      <c r="R686" s="2" t="inlineStr"/>
    </row>
    <row r="687" ht="15" customHeight="1">
      <c r="A687" t="inlineStr">
        <is>
          <t>A 58855-2024</t>
        </is>
      </c>
      <c r="B687" s="1" t="n">
        <v>45636</v>
      </c>
      <c r="C687" s="1" t="n">
        <v>45829</v>
      </c>
      <c r="D687" t="inlineStr">
        <is>
          <t>VÄSTRA GÖTALANDS LÄN</t>
        </is>
      </c>
      <c r="E687" t="inlineStr">
        <is>
          <t>DALS-ED</t>
        </is>
      </c>
      <c r="G687" t="n">
        <v>0.3</v>
      </c>
      <c r="H687" t="n">
        <v>0</v>
      </c>
      <c r="I687" t="n">
        <v>0</v>
      </c>
      <c r="J687" t="n">
        <v>0</v>
      </c>
      <c r="K687" t="n">
        <v>0</v>
      </c>
      <c r="L687" t="n">
        <v>0</v>
      </c>
      <c r="M687" t="n">
        <v>0</v>
      </c>
      <c r="N687" t="n">
        <v>0</v>
      </c>
      <c r="O687" t="n">
        <v>0</v>
      </c>
      <c r="P687" t="n">
        <v>0</v>
      </c>
      <c r="Q687" t="n">
        <v>0</v>
      </c>
      <c r="R687" s="2" t="inlineStr"/>
    </row>
    <row r="688" ht="15" customHeight="1">
      <c r="A688" t="inlineStr">
        <is>
          <t>A 58851-2024</t>
        </is>
      </c>
      <c r="B688" s="1" t="n">
        <v>45636</v>
      </c>
      <c r="C688" s="1" t="n">
        <v>45829</v>
      </c>
      <c r="D688" t="inlineStr">
        <is>
          <t>VÄSTRA GÖTALANDS LÄN</t>
        </is>
      </c>
      <c r="E688" t="inlineStr">
        <is>
          <t>DALS-ED</t>
        </is>
      </c>
      <c r="G688" t="n">
        <v>1.9</v>
      </c>
      <c r="H688" t="n">
        <v>0</v>
      </c>
      <c r="I688" t="n">
        <v>0</v>
      </c>
      <c r="J688" t="n">
        <v>0</v>
      </c>
      <c r="K688" t="n">
        <v>0</v>
      </c>
      <c r="L688" t="n">
        <v>0</v>
      </c>
      <c r="M688" t="n">
        <v>0</v>
      </c>
      <c r="N688" t="n">
        <v>0</v>
      </c>
      <c r="O688" t="n">
        <v>0</v>
      </c>
      <c r="P688" t="n">
        <v>0</v>
      </c>
      <c r="Q688" t="n">
        <v>0</v>
      </c>
      <c r="R688" s="2" t="inlineStr"/>
    </row>
    <row r="689" ht="15" customHeight="1">
      <c r="A689" t="inlineStr">
        <is>
          <t>A 59854-2024</t>
        </is>
      </c>
      <c r="B689" s="1" t="n">
        <v>45639</v>
      </c>
      <c r="C689" s="1" t="n">
        <v>45829</v>
      </c>
      <c r="D689" t="inlineStr">
        <is>
          <t>VÄSTRA GÖTALANDS LÄN</t>
        </is>
      </c>
      <c r="E689" t="inlineStr">
        <is>
          <t>DALS-ED</t>
        </is>
      </c>
      <c r="G689" t="n">
        <v>2</v>
      </c>
      <c r="H689" t="n">
        <v>0</v>
      </c>
      <c r="I689" t="n">
        <v>0</v>
      </c>
      <c r="J689" t="n">
        <v>0</v>
      </c>
      <c r="K689" t="n">
        <v>0</v>
      </c>
      <c r="L689" t="n">
        <v>0</v>
      </c>
      <c r="M689" t="n">
        <v>0</v>
      </c>
      <c r="N689" t="n">
        <v>0</v>
      </c>
      <c r="O689" t="n">
        <v>0</v>
      </c>
      <c r="P689" t="n">
        <v>0</v>
      </c>
      <c r="Q689" t="n">
        <v>0</v>
      </c>
      <c r="R689" s="2" t="inlineStr"/>
    </row>
    <row r="690" ht="15" customHeight="1">
      <c r="A690" t="inlineStr">
        <is>
          <t>A 59855-2024</t>
        </is>
      </c>
      <c r="B690" s="1" t="n">
        <v>45639</v>
      </c>
      <c r="C690" s="1" t="n">
        <v>45829</v>
      </c>
      <c r="D690" t="inlineStr">
        <is>
          <t>VÄSTRA GÖTALANDS LÄN</t>
        </is>
      </c>
      <c r="E690" t="inlineStr">
        <is>
          <t>DALS-ED</t>
        </is>
      </c>
      <c r="G690" t="n">
        <v>0.6</v>
      </c>
      <c r="H690" t="n">
        <v>0</v>
      </c>
      <c r="I690" t="n">
        <v>0</v>
      </c>
      <c r="J690" t="n">
        <v>0</v>
      </c>
      <c r="K690" t="n">
        <v>0</v>
      </c>
      <c r="L690" t="n">
        <v>0</v>
      </c>
      <c r="M690" t="n">
        <v>0</v>
      </c>
      <c r="N690" t="n">
        <v>0</v>
      </c>
      <c r="O690" t="n">
        <v>0</v>
      </c>
      <c r="P690" t="n">
        <v>0</v>
      </c>
      <c r="Q690" t="n">
        <v>0</v>
      </c>
      <c r="R690" s="2" t="inlineStr"/>
    </row>
    <row r="691" ht="15" customHeight="1">
      <c r="A691" t="inlineStr">
        <is>
          <t>A 60590-2024</t>
        </is>
      </c>
      <c r="B691" s="1" t="n">
        <v>45644</v>
      </c>
      <c r="C691" s="1" t="n">
        <v>45829</v>
      </c>
      <c r="D691" t="inlineStr">
        <is>
          <t>VÄSTRA GÖTALANDS LÄN</t>
        </is>
      </c>
      <c r="E691" t="inlineStr">
        <is>
          <t>DALS-ED</t>
        </is>
      </c>
      <c r="G691" t="n">
        <v>2.2</v>
      </c>
      <c r="H691" t="n">
        <v>0</v>
      </c>
      <c r="I691" t="n">
        <v>0</v>
      </c>
      <c r="J691" t="n">
        <v>0</v>
      </c>
      <c r="K691" t="n">
        <v>0</v>
      </c>
      <c r="L691" t="n">
        <v>0</v>
      </c>
      <c r="M691" t="n">
        <v>0</v>
      </c>
      <c r="N691" t="n">
        <v>0</v>
      </c>
      <c r="O691" t="n">
        <v>0</v>
      </c>
      <c r="P691" t="n">
        <v>0</v>
      </c>
      <c r="Q691" t="n">
        <v>0</v>
      </c>
      <c r="R691" s="2" t="inlineStr"/>
    </row>
    <row r="692" ht="15" customHeight="1">
      <c r="A692" t="inlineStr">
        <is>
          <t>A 61497-2024</t>
        </is>
      </c>
      <c r="B692" s="1" t="n">
        <v>45646</v>
      </c>
      <c r="C692" s="1" t="n">
        <v>45829</v>
      </c>
      <c r="D692" t="inlineStr">
        <is>
          <t>VÄSTRA GÖTALANDS LÄN</t>
        </is>
      </c>
      <c r="E692" t="inlineStr">
        <is>
          <t>DALS-ED</t>
        </is>
      </c>
      <c r="G692" t="n">
        <v>1.6</v>
      </c>
      <c r="H692" t="n">
        <v>0</v>
      </c>
      <c r="I692" t="n">
        <v>0</v>
      </c>
      <c r="J692" t="n">
        <v>0</v>
      </c>
      <c r="K692" t="n">
        <v>0</v>
      </c>
      <c r="L692" t="n">
        <v>0</v>
      </c>
      <c r="M692" t="n">
        <v>0</v>
      </c>
      <c r="N692" t="n">
        <v>0</v>
      </c>
      <c r="O692" t="n">
        <v>0</v>
      </c>
      <c r="P692" t="n">
        <v>0</v>
      </c>
      <c r="Q692" t="n">
        <v>0</v>
      </c>
      <c r="R692" s="2" t="inlineStr"/>
    </row>
    <row r="693" ht="15" customHeight="1">
      <c r="A693" t="inlineStr">
        <is>
          <t>A 9-2025</t>
        </is>
      </c>
      <c r="B693" s="1" t="n">
        <v>45658</v>
      </c>
      <c r="C693" s="1" t="n">
        <v>45829</v>
      </c>
      <c r="D693" t="inlineStr">
        <is>
          <t>VÄSTRA GÖTALANDS LÄN</t>
        </is>
      </c>
      <c r="E693" t="inlineStr">
        <is>
          <t>DALS-ED</t>
        </is>
      </c>
      <c r="G693" t="n">
        <v>7.3</v>
      </c>
      <c r="H693" t="n">
        <v>0</v>
      </c>
      <c r="I693" t="n">
        <v>0</v>
      </c>
      <c r="J693" t="n">
        <v>0</v>
      </c>
      <c r="K693" t="n">
        <v>0</v>
      </c>
      <c r="L693" t="n">
        <v>0</v>
      </c>
      <c r="M693" t="n">
        <v>0</v>
      </c>
      <c r="N693" t="n">
        <v>0</v>
      </c>
      <c r="O693" t="n">
        <v>0</v>
      </c>
      <c r="P693" t="n">
        <v>0</v>
      </c>
      <c r="Q693" t="n">
        <v>0</v>
      </c>
      <c r="R693" s="2" t="inlineStr"/>
    </row>
    <row r="694" ht="15" customHeight="1">
      <c r="A694" t="inlineStr">
        <is>
          <t>A 308-2025</t>
        </is>
      </c>
      <c r="B694" s="1" t="n">
        <v>45660</v>
      </c>
      <c r="C694" s="1" t="n">
        <v>45829</v>
      </c>
      <c r="D694" t="inlineStr">
        <is>
          <t>VÄSTRA GÖTALANDS LÄN</t>
        </is>
      </c>
      <c r="E694" t="inlineStr">
        <is>
          <t>DALS-ED</t>
        </is>
      </c>
      <c r="G694" t="n">
        <v>1.2</v>
      </c>
      <c r="H694" t="n">
        <v>0</v>
      </c>
      <c r="I694" t="n">
        <v>0</v>
      </c>
      <c r="J694" t="n">
        <v>0</v>
      </c>
      <c r="K694" t="n">
        <v>0</v>
      </c>
      <c r="L694" t="n">
        <v>0</v>
      </c>
      <c r="M694" t="n">
        <v>0</v>
      </c>
      <c r="N694" t="n">
        <v>0</v>
      </c>
      <c r="O694" t="n">
        <v>0</v>
      </c>
      <c r="P694" t="n">
        <v>0</v>
      </c>
      <c r="Q694" t="n">
        <v>0</v>
      </c>
      <c r="R694" s="2" t="inlineStr"/>
    </row>
    <row r="695" ht="15" customHeight="1">
      <c r="A695" t="inlineStr">
        <is>
          <t>A 979-2025</t>
        </is>
      </c>
      <c r="B695" s="1" t="n">
        <v>45666</v>
      </c>
      <c r="C695" s="1" t="n">
        <v>45829</v>
      </c>
      <c r="D695" t="inlineStr">
        <is>
          <t>VÄSTRA GÖTALANDS LÄN</t>
        </is>
      </c>
      <c r="E695" t="inlineStr">
        <is>
          <t>DALS-ED</t>
        </is>
      </c>
      <c r="G695" t="n">
        <v>4.4</v>
      </c>
      <c r="H695" t="n">
        <v>0</v>
      </c>
      <c r="I695" t="n">
        <v>0</v>
      </c>
      <c r="J695" t="n">
        <v>0</v>
      </c>
      <c r="K695" t="n">
        <v>0</v>
      </c>
      <c r="L695" t="n">
        <v>0</v>
      </c>
      <c r="M695" t="n">
        <v>0</v>
      </c>
      <c r="N695" t="n">
        <v>0</v>
      </c>
      <c r="O695" t="n">
        <v>0</v>
      </c>
      <c r="P695" t="n">
        <v>0</v>
      </c>
      <c r="Q695" t="n">
        <v>0</v>
      </c>
      <c r="R695" s="2" t="inlineStr"/>
    </row>
    <row r="696" ht="15" customHeight="1">
      <c r="A696" t="inlineStr">
        <is>
          <t>A 981-2025</t>
        </is>
      </c>
      <c r="B696" s="1" t="n">
        <v>45666</v>
      </c>
      <c r="C696" s="1" t="n">
        <v>45829</v>
      </c>
      <c r="D696" t="inlineStr">
        <is>
          <t>VÄSTRA GÖTALANDS LÄN</t>
        </is>
      </c>
      <c r="E696" t="inlineStr">
        <is>
          <t>DALS-ED</t>
        </is>
      </c>
      <c r="G696" t="n">
        <v>2.7</v>
      </c>
      <c r="H696" t="n">
        <v>0</v>
      </c>
      <c r="I696" t="n">
        <v>0</v>
      </c>
      <c r="J696" t="n">
        <v>0</v>
      </c>
      <c r="K696" t="n">
        <v>0</v>
      </c>
      <c r="L696" t="n">
        <v>0</v>
      </c>
      <c r="M696" t="n">
        <v>0</v>
      </c>
      <c r="N696" t="n">
        <v>0</v>
      </c>
      <c r="O696" t="n">
        <v>0</v>
      </c>
      <c r="P696" t="n">
        <v>0</v>
      </c>
      <c r="Q696" t="n">
        <v>0</v>
      </c>
      <c r="R696" s="2" t="inlineStr"/>
    </row>
    <row r="697" ht="15" customHeight="1">
      <c r="A697" t="inlineStr">
        <is>
          <t>A 956-2025</t>
        </is>
      </c>
      <c r="B697" s="1" t="n">
        <v>45666</v>
      </c>
      <c r="C697" s="1" t="n">
        <v>45829</v>
      </c>
      <c r="D697" t="inlineStr">
        <is>
          <t>VÄSTRA GÖTALANDS LÄN</t>
        </is>
      </c>
      <c r="E697" t="inlineStr">
        <is>
          <t>DALS-ED</t>
        </is>
      </c>
      <c r="G697" t="n">
        <v>0.9</v>
      </c>
      <c r="H697" t="n">
        <v>0</v>
      </c>
      <c r="I697" t="n">
        <v>0</v>
      </c>
      <c r="J697" t="n">
        <v>0</v>
      </c>
      <c r="K697" t="n">
        <v>0</v>
      </c>
      <c r="L697" t="n">
        <v>0</v>
      </c>
      <c r="M697" t="n">
        <v>0</v>
      </c>
      <c r="N697" t="n">
        <v>0</v>
      </c>
      <c r="O697" t="n">
        <v>0</v>
      </c>
      <c r="P697" t="n">
        <v>0</v>
      </c>
      <c r="Q697" t="n">
        <v>0</v>
      </c>
      <c r="R697" s="2" t="inlineStr"/>
    </row>
    <row r="698" ht="15" customHeight="1">
      <c r="A698" t="inlineStr">
        <is>
          <t>A 1738-2025</t>
        </is>
      </c>
      <c r="B698" s="1" t="n">
        <v>45671</v>
      </c>
      <c r="C698" s="1" t="n">
        <v>45829</v>
      </c>
      <c r="D698" t="inlineStr">
        <is>
          <t>VÄSTRA GÖTALANDS LÄN</t>
        </is>
      </c>
      <c r="E698" t="inlineStr">
        <is>
          <t>DALS-ED</t>
        </is>
      </c>
      <c r="G698" t="n">
        <v>3.5</v>
      </c>
      <c r="H698" t="n">
        <v>0</v>
      </c>
      <c r="I698" t="n">
        <v>0</v>
      </c>
      <c r="J698" t="n">
        <v>0</v>
      </c>
      <c r="K698" t="n">
        <v>0</v>
      </c>
      <c r="L698" t="n">
        <v>0</v>
      </c>
      <c r="M698" t="n">
        <v>0</v>
      </c>
      <c r="N698" t="n">
        <v>0</v>
      </c>
      <c r="O698" t="n">
        <v>0</v>
      </c>
      <c r="P698" t="n">
        <v>0</v>
      </c>
      <c r="Q698" t="n">
        <v>0</v>
      </c>
      <c r="R698" s="2" t="inlineStr"/>
    </row>
    <row r="699" ht="15" customHeight="1">
      <c r="A699" t="inlineStr">
        <is>
          <t>A 1739-2025</t>
        </is>
      </c>
      <c r="B699" s="1" t="n">
        <v>45671</v>
      </c>
      <c r="C699" s="1" t="n">
        <v>45829</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2082-2025</t>
        </is>
      </c>
      <c r="B700" s="1" t="n">
        <v>45672</v>
      </c>
      <c r="C700" s="1" t="n">
        <v>45829</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2078-2025</t>
        </is>
      </c>
      <c r="B701" s="1" t="n">
        <v>45672</v>
      </c>
      <c r="C701" s="1" t="n">
        <v>45829</v>
      </c>
      <c r="D701" t="inlineStr">
        <is>
          <t>VÄSTRA GÖTALANDS LÄN</t>
        </is>
      </c>
      <c r="E701" t="inlineStr">
        <is>
          <t>DALS-ED</t>
        </is>
      </c>
      <c r="G701" t="n">
        <v>1.7</v>
      </c>
      <c r="H701" t="n">
        <v>0</v>
      </c>
      <c r="I701" t="n">
        <v>0</v>
      </c>
      <c r="J701" t="n">
        <v>0</v>
      </c>
      <c r="K701" t="n">
        <v>0</v>
      </c>
      <c r="L701" t="n">
        <v>0</v>
      </c>
      <c r="M701" t="n">
        <v>0</v>
      </c>
      <c r="N701" t="n">
        <v>0</v>
      </c>
      <c r="O701" t="n">
        <v>0</v>
      </c>
      <c r="P701" t="n">
        <v>0</v>
      </c>
      <c r="Q701" t="n">
        <v>0</v>
      </c>
      <c r="R701" s="2" t="inlineStr"/>
    </row>
    <row r="702" ht="15" customHeight="1">
      <c r="A702" t="inlineStr">
        <is>
          <t>A 2283-2025</t>
        </is>
      </c>
      <c r="B702" s="1" t="n">
        <v>45673</v>
      </c>
      <c r="C702" s="1" t="n">
        <v>45829</v>
      </c>
      <c r="D702" t="inlineStr">
        <is>
          <t>VÄSTRA GÖTALANDS LÄN</t>
        </is>
      </c>
      <c r="E702" t="inlineStr">
        <is>
          <t>DALS-ED</t>
        </is>
      </c>
      <c r="G702" t="n">
        <v>2.2</v>
      </c>
      <c r="H702" t="n">
        <v>0</v>
      </c>
      <c r="I702" t="n">
        <v>0</v>
      </c>
      <c r="J702" t="n">
        <v>0</v>
      </c>
      <c r="K702" t="n">
        <v>0</v>
      </c>
      <c r="L702" t="n">
        <v>0</v>
      </c>
      <c r="M702" t="n">
        <v>0</v>
      </c>
      <c r="N702" t="n">
        <v>0</v>
      </c>
      <c r="O702" t="n">
        <v>0</v>
      </c>
      <c r="P702" t="n">
        <v>0</v>
      </c>
      <c r="Q702" t="n">
        <v>0</v>
      </c>
      <c r="R702" s="2" t="inlineStr"/>
    </row>
    <row r="703" ht="15" customHeight="1">
      <c r="A703" t="inlineStr">
        <is>
          <t>A 2449-2025</t>
        </is>
      </c>
      <c r="B703" s="1" t="n">
        <v>45674</v>
      </c>
      <c r="C703" s="1" t="n">
        <v>45829</v>
      </c>
      <c r="D703" t="inlineStr">
        <is>
          <t>VÄSTRA GÖTALANDS LÄN</t>
        </is>
      </c>
      <c r="E703" t="inlineStr">
        <is>
          <t>DALS-ED</t>
        </is>
      </c>
      <c r="G703" t="n">
        <v>2</v>
      </c>
      <c r="H703" t="n">
        <v>0</v>
      </c>
      <c r="I703" t="n">
        <v>0</v>
      </c>
      <c r="J703" t="n">
        <v>0</v>
      </c>
      <c r="K703" t="n">
        <v>0</v>
      </c>
      <c r="L703" t="n">
        <v>0</v>
      </c>
      <c r="M703" t="n">
        <v>0</v>
      </c>
      <c r="N703" t="n">
        <v>0</v>
      </c>
      <c r="O703" t="n">
        <v>0</v>
      </c>
      <c r="P703" t="n">
        <v>0</v>
      </c>
      <c r="Q703" t="n">
        <v>0</v>
      </c>
      <c r="R703" s="2" t="inlineStr"/>
    </row>
    <row r="704" ht="15" customHeight="1">
      <c r="A704" t="inlineStr">
        <is>
          <t>A 2452-2025</t>
        </is>
      </c>
      <c r="B704" s="1" t="n">
        <v>45674</v>
      </c>
      <c r="C704" s="1" t="n">
        <v>45829</v>
      </c>
      <c r="D704" t="inlineStr">
        <is>
          <t>VÄSTRA GÖTALANDS LÄN</t>
        </is>
      </c>
      <c r="E704" t="inlineStr">
        <is>
          <t>DALS-ED</t>
        </is>
      </c>
      <c r="G704" t="n">
        <v>3.7</v>
      </c>
      <c r="H704" t="n">
        <v>0</v>
      </c>
      <c r="I704" t="n">
        <v>0</v>
      </c>
      <c r="J704" t="n">
        <v>0</v>
      </c>
      <c r="K704" t="n">
        <v>0</v>
      </c>
      <c r="L704" t="n">
        <v>0</v>
      </c>
      <c r="M704" t="n">
        <v>0</v>
      </c>
      <c r="N704" t="n">
        <v>0</v>
      </c>
      <c r="O704" t="n">
        <v>0</v>
      </c>
      <c r="P704" t="n">
        <v>0</v>
      </c>
      <c r="Q704" t="n">
        <v>0</v>
      </c>
      <c r="R704" s="2" t="inlineStr"/>
    </row>
    <row r="705" ht="15" customHeight="1">
      <c r="A705" t="inlineStr">
        <is>
          <t>A 2632-2025</t>
        </is>
      </c>
      <c r="B705" s="1" t="n">
        <v>45675</v>
      </c>
      <c r="C705" s="1" t="n">
        <v>45829</v>
      </c>
      <c r="D705" t="inlineStr">
        <is>
          <t>VÄSTRA GÖTALANDS LÄN</t>
        </is>
      </c>
      <c r="E705" t="inlineStr">
        <is>
          <t>DALS-ED</t>
        </is>
      </c>
      <c r="G705" t="n">
        <v>1.4</v>
      </c>
      <c r="H705" t="n">
        <v>0</v>
      </c>
      <c r="I705" t="n">
        <v>0</v>
      </c>
      <c r="J705" t="n">
        <v>0</v>
      </c>
      <c r="K705" t="n">
        <v>0</v>
      </c>
      <c r="L705" t="n">
        <v>0</v>
      </c>
      <c r="M705" t="n">
        <v>0</v>
      </c>
      <c r="N705" t="n">
        <v>0</v>
      </c>
      <c r="O705" t="n">
        <v>0</v>
      </c>
      <c r="P705" t="n">
        <v>0</v>
      </c>
      <c r="Q705" t="n">
        <v>0</v>
      </c>
      <c r="R705" s="2" t="inlineStr"/>
    </row>
    <row r="706" ht="15" customHeight="1">
      <c r="A706" t="inlineStr">
        <is>
          <t>A 2636-2025</t>
        </is>
      </c>
      <c r="B706" s="1" t="n">
        <v>45675</v>
      </c>
      <c r="C706" s="1" t="n">
        <v>45829</v>
      </c>
      <c r="D706" t="inlineStr">
        <is>
          <t>VÄSTRA GÖTALANDS LÄN</t>
        </is>
      </c>
      <c r="E706" t="inlineStr">
        <is>
          <t>DALS-ED</t>
        </is>
      </c>
      <c r="G706" t="n">
        <v>6.4</v>
      </c>
      <c r="H706" t="n">
        <v>0</v>
      </c>
      <c r="I706" t="n">
        <v>0</v>
      </c>
      <c r="J706" t="n">
        <v>0</v>
      </c>
      <c r="K706" t="n">
        <v>0</v>
      </c>
      <c r="L706" t="n">
        <v>0</v>
      </c>
      <c r="M706" t="n">
        <v>0</v>
      </c>
      <c r="N706" t="n">
        <v>0</v>
      </c>
      <c r="O706" t="n">
        <v>0</v>
      </c>
      <c r="P706" t="n">
        <v>0</v>
      </c>
      <c r="Q706" t="n">
        <v>0</v>
      </c>
      <c r="R706" s="2" t="inlineStr"/>
    </row>
    <row r="707" ht="15" customHeight="1">
      <c r="A707" t="inlineStr">
        <is>
          <t>A 2634-2025</t>
        </is>
      </c>
      <c r="B707" s="1" t="n">
        <v>45675</v>
      </c>
      <c r="C707" s="1" t="n">
        <v>45829</v>
      </c>
      <c r="D707" t="inlineStr">
        <is>
          <t>VÄSTRA GÖTALANDS LÄN</t>
        </is>
      </c>
      <c r="E707" t="inlineStr">
        <is>
          <t>DALS-ED</t>
        </is>
      </c>
      <c r="G707" t="n">
        <v>2.4</v>
      </c>
      <c r="H707" t="n">
        <v>0</v>
      </c>
      <c r="I707" t="n">
        <v>0</v>
      </c>
      <c r="J707" t="n">
        <v>0</v>
      </c>
      <c r="K707" t="n">
        <v>0</v>
      </c>
      <c r="L707" t="n">
        <v>0</v>
      </c>
      <c r="M707" t="n">
        <v>0</v>
      </c>
      <c r="N707" t="n">
        <v>0</v>
      </c>
      <c r="O707" t="n">
        <v>0</v>
      </c>
      <c r="P707" t="n">
        <v>0</v>
      </c>
      <c r="Q707" t="n">
        <v>0</v>
      </c>
      <c r="R707" s="2" t="inlineStr"/>
    </row>
    <row r="708" ht="15" customHeight="1">
      <c r="A708" t="inlineStr">
        <is>
          <t>A 2633-2025</t>
        </is>
      </c>
      <c r="B708" s="1" t="n">
        <v>45675</v>
      </c>
      <c r="C708" s="1" t="n">
        <v>45829</v>
      </c>
      <c r="D708" t="inlineStr">
        <is>
          <t>VÄSTRA GÖTALANDS LÄN</t>
        </is>
      </c>
      <c r="E708" t="inlineStr">
        <is>
          <t>DALS-ED</t>
        </is>
      </c>
      <c r="G708" t="n">
        <v>0.6</v>
      </c>
      <c r="H708" t="n">
        <v>0</v>
      </c>
      <c r="I708" t="n">
        <v>0</v>
      </c>
      <c r="J708" t="n">
        <v>0</v>
      </c>
      <c r="K708" t="n">
        <v>0</v>
      </c>
      <c r="L708" t="n">
        <v>0</v>
      </c>
      <c r="M708" t="n">
        <v>0</v>
      </c>
      <c r="N708" t="n">
        <v>0</v>
      </c>
      <c r="O708" t="n">
        <v>0</v>
      </c>
      <c r="P708" t="n">
        <v>0</v>
      </c>
      <c r="Q708" t="n">
        <v>0</v>
      </c>
      <c r="R708" s="2" t="inlineStr"/>
    </row>
    <row r="709" ht="15" customHeight="1">
      <c r="A709" t="inlineStr">
        <is>
          <t>A 2631-2025</t>
        </is>
      </c>
      <c r="B709" s="1" t="n">
        <v>45675</v>
      </c>
      <c r="C709" s="1" t="n">
        <v>45829</v>
      </c>
      <c r="D709" t="inlineStr">
        <is>
          <t>VÄSTRA GÖTALANDS LÄN</t>
        </is>
      </c>
      <c r="E709" t="inlineStr">
        <is>
          <t>DALS-ED</t>
        </is>
      </c>
      <c r="G709" t="n">
        <v>1.9</v>
      </c>
      <c r="H709" t="n">
        <v>0</v>
      </c>
      <c r="I709" t="n">
        <v>0</v>
      </c>
      <c r="J709" t="n">
        <v>0</v>
      </c>
      <c r="K709" t="n">
        <v>0</v>
      </c>
      <c r="L709" t="n">
        <v>0</v>
      </c>
      <c r="M709" t="n">
        <v>0</v>
      </c>
      <c r="N709" t="n">
        <v>0</v>
      </c>
      <c r="O709" t="n">
        <v>0</v>
      </c>
      <c r="P709" t="n">
        <v>0</v>
      </c>
      <c r="Q709" t="n">
        <v>0</v>
      </c>
      <c r="R709" s="2" t="inlineStr"/>
    </row>
    <row r="710" ht="15" customHeight="1">
      <c r="A710" t="inlineStr">
        <is>
          <t>A 2764-2025</t>
        </is>
      </c>
      <c r="B710" s="1" t="n">
        <v>45677</v>
      </c>
      <c r="C710" s="1" t="n">
        <v>45829</v>
      </c>
      <c r="D710" t="inlineStr">
        <is>
          <t>VÄSTRA GÖTALANDS LÄN</t>
        </is>
      </c>
      <c r="E710" t="inlineStr">
        <is>
          <t>DALS-ED</t>
        </is>
      </c>
      <c r="F710" t="inlineStr">
        <is>
          <t>Kommuner</t>
        </is>
      </c>
      <c r="G710" t="n">
        <v>1.2</v>
      </c>
      <c r="H710" t="n">
        <v>0</v>
      </c>
      <c r="I710" t="n">
        <v>0</v>
      </c>
      <c r="J710" t="n">
        <v>0</v>
      </c>
      <c r="K710" t="n">
        <v>0</v>
      </c>
      <c r="L710" t="n">
        <v>0</v>
      </c>
      <c r="M710" t="n">
        <v>0</v>
      </c>
      <c r="N710" t="n">
        <v>0</v>
      </c>
      <c r="O710" t="n">
        <v>0</v>
      </c>
      <c r="P710" t="n">
        <v>0</v>
      </c>
      <c r="Q710" t="n">
        <v>0</v>
      </c>
      <c r="R710" s="2" t="inlineStr"/>
    </row>
    <row r="711" ht="15" customHeight="1">
      <c r="A711" t="inlineStr">
        <is>
          <t>A 3033-2025</t>
        </is>
      </c>
      <c r="B711" s="1" t="n">
        <v>45678</v>
      </c>
      <c r="C711" s="1" t="n">
        <v>45829</v>
      </c>
      <c r="D711" t="inlineStr">
        <is>
          <t>VÄSTRA GÖTALANDS LÄN</t>
        </is>
      </c>
      <c r="E711" t="inlineStr">
        <is>
          <t>DALS-ED</t>
        </is>
      </c>
      <c r="G711" t="n">
        <v>1.6</v>
      </c>
      <c r="H711" t="n">
        <v>0</v>
      </c>
      <c r="I711" t="n">
        <v>0</v>
      </c>
      <c r="J711" t="n">
        <v>0</v>
      </c>
      <c r="K711" t="n">
        <v>0</v>
      </c>
      <c r="L711" t="n">
        <v>0</v>
      </c>
      <c r="M711" t="n">
        <v>0</v>
      </c>
      <c r="N711" t="n">
        <v>0</v>
      </c>
      <c r="O711" t="n">
        <v>0</v>
      </c>
      <c r="P711" t="n">
        <v>0</v>
      </c>
      <c r="Q711" t="n">
        <v>0</v>
      </c>
      <c r="R711" s="2" t="inlineStr"/>
    </row>
    <row r="712" ht="15" customHeight="1">
      <c r="A712" t="inlineStr">
        <is>
          <t>A 4489-2025</t>
        </is>
      </c>
      <c r="B712" s="1" t="n">
        <v>45686</v>
      </c>
      <c r="C712" s="1" t="n">
        <v>45829</v>
      </c>
      <c r="D712" t="inlineStr">
        <is>
          <t>VÄSTRA GÖTALANDS LÄN</t>
        </is>
      </c>
      <c r="E712" t="inlineStr">
        <is>
          <t>DALS-ED</t>
        </is>
      </c>
      <c r="G712" t="n">
        <v>0.8</v>
      </c>
      <c r="H712" t="n">
        <v>0</v>
      </c>
      <c r="I712" t="n">
        <v>0</v>
      </c>
      <c r="J712" t="n">
        <v>0</v>
      </c>
      <c r="K712" t="n">
        <v>0</v>
      </c>
      <c r="L712" t="n">
        <v>0</v>
      </c>
      <c r="M712" t="n">
        <v>0</v>
      </c>
      <c r="N712" t="n">
        <v>0</v>
      </c>
      <c r="O712" t="n">
        <v>0</v>
      </c>
      <c r="P712" t="n">
        <v>0</v>
      </c>
      <c r="Q712" t="n">
        <v>0</v>
      </c>
      <c r="R712" s="2" t="inlineStr"/>
    </row>
    <row r="713" ht="15" customHeight="1">
      <c r="A713" t="inlineStr">
        <is>
          <t>A 5660-2025</t>
        </is>
      </c>
      <c r="B713" s="1" t="n">
        <v>45693</v>
      </c>
      <c r="C713" s="1" t="n">
        <v>45829</v>
      </c>
      <c r="D713" t="inlineStr">
        <is>
          <t>VÄSTRA GÖTALANDS LÄN</t>
        </is>
      </c>
      <c r="E713" t="inlineStr">
        <is>
          <t>DALS-ED</t>
        </is>
      </c>
      <c r="G713" t="n">
        <v>4.5</v>
      </c>
      <c r="H713" t="n">
        <v>0</v>
      </c>
      <c r="I713" t="n">
        <v>0</v>
      </c>
      <c r="J713" t="n">
        <v>0</v>
      </c>
      <c r="K713" t="n">
        <v>0</v>
      </c>
      <c r="L713" t="n">
        <v>0</v>
      </c>
      <c r="M713" t="n">
        <v>0</v>
      </c>
      <c r="N713" t="n">
        <v>0</v>
      </c>
      <c r="O713" t="n">
        <v>0</v>
      </c>
      <c r="P713" t="n">
        <v>0</v>
      </c>
      <c r="Q713" t="n">
        <v>0</v>
      </c>
      <c r="R713" s="2" t="inlineStr"/>
    </row>
    <row r="714" ht="15" customHeight="1">
      <c r="A714" t="inlineStr">
        <is>
          <t>A 5662-2025</t>
        </is>
      </c>
      <c r="B714" s="1" t="n">
        <v>45693</v>
      </c>
      <c r="C714" s="1" t="n">
        <v>45829</v>
      </c>
      <c r="D714" t="inlineStr">
        <is>
          <t>VÄSTRA GÖTALANDS LÄN</t>
        </is>
      </c>
      <c r="E714" t="inlineStr">
        <is>
          <t>DALS-ED</t>
        </is>
      </c>
      <c r="G714" t="n">
        <v>8.1</v>
      </c>
      <c r="H714" t="n">
        <v>0</v>
      </c>
      <c r="I714" t="n">
        <v>0</v>
      </c>
      <c r="J714" t="n">
        <v>0</v>
      </c>
      <c r="K714" t="n">
        <v>0</v>
      </c>
      <c r="L714" t="n">
        <v>0</v>
      </c>
      <c r="M714" t="n">
        <v>0</v>
      </c>
      <c r="N714" t="n">
        <v>0</v>
      </c>
      <c r="O714" t="n">
        <v>0</v>
      </c>
      <c r="P714" t="n">
        <v>0</v>
      </c>
      <c r="Q714" t="n">
        <v>0</v>
      </c>
      <c r="R714" s="2" t="inlineStr"/>
    </row>
    <row r="715" ht="15" customHeight="1">
      <c r="A715" t="inlineStr">
        <is>
          <t>A 5657-2025</t>
        </is>
      </c>
      <c r="B715" s="1" t="n">
        <v>45693</v>
      </c>
      <c r="C715" s="1" t="n">
        <v>45829</v>
      </c>
      <c r="D715" t="inlineStr">
        <is>
          <t>VÄSTRA GÖTALANDS LÄN</t>
        </is>
      </c>
      <c r="E715" t="inlineStr">
        <is>
          <t>DALS-ED</t>
        </is>
      </c>
      <c r="G715" t="n">
        <v>14.1</v>
      </c>
      <c r="H715" t="n">
        <v>0</v>
      </c>
      <c r="I715" t="n">
        <v>0</v>
      </c>
      <c r="J715" t="n">
        <v>0</v>
      </c>
      <c r="K715" t="n">
        <v>0</v>
      </c>
      <c r="L715" t="n">
        <v>0</v>
      </c>
      <c r="M715" t="n">
        <v>0</v>
      </c>
      <c r="N715" t="n">
        <v>0</v>
      </c>
      <c r="O715" t="n">
        <v>0</v>
      </c>
      <c r="P715" t="n">
        <v>0</v>
      </c>
      <c r="Q715" t="n">
        <v>0</v>
      </c>
      <c r="R715" s="2" t="inlineStr"/>
    </row>
    <row r="716" ht="15" customHeight="1">
      <c r="A716" t="inlineStr">
        <is>
          <t>A 5655-2025</t>
        </is>
      </c>
      <c r="B716" s="1" t="n">
        <v>45693</v>
      </c>
      <c r="C716" s="1" t="n">
        <v>45829</v>
      </c>
      <c r="D716" t="inlineStr">
        <is>
          <t>VÄSTRA GÖTALANDS LÄN</t>
        </is>
      </c>
      <c r="E716" t="inlineStr">
        <is>
          <t>DALS-ED</t>
        </is>
      </c>
      <c r="G716" t="n">
        <v>4.8</v>
      </c>
      <c r="H716" t="n">
        <v>0</v>
      </c>
      <c r="I716" t="n">
        <v>0</v>
      </c>
      <c r="J716" t="n">
        <v>0</v>
      </c>
      <c r="K716" t="n">
        <v>0</v>
      </c>
      <c r="L716" t="n">
        <v>0</v>
      </c>
      <c r="M716" t="n">
        <v>0</v>
      </c>
      <c r="N716" t="n">
        <v>0</v>
      </c>
      <c r="O716" t="n">
        <v>0</v>
      </c>
      <c r="P716" t="n">
        <v>0</v>
      </c>
      <c r="Q716" t="n">
        <v>0</v>
      </c>
      <c r="R716" s="2" t="inlineStr"/>
    </row>
    <row r="717" ht="15" customHeight="1">
      <c r="A717" t="inlineStr">
        <is>
          <t>A 6071-2025</t>
        </is>
      </c>
      <c r="B717" s="1" t="n">
        <v>45696</v>
      </c>
      <c r="C717" s="1" t="n">
        <v>45829</v>
      </c>
      <c r="D717" t="inlineStr">
        <is>
          <t>VÄSTRA GÖTALANDS LÄN</t>
        </is>
      </c>
      <c r="E717" t="inlineStr">
        <is>
          <t>DALS-ED</t>
        </is>
      </c>
      <c r="G717" t="n">
        <v>1.6</v>
      </c>
      <c r="H717" t="n">
        <v>0</v>
      </c>
      <c r="I717" t="n">
        <v>0</v>
      </c>
      <c r="J717" t="n">
        <v>0</v>
      </c>
      <c r="K717" t="n">
        <v>0</v>
      </c>
      <c r="L717" t="n">
        <v>0</v>
      </c>
      <c r="M717" t="n">
        <v>0</v>
      </c>
      <c r="N717" t="n">
        <v>0</v>
      </c>
      <c r="O717" t="n">
        <v>0</v>
      </c>
      <c r="P717" t="n">
        <v>0</v>
      </c>
      <c r="Q717" t="n">
        <v>0</v>
      </c>
      <c r="R717" s="2" t="inlineStr"/>
    </row>
    <row r="718" ht="15" customHeight="1">
      <c r="A718" t="inlineStr">
        <is>
          <t>A 6278-2025</t>
        </is>
      </c>
      <c r="B718" s="1" t="n">
        <v>45698</v>
      </c>
      <c r="C718" s="1" t="n">
        <v>45829</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6268-2025</t>
        </is>
      </c>
      <c r="B719" s="1" t="n">
        <v>45698</v>
      </c>
      <c r="C719" s="1" t="n">
        <v>45829</v>
      </c>
      <c r="D719" t="inlineStr">
        <is>
          <t>VÄSTRA GÖTALANDS LÄN</t>
        </is>
      </c>
      <c r="E719" t="inlineStr">
        <is>
          <t>DALS-ED</t>
        </is>
      </c>
      <c r="G719" t="n">
        <v>6.3</v>
      </c>
      <c r="H719" t="n">
        <v>0</v>
      </c>
      <c r="I719" t="n">
        <v>0</v>
      </c>
      <c r="J719" t="n">
        <v>0</v>
      </c>
      <c r="K719" t="n">
        <v>0</v>
      </c>
      <c r="L719" t="n">
        <v>0</v>
      </c>
      <c r="M719" t="n">
        <v>0</v>
      </c>
      <c r="N719" t="n">
        <v>0</v>
      </c>
      <c r="O719" t="n">
        <v>0</v>
      </c>
      <c r="P719" t="n">
        <v>0</v>
      </c>
      <c r="Q719" t="n">
        <v>0</v>
      </c>
      <c r="R719" s="2" t="inlineStr"/>
    </row>
    <row r="720" ht="15" customHeight="1">
      <c r="A720" t="inlineStr">
        <is>
          <t>A 6308-2025</t>
        </is>
      </c>
      <c r="B720" s="1" t="n">
        <v>45698</v>
      </c>
      <c r="C720" s="1" t="n">
        <v>45829</v>
      </c>
      <c r="D720" t="inlineStr">
        <is>
          <t>VÄSTRA GÖTALANDS LÄN</t>
        </is>
      </c>
      <c r="E720" t="inlineStr">
        <is>
          <t>DALS-ED</t>
        </is>
      </c>
      <c r="G720" t="n">
        <v>0.6</v>
      </c>
      <c r="H720" t="n">
        <v>0</v>
      </c>
      <c r="I720" t="n">
        <v>0</v>
      </c>
      <c r="J720" t="n">
        <v>0</v>
      </c>
      <c r="K720" t="n">
        <v>0</v>
      </c>
      <c r="L720" t="n">
        <v>0</v>
      </c>
      <c r="M720" t="n">
        <v>0</v>
      </c>
      <c r="N720" t="n">
        <v>0</v>
      </c>
      <c r="O720" t="n">
        <v>0</v>
      </c>
      <c r="P720" t="n">
        <v>0</v>
      </c>
      <c r="Q720" t="n">
        <v>0</v>
      </c>
      <c r="R720" s="2" t="inlineStr"/>
    </row>
    <row r="721" ht="15" customHeight="1">
      <c r="A721" t="inlineStr">
        <is>
          <t>A 6150-2025</t>
        </is>
      </c>
      <c r="B721" s="1" t="n">
        <v>45698</v>
      </c>
      <c r="C721" s="1" t="n">
        <v>45829</v>
      </c>
      <c r="D721" t="inlineStr">
        <is>
          <t>VÄSTRA GÖTALANDS LÄN</t>
        </is>
      </c>
      <c r="E721" t="inlineStr">
        <is>
          <t>DALS-ED</t>
        </is>
      </c>
      <c r="G721" t="n">
        <v>1.4</v>
      </c>
      <c r="H721" t="n">
        <v>0</v>
      </c>
      <c r="I721" t="n">
        <v>0</v>
      </c>
      <c r="J721" t="n">
        <v>0</v>
      </c>
      <c r="K721" t="n">
        <v>0</v>
      </c>
      <c r="L721" t="n">
        <v>0</v>
      </c>
      <c r="M721" t="n">
        <v>0</v>
      </c>
      <c r="N721" t="n">
        <v>0</v>
      </c>
      <c r="O721" t="n">
        <v>0</v>
      </c>
      <c r="P721" t="n">
        <v>0</v>
      </c>
      <c r="Q721" t="n">
        <v>0</v>
      </c>
      <c r="R721" s="2" t="inlineStr"/>
    </row>
    <row r="722" ht="15" customHeight="1">
      <c r="A722" t="inlineStr">
        <is>
          <t>A 6144-2025</t>
        </is>
      </c>
      <c r="B722" s="1" t="n">
        <v>45698</v>
      </c>
      <c r="C722" s="1" t="n">
        <v>45829</v>
      </c>
      <c r="D722" t="inlineStr">
        <is>
          <t>VÄSTRA GÖTALANDS LÄN</t>
        </is>
      </c>
      <c r="E722" t="inlineStr">
        <is>
          <t>DALS-ED</t>
        </is>
      </c>
      <c r="G722" t="n">
        <v>4.7</v>
      </c>
      <c r="H722" t="n">
        <v>0</v>
      </c>
      <c r="I722" t="n">
        <v>0</v>
      </c>
      <c r="J722" t="n">
        <v>0</v>
      </c>
      <c r="K722" t="n">
        <v>0</v>
      </c>
      <c r="L722" t="n">
        <v>0</v>
      </c>
      <c r="M722" t="n">
        <v>0</v>
      </c>
      <c r="N722" t="n">
        <v>0</v>
      </c>
      <c r="O722" t="n">
        <v>0</v>
      </c>
      <c r="P722" t="n">
        <v>0</v>
      </c>
      <c r="Q722" t="n">
        <v>0</v>
      </c>
      <c r="R722" s="2" t="inlineStr"/>
    </row>
    <row r="723" ht="15" customHeight="1">
      <c r="A723" t="inlineStr">
        <is>
          <t>A 6523-2025</t>
        </is>
      </c>
      <c r="B723" s="1" t="n">
        <v>45699</v>
      </c>
      <c r="C723" s="1" t="n">
        <v>45829</v>
      </c>
      <c r="D723" t="inlineStr">
        <is>
          <t>VÄSTRA GÖTALANDS LÄN</t>
        </is>
      </c>
      <c r="E723" t="inlineStr">
        <is>
          <t>DALS-ED</t>
        </is>
      </c>
      <c r="G723" t="n">
        <v>2.2</v>
      </c>
      <c r="H723" t="n">
        <v>0</v>
      </c>
      <c r="I723" t="n">
        <v>0</v>
      </c>
      <c r="J723" t="n">
        <v>0</v>
      </c>
      <c r="K723" t="n">
        <v>0</v>
      </c>
      <c r="L723" t="n">
        <v>0</v>
      </c>
      <c r="M723" t="n">
        <v>0</v>
      </c>
      <c r="N723" t="n">
        <v>0</v>
      </c>
      <c r="O723" t="n">
        <v>0</v>
      </c>
      <c r="P723" t="n">
        <v>0</v>
      </c>
      <c r="Q723" t="n">
        <v>0</v>
      </c>
      <c r="R723" s="2" t="inlineStr"/>
    </row>
    <row r="724" ht="15" customHeight="1">
      <c r="A724" t="inlineStr">
        <is>
          <t>A 6353-2025</t>
        </is>
      </c>
      <c r="B724" s="1" t="n">
        <v>45699</v>
      </c>
      <c r="C724" s="1" t="n">
        <v>45829</v>
      </c>
      <c r="D724" t="inlineStr">
        <is>
          <t>VÄSTRA GÖTALANDS LÄN</t>
        </is>
      </c>
      <c r="E724" t="inlineStr">
        <is>
          <t>DALS-ED</t>
        </is>
      </c>
      <c r="G724" t="n">
        <v>3.9</v>
      </c>
      <c r="H724" t="n">
        <v>0</v>
      </c>
      <c r="I724" t="n">
        <v>0</v>
      </c>
      <c r="J724" t="n">
        <v>0</v>
      </c>
      <c r="K724" t="n">
        <v>0</v>
      </c>
      <c r="L724" t="n">
        <v>0</v>
      </c>
      <c r="M724" t="n">
        <v>0</v>
      </c>
      <c r="N724" t="n">
        <v>0</v>
      </c>
      <c r="O724" t="n">
        <v>0</v>
      </c>
      <c r="P724" t="n">
        <v>0</v>
      </c>
      <c r="Q724" t="n">
        <v>0</v>
      </c>
      <c r="R724" s="2" t="inlineStr"/>
    </row>
    <row r="725" ht="15" customHeight="1">
      <c r="A725" t="inlineStr">
        <is>
          <t>A 6530-2025</t>
        </is>
      </c>
      <c r="B725" s="1" t="n">
        <v>45699</v>
      </c>
      <c r="C725" s="1" t="n">
        <v>45829</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7125-2025</t>
        </is>
      </c>
      <c r="B726" s="1" t="n">
        <v>45702</v>
      </c>
      <c r="C726" s="1" t="n">
        <v>45829</v>
      </c>
      <c r="D726" t="inlineStr">
        <is>
          <t>VÄSTRA GÖTALANDS LÄN</t>
        </is>
      </c>
      <c r="E726" t="inlineStr">
        <is>
          <t>DALS-ED</t>
        </is>
      </c>
      <c r="G726" t="n">
        <v>0.8</v>
      </c>
      <c r="H726" t="n">
        <v>0</v>
      </c>
      <c r="I726" t="n">
        <v>0</v>
      </c>
      <c r="J726" t="n">
        <v>0</v>
      </c>
      <c r="K726" t="n">
        <v>0</v>
      </c>
      <c r="L726" t="n">
        <v>0</v>
      </c>
      <c r="M726" t="n">
        <v>0</v>
      </c>
      <c r="N726" t="n">
        <v>0</v>
      </c>
      <c r="O726" t="n">
        <v>0</v>
      </c>
      <c r="P726" t="n">
        <v>0</v>
      </c>
      <c r="Q726" t="n">
        <v>0</v>
      </c>
      <c r="R726" s="2" t="inlineStr"/>
    </row>
    <row r="727" ht="15" customHeight="1">
      <c r="A727" t="inlineStr">
        <is>
          <t>A 7204-2025</t>
        </is>
      </c>
      <c r="B727" s="1" t="n">
        <v>45702</v>
      </c>
      <c r="C727" s="1" t="n">
        <v>45829</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7198-2025</t>
        </is>
      </c>
      <c r="B728" s="1" t="n">
        <v>45702</v>
      </c>
      <c r="C728" s="1" t="n">
        <v>45829</v>
      </c>
      <c r="D728" t="inlineStr">
        <is>
          <t>VÄSTRA GÖTALANDS LÄN</t>
        </is>
      </c>
      <c r="E728" t="inlineStr">
        <is>
          <t>DALS-ED</t>
        </is>
      </c>
      <c r="G728" t="n">
        <v>3</v>
      </c>
      <c r="H728" t="n">
        <v>0</v>
      </c>
      <c r="I728" t="n">
        <v>0</v>
      </c>
      <c r="J728" t="n">
        <v>0</v>
      </c>
      <c r="K728" t="n">
        <v>0</v>
      </c>
      <c r="L728" t="n">
        <v>0</v>
      </c>
      <c r="M728" t="n">
        <v>0</v>
      </c>
      <c r="N728" t="n">
        <v>0</v>
      </c>
      <c r="O728" t="n">
        <v>0</v>
      </c>
      <c r="P728" t="n">
        <v>0</v>
      </c>
      <c r="Q728" t="n">
        <v>0</v>
      </c>
      <c r="R728" s="2" t="inlineStr"/>
    </row>
    <row r="729" ht="15" customHeight="1">
      <c r="A729" t="inlineStr">
        <is>
          <t>A 7207-2025</t>
        </is>
      </c>
      <c r="B729" s="1" t="n">
        <v>45702</v>
      </c>
      <c r="C729" s="1" t="n">
        <v>45829</v>
      </c>
      <c r="D729" t="inlineStr">
        <is>
          <t>VÄSTRA GÖTALANDS LÄN</t>
        </is>
      </c>
      <c r="E729" t="inlineStr">
        <is>
          <t>DALS-ED</t>
        </is>
      </c>
      <c r="G729" t="n">
        <v>3.3</v>
      </c>
      <c r="H729" t="n">
        <v>0</v>
      </c>
      <c r="I729" t="n">
        <v>0</v>
      </c>
      <c r="J729" t="n">
        <v>0</v>
      </c>
      <c r="K729" t="n">
        <v>0</v>
      </c>
      <c r="L729" t="n">
        <v>0</v>
      </c>
      <c r="M729" t="n">
        <v>0</v>
      </c>
      <c r="N729" t="n">
        <v>0</v>
      </c>
      <c r="O729" t="n">
        <v>0</v>
      </c>
      <c r="P729" t="n">
        <v>0</v>
      </c>
      <c r="Q729" t="n">
        <v>0</v>
      </c>
      <c r="R729" s="2" t="inlineStr"/>
    </row>
    <row r="730" ht="15" customHeight="1">
      <c r="A730" t="inlineStr">
        <is>
          <t>A 7353-2025</t>
        </is>
      </c>
      <c r="B730" s="1" t="n">
        <v>45703</v>
      </c>
      <c r="C730" s="1" t="n">
        <v>45829</v>
      </c>
      <c r="D730" t="inlineStr">
        <is>
          <t>VÄSTRA GÖTALANDS LÄN</t>
        </is>
      </c>
      <c r="E730" t="inlineStr">
        <is>
          <t>DALS-ED</t>
        </is>
      </c>
      <c r="G730" t="n">
        <v>0.7</v>
      </c>
      <c r="H730" t="n">
        <v>0</v>
      </c>
      <c r="I730" t="n">
        <v>0</v>
      </c>
      <c r="J730" t="n">
        <v>0</v>
      </c>
      <c r="K730" t="n">
        <v>0</v>
      </c>
      <c r="L730" t="n">
        <v>0</v>
      </c>
      <c r="M730" t="n">
        <v>0</v>
      </c>
      <c r="N730" t="n">
        <v>0</v>
      </c>
      <c r="O730" t="n">
        <v>0</v>
      </c>
      <c r="P730" t="n">
        <v>0</v>
      </c>
      <c r="Q730" t="n">
        <v>0</v>
      </c>
      <c r="R730" s="2" t="inlineStr"/>
    </row>
    <row r="731" ht="15" customHeight="1">
      <c r="A731" t="inlineStr">
        <is>
          <t>A 7351-2025</t>
        </is>
      </c>
      <c r="B731" s="1" t="n">
        <v>45703</v>
      </c>
      <c r="C731" s="1" t="n">
        <v>45829</v>
      </c>
      <c r="D731" t="inlineStr">
        <is>
          <t>VÄSTRA GÖTALANDS LÄN</t>
        </is>
      </c>
      <c r="E731" t="inlineStr">
        <is>
          <t>DALS-ED</t>
        </is>
      </c>
      <c r="G731" t="n">
        <v>2.5</v>
      </c>
      <c r="H731" t="n">
        <v>0</v>
      </c>
      <c r="I731" t="n">
        <v>0</v>
      </c>
      <c r="J731" t="n">
        <v>0</v>
      </c>
      <c r="K731" t="n">
        <v>0</v>
      </c>
      <c r="L731" t="n">
        <v>0</v>
      </c>
      <c r="M731" t="n">
        <v>0</v>
      </c>
      <c r="N731" t="n">
        <v>0</v>
      </c>
      <c r="O731" t="n">
        <v>0</v>
      </c>
      <c r="P731" t="n">
        <v>0</v>
      </c>
      <c r="Q731" t="n">
        <v>0</v>
      </c>
      <c r="R731" s="2" t="inlineStr"/>
    </row>
    <row r="732" ht="15" customHeight="1">
      <c r="A732" t="inlineStr">
        <is>
          <t>A 7394-2025</t>
        </is>
      </c>
      <c r="B732" s="1" t="n">
        <v>45705</v>
      </c>
      <c r="C732" s="1" t="n">
        <v>45829</v>
      </c>
      <c r="D732" t="inlineStr">
        <is>
          <t>VÄSTRA GÖTALANDS LÄN</t>
        </is>
      </c>
      <c r="E732" t="inlineStr">
        <is>
          <t>DALS-ED</t>
        </is>
      </c>
      <c r="G732" t="n">
        <v>2.8</v>
      </c>
      <c r="H732" t="n">
        <v>0</v>
      </c>
      <c r="I732" t="n">
        <v>0</v>
      </c>
      <c r="J732" t="n">
        <v>0</v>
      </c>
      <c r="K732" t="n">
        <v>0</v>
      </c>
      <c r="L732" t="n">
        <v>0</v>
      </c>
      <c r="M732" t="n">
        <v>0</v>
      </c>
      <c r="N732" t="n">
        <v>0</v>
      </c>
      <c r="O732" t="n">
        <v>0</v>
      </c>
      <c r="P732" t="n">
        <v>0</v>
      </c>
      <c r="Q732" t="n">
        <v>0</v>
      </c>
      <c r="R732" s="2" t="inlineStr"/>
    </row>
    <row r="733" ht="15" customHeight="1">
      <c r="A733" t="inlineStr">
        <is>
          <t>A 7727-2025</t>
        </is>
      </c>
      <c r="B733" s="1" t="n">
        <v>45706</v>
      </c>
      <c r="C733" s="1" t="n">
        <v>45829</v>
      </c>
      <c r="D733" t="inlineStr">
        <is>
          <t>VÄSTRA GÖTALANDS LÄN</t>
        </is>
      </c>
      <c r="E733" t="inlineStr">
        <is>
          <t>DALS-ED</t>
        </is>
      </c>
      <c r="G733" t="n">
        <v>2</v>
      </c>
      <c r="H733" t="n">
        <v>0</v>
      </c>
      <c r="I733" t="n">
        <v>0</v>
      </c>
      <c r="J733" t="n">
        <v>0</v>
      </c>
      <c r="K733" t="n">
        <v>0</v>
      </c>
      <c r="L733" t="n">
        <v>0</v>
      </c>
      <c r="M733" t="n">
        <v>0</v>
      </c>
      <c r="N733" t="n">
        <v>0</v>
      </c>
      <c r="O733" t="n">
        <v>0</v>
      </c>
      <c r="P733" t="n">
        <v>0</v>
      </c>
      <c r="Q733" t="n">
        <v>0</v>
      </c>
      <c r="R733" s="2" t="inlineStr"/>
    </row>
    <row r="734" ht="15" customHeight="1">
      <c r="A734" t="inlineStr">
        <is>
          <t>A 8875-2025</t>
        </is>
      </c>
      <c r="B734" s="1" t="n">
        <v>45713</v>
      </c>
      <c r="C734" s="1" t="n">
        <v>45829</v>
      </c>
      <c r="D734" t="inlineStr">
        <is>
          <t>VÄSTRA GÖTALANDS LÄN</t>
        </is>
      </c>
      <c r="E734" t="inlineStr">
        <is>
          <t>DALS-ED</t>
        </is>
      </c>
      <c r="G734" t="n">
        <v>2.7</v>
      </c>
      <c r="H734" t="n">
        <v>0</v>
      </c>
      <c r="I734" t="n">
        <v>0</v>
      </c>
      <c r="J734" t="n">
        <v>0</v>
      </c>
      <c r="K734" t="n">
        <v>0</v>
      </c>
      <c r="L734" t="n">
        <v>0</v>
      </c>
      <c r="M734" t="n">
        <v>0</v>
      </c>
      <c r="N734" t="n">
        <v>0</v>
      </c>
      <c r="O734" t="n">
        <v>0</v>
      </c>
      <c r="P734" t="n">
        <v>0</v>
      </c>
      <c r="Q734" t="n">
        <v>0</v>
      </c>
      <c r="R734" s="2" t="inlineStr"/>
    </row>
    <row r="735" ht="15" customHeight="1">
      <c r="A735" t="inlineStr">
        <is>
          <t>A 8888-2025</t>
        </is>
      </c>
      <c r="B735" s="1" t="n">
        <v>45713</v>
      </c>
      <c r="C735" s="1" t="n">
        <v>45829</v>
      </c>
      <c r="D735" t="inlineStr">
        <is>
          <t>VÄSTRA GÖTALANDS LÄN</t>
        </is>
      </c>
      <c r="E735" t="inlineStr">
        <is>
          <t>DALS-ED</t>
        </is>
      </c>
      <c r="G735" t="n">
        <v>6.8</v>
      </c>
      <c r="H735" t="n">
        <v>0</v>
      </c>
      <c r="I735" t="n">
        <v>0</v>
      </c>
      <c r="J735" t="n">
        <v>0</v>
      </c>
      <c r="K735" t="n">
        <v>0</v>
      </c>
      <c r="L735" t="n">
        <v>0</v>
      </c>
      <c r="M735" t="n">
        <v>0</v>
      </c>
      <c r="N735" t="n">
        <v>0</v>
      </c>
      <c r="O735" t="n">
        <v>0</v>
      </c>
      <c r="P735" t="n">
        <v>0</v>
      </c>
      <c r="Q735" t="n">
        <v>0</v>
      </c>
      <c r="R735" s="2" t="inlineStr"/>
    </row>
    <row r="736" ht="15" customHeight="1">
      <c r="A736" t="inlineStr">
        <is>
          <t>A 9039-2025</t>
        </is>
      </c>
      <c r="B736" s="1" t="n">
        <v>45713</v>
      </c>
      <c r="C736" s="1" t="n">
        <v>45829</v>
      </c>
      <c r="D736" t="inlineStr">
        <is>
          <t>VÄSTRA GÖTALANDS LÄN</t>
        </is>
      </c>
      <c r="E736" t="inlineStr">
        <is>
          <t>DALS-ED</t>
        </is>
      </c>
      <c r="G736" t="n">
        <v>5.5</v>
      </c>
      <c r="H736" t="n">
        <v>0</v>
      </c>
      <c r="I736" t="n">
        <v>0</v>
      </c>
      <c r="J736" t="n">
        <v>0</v>
      </c>
      <c r="K736" t="n">
        <v>0</v>
      </c>
      <c r="L736" t="n">
        <v>0</v>
      </c>
      <c r="M736" t="n">
        <v>0</v>
      </c>
      <c r="N736" t="n">
        <v>0</v>
      </c>
      <c r="O736" t="n">
        <v>0</v>
      </c>
      <c r="P736" t="n">
        <v>0</v>
      </c>
      <c r="Q736" t="n">
        <v>0</v>
      </c>
      <c r="R736" s="2" t="inlineStr"/>
    </row>
    <row r="737" ht="15" customHeight="1">
      <c r="A737" t="inlineStr">
        <is>
          <t>A 9164-2025</t>
        </is>
      </c>
      <c r="B737" s="1" t="n">
        <v>45714</v>
      </c>
      <c r="C737" s="1" t="n">
        <v>45829</v>
      </c>
      <c r="D737" t="inlineStr">
        <is>
          <t>VÄSTRA GÖTALANDS LÄN</t>
        </is>
      </c>
      <c r="E737" t="inlineStr">
        <is>
          <t>DALS-ED</t>
        </is>
      </c>
      <c r="G737" t="n">
        <v>0.8</v>
      </c>
      <c r="H737" t="n">
        <v>0</v>
      </c>
      <c r="I737" t="n">
        <v>0</v>
      </c>
      <c r="J737" t="n">
        <v>0</v>
      </c>
      <c r="K737" t="n">
        <v>0</v>
      </c>
      <c r="L737" t="n">
        <v>0</v>
      </c>
      <c r="M737" t="n">
        <v>0</v>
      </c>
      <c r="N737" t="n">
        <v>0</v>
      </c>
      <c r="O737" t="n">
        <v>0</v>
      </c>
      <c r="P737" t="n">
        <v>0</v>
      </c>
      <c r="Q737" t="n">
        <v>0</v>
      </c>
      <c r="R737" s="2" t="inlineStr"/>
    </row>
    <row r="738" ht="15" customHeight="1">
      <c r="A738" t="inlineStr">
        <is>
          <t>A 10143-2025</t>
        </is>
      </c>
      <c r="B738" s="1" t="n">
        <v>45719</v>
      </c>
      <c r="C738" s="1" t="n">
        <v>45829</v>
      </c>
      <c r="D738" t="inlineStr">
        <is>
          <t>VÄSTRA GÖTALANDS LÄN</t>
        </is>
      </c>
      <c r="E738" t="inlineStr">
        <is>
          <t>DALS-ED</t>
        </is>
      </c>
      <c r="G738" t="n">
        <v>1.8</v>
      </c>
      <c r="H738" t="n">
        <v>0</v>
      </c>
      <c r="I738" t="n">
        <v>0</v>
      </c>
      <c r="J738" t="n">
        <v>0</v>
      </c>
      <c r="K738" t="n">
        <v>0</v>
      </c>
      <c r="L738" t="n">
        <v>0</v>
      </c>
      <c r="M738" t="n">
        <v>0</v>
      </c>
      <c r="N738" t="n">
        <v>0</v>
      </c>
      <c r="O738" t="n">
        <v>0</v>
      </c>
      <c r="P738" t="n">
        <v>0</v>
      </c>
      <c r="Q738" t="n">
        <v>0</v>
      </c>
      <c r="R738" s="2" t="inlineStr"/>
    </row>
    <row r="739" ht="15" customHeight="1">
      <c r="A739" t="inlineStr">
        <is>
          <t>A 10152-2025</t>
        </is>
      </c>
      <c r="B739" s="1" t="n">
        <v>45719</v>
      </c>
      <c r="C739" s="1" t="n">
        <v>45829</v>
      </c>
      <c r="D739" t="inlineStr">
        <is>
          <t>VÄSTRA GÖTALANDS LÄN</t>
        </is>
      </c>
      <c r="E739" t="inlineStr">
        <is>
          <t>DALS-ED</t>
        </is>
      </c>
      <c r="G739" t="n">
        <v>1.2</v>
      </c>
      <c r="H739" t="n">
        <v>0</v>
      </c>
      <c r="I739" t="n">
        <v>0</v>
      </c>
      <c r="J739" t="n">
        <v>0</v>
      </c>
      <c r="K739" t="n">
        <v>0</v>
      </c>
      <c r="L739" t="n">
        <v>0</v>
      </c>
      <c r="M739" t="n">
        <v>0</v>
      </c>
      <c r="N739" t="n">
        <v>0</v>
      </c>
      <c r="O739" t="n">
        <v>0</v>
      </c>
      <c r="P739" t="n">
        <v>0</v>
      </c>
      <c r="Q739" t="n">
        <v>0</v>
      </c>
      <c r="R739" s="2" t="inlineStr"/>
    </row>
    <row r="740" ht="15" customHeight="1">
      <c r="A740" t="inlineStr">
        <is>
          <t>A 9975-2025</t>
        </is>
      </c>
      <c r="B740" s="1" t="n">
        <v>45719</v>
      </c>
      <c r="C740" s="1" t="n">
        <v>45829</v>
      </c>
      <c r="D740" t="inlineStr">
        <is>
          <t>VÄSTRA GÖTALANDS LÄN</t>
        </is>
      </c>
      <c r="E740" t="inlineStr">
        <is>
          <t>DALS-ED</t>
        </is>
      </c>
      <c r="G740" t="n">
        <v>3.1</v>
      </c>
      <c r="H740" t="n">
        <v>0</v>
      </c>
      <c r="I740" t="n">
        <v>0</v>
      </c>
      <c r="J740" t="n">
        <v>0</v>
      </c>
      <c r="K740" t="n">
        <v>0</v>
      </c>
      <c r="L740" t="n">
        <v>0</v>
      </c>
      <c r="M740" t="n">
        <v>0</v>
      </c>
      <c r="N740" t="n">
        <v>0</v>
      </c>
      <c r="O740" t="n">
        <v>0</v>
      </c>
      <c r="P740" t="n">
        <v>0</v>
      </c>
      <c r="Q740" t="n">
        <v>0</v>
      </c>
      <c r="R740" s="2" t="inlineStr"/>
    </row>
    <row r="741" ht="15" customHeight="1">
      <c r="A741" t="inlineStr">
        <is>
          <t>A 10906-2025</t>
        </is>
      </c>
      <c r="B741" s="1" t="n">
        <v>45722</v>
      </c>
      <c r="C741" s="1" t="n">
        <v>45829</v>
      </c>
      <c r="D741" t="inlineStr">
        <is>
          <t>VÄSTRA GÖTALANDS LÄN</t>
        </is>
      </c>
      <c r="E741" t="inlineStr">
        <is>
          <t>DALS-ED</t>
        </is>
      </c>
      <c r="G741" t="n">
        <v>5.6</v>
      </c>
      <c r="H741" t="n">
        <v>0</v>
      </c>
      <c r="I741" t="n">
        <v>0</v>
      </c>
      <c r="J741" t="n">
        <v>0</v>
      </c>
      <c r="K741" t="n">
        <v>0</v>
      </c>
      <c r="L741" t="n">
        <v>0</v>
      </c>
      <c r="M741" t="n">
        <v>0</v>
      </c>
      <c r="N741" t="n">
        <v>0</v>
      </c>
      <c r="O741" t="n">
        <v>0</v>
      </c>
      <c r="P741" t="n">
        <v>0</v>
      </c>
      <c r="Q741" t="n">
        <v>0</v>
      </c>
      <c r="R741" s="2" t="inlineStr"/>
    </row>
    <row r="742" ht="15" customHeight="1">
      <c r="A742" t="inlineStr">
        <is>
          <t>A 10907-2025</t>
        </is>
      </c>
      <c r="B742" s="1" t="n">
        <v>45722</v>
      </c>
      <c r="C742" s="1" t="n">
        <v>45829</v>
      </c>
      <c r="D742" t="inlineStr">
        <is>
          <t>VÄSTRA GÖTALANDS LÄN</t>
        </is>
      </c>
      <c r="E742" t="inlineStr">
        <is>
          <t>DALS-ED</t>
        </is>
      </c>
      <c r="G742" t="n">
        <v>19.8</v>
      </c>
      <c r="H742" t="n">
        <v>0</v>
      </c>
      <c r="I742" t="n">
        <v>0</v>
      </c>
      <c r="J742" t="n">
        <v>0</v>
      </c>
      <c r="K742" t="n">
        <v>0</v>
      </c>
      <c r="L742" t="n">
        <v>0</v>
      </c>
      <c r="M742" t="n">
        <v>0</v>
      </c>
      <c r="N742" t="n">
        <v>0</v>
      </c>
      <c r="O742" t="n">
        <v>0</v>
      </c>
      <c r="P742" t="n">
        <v>0</v>
      </c>
      <c r="Q742" t="n">
        <v>0</v>
      </c>
      <c r="R742" s="2" t="inlineStr"/>
    </row>
    <row r="743" ht="15" customHeight="1">
      <c r="A743" t="inlineStr">
        <is>
          <t>A 10873-2025</t>
        </is>
      </c>
      <c r="B743" s="1" t="n">
        <v>45722</v>
      </c>
      <c r="C743" s="1" t="n">
        <v>45829</v>
      </c>
      <c r="D743" t="inlineStr">
        <is>
          <t>VÄSTRA GÖTALANDS LÄN</t>
        </is>
      </c>
      <c r="E743" t="inlineStr">
        <is>
          <t>DALS-ED</t>
        </is>
      </c>
      <c r="G743" t="n">
        <v>6.1</v>
      </c>
      <c r="H743" t="n">
        <v>0</v>
      </c>
      <c r="I743" t="n">
        <v>0</v>
      </c>
      <c r="J743" t="n">
        <v>0</v>
      </c>
      <c r="K743" t="n">
        <v>0</v>
      </c>
      <c r="L743" t="n">
        <v>0</v>
      </c>
      <c r="M743" t="n">
        <v>0</v>
      </c>
      <c r="N743" t="n">
        <v>0</v>
      </c>
      <c r="O743" t="n">
        <v>0</v>
      </c>
      <c r="P743" t="n">
        <v>0</v>
      </c>
      <c r="Q743" t="n">
        <v>0</v>
      </c>
      <c r="R743" s="2" t="inlineStr"/>
    </row>
    <row r="744" ht="15" customHeight="1">
      <c r="A744" t="inlineStr">
        <is>
          <t>A 10976-2025</t>
        </is>
      </c>
      <c r="B744" s="1" t="n">
        <v>45723</v>
      </c>
      <c r="C744" s="1" t="n">
        <v>45829</v>
      </c>
      <c r="D744" t="inlineStr">
        <is>
          <t>VÄSTRA GÖTALANDS LÄN</t>
        </is>
      </c>
      <c r="E744" t="inlineStr">
        <is>
          <t>DALS-ED</t>
        </is>
      </c>
      <c r="G744" t="n">
        <v>4.1</v>
      </c>
      <c r="H744" t="n">
        <v>0</v>
      </c>
      <c r="I744" t="n">
        <v>0</v>
      </c>
      <c r="J744" t="n">
        <v>0</v>
      </c>
      <c r="K744" t="n">
        <v>0</v>
      </c>
      <c r="L744" t="n">
        <v>0</v>
      </c>
      <c r="M744" t="n">
        <v>0</v>
      </c>
      <c r="N744" t="n">
        <v>0</v>
      </c>
      <c r="O744" t="n">
        <v>0</v>
      </c>
      <c r="P744" t="n">
        <v>0</v>
      </c>
      <c r="Q744" t="n">
        <v>0</v>
      </c>
      <c r="R744" s="2" t="inlineStr"/>
    </row>
    <row r="745" ht="15" customHeight="1">
      <c r="A745" t="inlineStr">
        <is>
          <t>A 10965-2025</t>
        </is>
      </c>
      <c r="B745" s="1" t="n">
        <v>45723</v>
      </c>
      <c r="C745" s="1" t="n">
        <v>45829</v>
      </c>
      <c r="D745" t="inlineStr">
        <is>
          <t>VÄSTRA GÖTALANDS LÄN</t>
        </is>
      </c>
      <c r="E745" t="inlineStr">
        <is>
          <t>DALS-ED</t>
        </is>
      </c>
      <c r="G745" t="n">
        <v>13.8</v>
      </c>
      <c r="H745" t="n">
        <v>0</v>
      </c>
      <c r="I745" t="n">
        <v>0</v>
      </c>
      <c r="J745" t="n">
        <v>0</v>
      </c>
      <c r="K745" t="n">
        <v>0</v>
      </c>
      <c r="L745" t="n">
        <v>0</v>
      </c>
      <c r="M745" t="n">
        <v>0</v>
      </c>
      <c r="N745" t="n">
        <v>0</v>
      </c>
      <c r="O745" t="n">
        <v>0</v>
      </c>
      <c r="P745" t="n">
        <v>0</v>
      </c>
      <c r="Q745" t="n">
        <v>0</v>
      </c>
      <c r="R745" s="2" t="inlineStr"/>
    </row>
    <row r="746" ht="15" customHeight="1">
      <c r="A746" t="inlineStr">
        <is>
          <t>A 12095-2025</t>
        </is>
      </c>
      <c r="B746" s="1" t="n">
        <v>45729</v>
      </c>
      <c r="C746" s="1" t="n">
        <v>45829</v>
      </c>
      <c r="D746" t="inlineStr">
        <is>
          <t>VÄSTRA GÖTALANDS LÄN</t>
        </is>
      </c>
      <c r="E746" t="inlineStr">
        <is>
          <t>DALS-ED</t>
        </is>
      </c>
      <c r="G746" t="n">
        <v>1.2</v>
      </c>
      <c r="H746" t="n">
        <v>0</v>
      </c>
      <c r="I746" t="n">
        <v>0</v>
      </c>
      <c r="J746" t="n">
        <v>0</v>
      </c>
      <c r="K746" t="n">
        <v>0</v>
      </c>
      <c r="L746" t="n">
        <v>0</v>
      </c>
      <c r="M746" t="n">
        <v>0</v>
      </c>
      <c r="N746" t="n">
        <v>0</v>
      </c>
      <c r="O746" t="n">
        <v>0</v>
      </c>
      <c r="P746" t="n">
        <v>0</v>
      </c>
      <c r="Q746" t="n">
        <v>0</v>
      </c>
      <c r="R746" s="2" t="inlineStr"/>
    </row>
    <row r="747" ht="15" customHeight="1">
      <c r="A747" t="inlineStr">
        <is>
          <t>A 12561-2025</t>
        </is>
      </c>
      <c r="B747" s="1" t="n">
        <v>45731</v>
      </c>
      <c r="C747" s="1" t="n">
        <v>45829</v>
      </c>
      <c r="D747" t="inlineStr">
        <is>
          <t>VÄSTRA GÖTALANDS LÄN</t>
        </is>
      </c>
      <c r="E747" t="inlineStr">
        <is>
          <t>DALS-ED</t>
        </is>
      </c>
      <c r="G747" t="n">
        <v>0.4</v>
      </c>
      <c r="H747" t="n">
        <v>0</v>
      </c>
      <c r="I747" t="n">
        <v>0</v>
      </c>
      <c r="J747" t="n">
        <v>0</v>
      </c>
      <c r="K747" t="n">
        <v>0</v>
      </c>
      <c r="L747" t="n">
        <v>0</v>
      </c>
      <c r="M747" t="n">
        <v>0</v>
      </c>
      <c r="N747" t="n">
        <v>0</v>
      </c>
      <c r="O747" t="n">
        <v>0</v>
      </c>
      <c r="P747" t="n">
        <v>0</v>
      </c>
      <c r="Q747" t="n">
        <v>0</v>
      </c>
      <c r="R747" s="2" t="inlineStr"/>
    </row>
    <row r="748" ht="15" customHeight="1">
      <c r="A748" t="inlineStr">
        <is>
          <t>A 12703-2025</t>
        </is>
      </c>
      <c r="B748" s="1" t="n">
        <v>45733</v>
      </c>
      <c r="C748" s="1" t="n">
        <v>45829</v>
      </c>
      <c r="D748" t="inlineStr">
        <is>
          <t>VÄSTRA GÖTALANDS LÄN</t>
        </is>
      </c>
      <c r="E748" t="inlineStr">
        <is>
          <t>DALS-ED</t>
        </is>
      </c>
      <c r="G748" t="n">
        <v>2.2</v>
      </c>
      <c r="H748" t="n">
        <v>0</v>
      </c>
      <c r="I748" t="n">
        <v>0</v>
      </c>
      <c r="J748" t="n">
        <v>0</v>
      </c>
      <c r="K748" t="n">
        <v>0</v>
      </c>
      <c r="L748" t="n">
        <v>0</v>
      </c>
      <c r="M748" t="n">
        <v>0</v>
      </c>
      <c r="N748" t="n">
        <v>0</v>
      </c>
      <c r="O748" t="n">
        <v>0</v>
      </c>
      <c r="P748" t="n">
        <v>0</v>
      </c>
      <c r="Q748" t="n">
        <v>0</v>
      </c>
      <c r="R748" s="2" t="inlineStr"/>
    </row>
    <row r="749" ht="15" customHeight="1">
      <c r="A749" t="inlineStr">
        <is>
          <t>A 12975-2025</t>
        </is>
      </c>
      <c r="B749" s="1" t="n">
        <v>45734</v>
      </c>
      <c r="C749" s="1" t="n">
        <v>45829</v>
      </c>
      <c r="D749" t="inlineStr">
        <is>
          <t>VÄSTRA GÖTALANDS LÄN</t>
        </is>
      </c>
      <c r="E749" t="inlineStr">
        <is>
          <t>DALS-ED</t>
        </is>
      </c>
      <c r="G749" t="n">
        <v>4.6</v>
      </c>
      <c r="H749" t="n">
        <v>0</v>
      </c>
      <c r="I749" t="n">
        <v>0</v>
      </c>
      <c r="J749" t="n">
        <v>0</v>
      </c>
      <c r="K749" t="n">
        <v>0</v>
      </c>
      <c r="L749" t="n">
        <v>0</v>
      </c>
      <c r="M749" t="n">
        <v>0</v>
      </c>
      <c r="N749" t="n">
        <v>0</v>
      </c>
      <c r="O749" t="n">
        <v>0</v>
      </c>
      <c r="P749" t="n">
        <v>0</v>
      </c>
      <c r="Q749" t="n">
        <v>0</v>
      </c>
      <c r="R749" s="2" t="inlineStr"/>
    </row>
    <row r="750" ht="15" customHeight="1">
      <c r="A750" t="inlineStr">
        <is>
          <t>A 12996-2025</t>
        </is>
      </c>
      <c r="B750" s="1" t="n">
        <v>45734</v>
      </c>
      <c r="C750" s="1" t="n">
        <v>45829</v>
      </c>
      <c r="D750" t="inlineStr">
        <is>
          <t>VÄSTRA GÖTALANDS LÄN</t>
        </is>
      </c>
      <c r="E750" t="inlineStr">
        <is>
          <t>DALS-ED</t>
        </is>
      </c>
      <c r="G750" t="n">
        <v>1.1</v>
      </c>
      <c r="H750" t="n">
        <v>0</v>
      </c>
      <c r="I750" t="n">
        <v>0</v>
      </c>
      <c r="J750" t="n">
        <v>0</v>
      </c>
      <c r="K750" t="n">
        <v>0</v>
      </c>
      <c r="L750" t="n">
        <v>0</v>
      </c>
      <c r="M750" t="n">
        <v>0</v>
      </c>
      <c r="N750" t="n">
        <v>0</v>
      </c>
      <c r="O750" t="n">
        <v>0</v>
      </c>
      <c r="P750" t="n">
        <v>0</v>
      </c>
      <c r="Q750" t="n">
        <v>0</v>
      </c>
      <c r="R750" s="2" t="inlineStr"/>
    </row>
    <row r="751" ht="15" customHeight="1">
      <c r="A751" t="inlineStr">
        <is>
          <t>A 13667-2025</t>
        </is>
      </c>
      <c r="B751" s="1" t="n">
        <v>45736</v>
      </c>
      <c r="C751" s="1" t="n">
        <v>45829</v>
      </c>
      <c r="D751" t="inlineStr">
        <is>
          <t>VÄSTRA GÖTALANDS LÄN</t>
        </is>
      </c>
      <c r="E751" t="inlineStr">
        <is>
          <t>DALS-ED</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13670-2025</t>
        </is>
      </c>
      <c r="B752" s="1" t="n">
        <v>45736</v>
      </c>
      <c r="C752" s="1" t="n">
        <v>45829</v>
      </c>
      <c r="D752" t="inlineStr">
        <is>
          <t>VÄSTRA GÖTALANDS LÄN</t>
        </is>
      </c>
      <c r="E752" t="inlineStr">
        <is>
          <t>DALS-ED</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13690-2025</t>
        </is>
      </c>
      <c r="B753" s="1" t="n">
        <v>45737</v>
      </c>
      <c r="C753" s="1" t="n">
        <v>45829</v>
      </c>
      <c r="D753" t="inlineStr">
        <is>
          <t>VÄSTRA GÖTALANDS LÄN</t>
        </is>
      </c>
      <c r="E753" t="inlineStr">
        <is>
          <t>DALS-ED</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13703-2025</t>
        </is>
      </c>
      <c r="B754" s="1" t="n">
        <v>45737</v>
      </c>
      <c r="C754" s="1" t="n">
        <v>45829</v>
      </c>
      <c r="D754" t="inlineStr">
        <is>
          <t>VÄSTRA GÖTALANDS LÄN</t>
        </is>
      </c>
      <c r="E754" t="inlineStr">
        <is>
          <t>DALS-ED</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13698-2025</t>
        </is>
      </c>
      <c r="B755" s="1" t="n">
        <v>45737</v>
      </c>
      <c r="C755" s="1" t="n">
        <v>45829</v>
      </c>
      <c r="D755" t="inlineStr">
        <is>
          <t>VÄSTRA GÖTALANDS LÄN</t>
        </is>
      </c>
      <c r="E755" t="inlineStr">
        <is>
          <t>DALS-ED</t>
        </is>
      </c>
      <c r="F755" t="inlineStr">
        <is>
          <t>Övriga Aktiebolag</t>
        </is>
      </c>
      <c r="G755" t="n">
        <v>0.6</v>
      </c>
      <c r="H755" t="n">
        <v>0</v>
      </c>
      <c r="I755" t="n">
        <v>0</v>
      </c>
      <c r="J755" t="n">
        <v>0</v>
      </c>
      <c r="K755" t="n">
        <v>0</v>
      </c>
      <c r="L755" t="n">
        <v>0</v>
      </c>
      <c r="M755" t="n">
        <v>0</v>
      </c>
      <c r="N755" t="n">
        <v>0</v>
      </c>
      <c r="O755" t="n">
        <v>0</v>
      </c>
      <c r="P755" t="n">
        <v>0</v>
      </c>
      <c r="Q755" t="n">
        <v>0</v>
      </c>
      <c r="R755" s="2" t="inlineStr"/>
    </row>
    <row r="756" ht="15" customHeight="1">
      <c r="A756" t="inlineStr">
        <is>
          <t>A 13684-2025</t>
        </is>
      </c>
      <c r="B756" s="1" t="n">
        <v>45737</v>
      </c>
      <c r="C756" s="1" t="n">
        <v>45829</v>
      </c>
      <c r="D756" t="inlineStr">
        <is>
          <t>VÄSTRA GÖTALANDS LÄN</t>
        </is>
      </c>
      <c r="E756" t="inlineStr">
        <is>
          <t>DALS-ED</t>
        </is>
      </c>
      <c r="G756" t="n">
        <v>2.8</v>
      </c>
      <c r="H756" t="n">
        <v>0</v>
      </c>
      <c r="I756" t="n">
        <v>0</v>
      </c>
      <c r="J756" t="n">
        <v>0</v>
      </c>
      <c r="K756" t="n">
        <v>0</v>
      </c>
      <c r="L756" t="n">
        <v>0</v>
      </c>
      <c r="M756" t="n">
        <v>0</v>
      </c>
      <c r="N756" t="n">
        <v>0</v>
      </c>
      <c r="O756" t="n">
        <v>0</v>
      </c>
      <c r="P756" t="n">
        <v>0</v>
      </c>
      <c r="Q756" t="n">
        <v>0</v>
      </c>
      <c r="R756" s="2" t="inlineStr"/>
    </row>
    <row r="757" ht="15" customHeight="1">
      <c r="A757" t="inlineStr">
        <is>
          <t>A 13686-2025</t>
        </is>
      </c>
      <c r="B757" s="1" t="n">
        <v>45737</v>
      </c>
      <c r="C757" s="1" t="n">
        <v>45829</v>
      </c>
      <c r="D757" t="inlineStr">
        <is>
          <t>VÄSTRA GÖTALANDS LÄN</t>
        </is>
      </c>
      <c r="E757" t="inlineStr">
        <is>
          <t>DALS-ED</t>
        </is>
      </c>
      <c r="G757" t="n">
        <v>1.5</v>
      </c>
      <c r="H757" t="n">
        <v>0</v>
      </c>
      <c r="I757" t="n">
        <v>0</v>
      </c>
      <c r="J757" t="n">
        <v>0</v>
      </c>
      <c r="K757" t="n">
        <v>0</v>
      </c>
      <c r="L757" t="n">
        <v>0</v>
      </c>
      <c r="M757" t="n">
        <v>0</v>
      </c>
      <c r="N757" t="n">
        <v>0</v>
      </c>
      <c r="O757" t="n">
        <v>0</v>
      </c>
      <c r="P757" t="n">
        <v>0</v>
      </c>
      <c r="Q757" t="n">
        <v>0</v>
      </c>
      <c r="R757" s="2" t="inlineStr"/>
    </row>
    <row r="758" ht="15" customHeight="1">
      <c r="A758" t="inlineStr">
        <is>
          <t>A 14174-2025</t>
        </is>
      </c>
      <c r="B758" s="1" t="n">
        <v>45740</v>
      </c>
      <c r="C758" s="1" t="n">
        <v>45829</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14171-2025</t>
        </is>
      </c>
      <c r="B759" s="1" t="n">
        <v>45740</v>
      </c>
      <c r="C759" s="1" t="n">
        <v>45829</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14914-2025</t>
        </is>
      </c>
      <c r="B760" s="1" t="n">
        <v>45743</v>
      </c>
      <c r="C760" s="1" t="n">
        <v>45829</v>
      </c>
      <c r="D760" t="inlineStr">
        <is>
          <t>VÄSTRA GÖTALANDS LÄN</t>
        </is>
      </c>
      <c r="E760" t="inlineStr">
        <is>
          <t>DALS-ED</t>
        </is>
      </c>
      <c r="G760" t="n">
        <v>1.6</v>
      </c>
      <c r="H760" t="n">
        <v>0</v>
      </c>
      <c r="I760" t="n">
        <v>0</v>
      </c>
      <c r="J760" t="n">
        <v>0</v>
      </c>
      <c r="K760" t="n">
        <v>0</v>
      </c>
      <c r="L760" t="n">
        <v>0</v>
      </c>
      <c r="M760" t="n">
        <v>0</v>
      </c>
      <c r="N760" t="n">
        <v>0</v>
      </c>
      <c r="O760" t="n">
        <v>0</v>
      </c>
      <c r="P760" t="n">
        <v>0</v>
      </c>
      <c r="Q760" t="n">
        <v>0</v>
      </c>
      <c r="R760" s="2" t="inlineStr"/>
    </row>
    <row r="761" ht="15" customHeight="1">
      <c r="A761" t="inlineStr">
        <is>
          <t>A 14924-2025</t>
        </is>
      </c>
      <c r="B761" s="1" t="n">
        <v>45743</v>
      </c>
      <c r="C761" s="1" t="n">
        <v>45829</v>
      </c>
      <c r="D761" t="inlineStr">
        <is>
          <t>VÄSTRA GÖTALANDS LÄN</t>
        </is>
      </c>
      <c r="E761" t="inlineStr">
        <is>
          <t>DALS-ED</t>
        </is>
      </c>
      <c r="G761" t="n">
        <v>0.5</v>
      </c>
      <c r="H761" t="n">
        <v>0</v>
      </c>
      <c r="I761" t="n">
        <v>0</v>
      </c>
      <c r="J761" t="n">
        <v>0</v>
      </c>
      <c r="K761" t="n">
        <v>0</v>
      </c>
      <c r="L761" t="n">
        <v>0</v>
      </c>
      <c r="M761" t="n">
        <v>0</v>
      </c>
      <c r="N761" t="n">
        <v>0</v>
      </c>
      <c r="O761" t="n">
        <v>0</v>
      </c>
      <c r="P761" t="n">
        <v>0</v>
      </c>
      <c r="Q761" t="n">
        <v>0</v>
      </c>
      <c r="R761" s="2" t="inlineStr"/>
    </row>
    <row r="762" ht="15" customHeight="1">
      <c r="A762" t="inlineStr">
        <is>
          <t>A 14934-2025</t>
        </is>
      </c>
      <c r="B762" s="1" t="n">
        <v>45743</v>
      </c>
      <c r="C762" s="1" t="n">
        <v>45829</v>
      </c>
      <c r="D762" t="inlineStr">
        <is>
          <t>VÄSTRA GÖTALANDS LÄN</t>
        </is>
      </c>
      <c r="E762" t="inlineStr">
        <is>
          <t>DALS-ED</t>
        </is>
      </c>
      <c r="G762" t="n">
        <v>1.1</v>
      </c>
      <c r="H762" t="n">
        <v>0</v>
      </c>
      <c r="I762" t="n">
        <v>0</v>
      </c>
      <c r="J762" t="n">
        <v>0</v>
      </c>
      <c r="K762" t="n">
        <v>0</v>
      </c>
      <c r="L762" t="n">
        <v>0</v>
      </c>
      <c r="M762" t="n">
        <v>0</v>
      </c>
      <c r="N762" t="n">
        <v>0</v>
      </c>
      <c r="O762" t="n">
        <v>0</v>
      </c>
      <c r="P762" t="n">
        <v>0</v>
      </c>
      <c r="Q762" t="n">
        <v>0</v>
      </c>
      <c r="R762" s="2" t="inlineStr"/>
    </row>
    <row r="763" ht="15" customHeight="1">
      <c r="A763" t="inlineStr">
        <is>
          <t>A 14939-2025</t>
        </is>
      </c>
      <c r="B763" s="1" t="n">
        <v>45743</v>
      </c>
      <c r="C763" s="1" t="n">
        <v>45829</v>
      </c>
      <c r="D763" t="inlineStr">
        <is>
          <t>VÄSTRA GÖTALANDS LÄN</t>
        </is>
      </c>
      <c r="E763" t="inlineStr">
        <is>
          <t>DALS-ED</t>
        </is>
      </c>
      <c r="G763" t="n">
        <v>1.8</v>
      </c>
      <c r="H763" t="n">
        <v>0</v>
      </c>
      <c r="I763" t="n">
        <v>0</v>
      </c>
      <c r="J763" t="n">
        <v>0</v>
      </c>
      <c r="K763" t="n">
        <v>0</v>
      </c>
      <c r="L763" t="n">
        <v>0</v>
      </c>
      <c r="M763" t="n">
        <v>0</v>
      </c>
      <c r="N763" t="n">
        <v>0</v>
      </c>
      <c r="O763" t="n">
        <v>0</v>
      </c>
      <c r="P763" t="n">
        <v>0</v>
      </c>
      <c r="Q763" t="n">
        <v>0</v>
      </c>
      <c r="R763" s="2" t="inlineStr"/>
    </row>
    <row r="764" ht="15" customHeight="1">
      <c r="A764" t="inlineStr">
        <is>
          <t>A 14909-2025</t>
        </is>
      </c>
      <c r="B764" s="1" t="n">
        <v>45743</v>
      </c>
      <c r="C764" s="1" t="n">
        <v>45829</v>
      </c>
      <c r="D764" t="inlineStr">
        <is>
          <t>VÄSTRA GÖTALANDS LÄN</t>
        </is>
      </c>
      <c r="E764" t="inlineStr">
        <is>
          <t>DALS-ED</t>
        </is>
      </c>
      <c r="G764" t="n">
        <v>1.2</v>
      </c>
      <c r="H764" t="n">
        <v>0</v>
      </c>
      <c r="I764" t="n">
        <v>0</v>
      </c>
      <c r="J764" t="n">
        <v>0</v>
      </c>
      <c r="K764" t="n">
        <v>0</v>
      </c>
      <c r="L764" t="n">
        <v>0</v>
      </c>
      <c r="M764" t="n">
        <v>0</v>
      </c>
      <c r="N764" t="n">
        <v>0</v>
      </c>
      <c r="O764" t="n">
        <v>0</v>
      </c>
      <c r="P764" t="n">
        <v>0</v>
      </c>
      <c r="Q764" t="n">
        <v>0</v>
      </c>
      <c r="R764" s="2" t="inlineStr"/>
    </row>
    <row r="765" ht="15" customHeight="1">
      <c r="A765" t="inlineStr">
        <is>
          <t>A 14918-2025</t>
        </is>
      </c>
      <c r="B765" s="1" t="n">
        <v>45743</v>
      </c>
      <c r="C765" s="1" t="n">
        <v>45829</v>
      </c>
      <c r="D765" t="inlineStr">
        <is>
          <t>VÄSTRA GÖTALANDS LÄN</t>
        </is>
      </c>
      <c r="E765" t="inlineStr">
        <is>
          <t>DALS-ED</t>
        </is>
      </c>
      <c r="G765" t="n">
        <v>1.3</v>
      </c>
      <c r="H765" t="n">
        <v>0</v>
      </c>
      <c r="I765" t="n">
        <v>0</v>
      </c>
      <c r="J765" t="n">
        <v>0</v>
      </c>
      <c r="K765" t="n">
        <v>0</v>
      </c>
      <c r="L765" t="n">
        <v>0</v>
      </c>
      <c r="M765" t="n">
        <v>0</v>
      </c>
      <c r="N765" t="n">
        <v>0</v>
      </c>
      <c r="O765" t="n">
        <v>0</v>
      </c>
      <c r="P765" t="n">
        <v>0</v>
      </c>
      <c r="Q765" t="n">
        <v>0</v>
      </c>
      <c r="R765" s="2" t="inlineStr"/>
    </row>
    <row r="766" ht="15" customHeight="1">
      <c r="A766" t="inlineStr">
        <is>
          <t>A 15709-2025</t>
        </is>
      </c>
      <c r="B766" s="1" t="n">
        <v>45748</v>
      </c>
      <c r="C766" s="1" t="n">
        <v>45829</v>
      </c>
      <c r="D766" t="inlineStr">
        <is>
          <t>VÄSTRA GÖTALANDS LÄN</t>
        </is>
      </c>
      <c r="E766" t="inlineStr">
        <is>
          <t>DALS-ED</t>
        </is>
      </c>
      <c r="G766" t="n">
        <v>3.1</v>
      </c>
      <c r="H766" t="n">
        <v>0</v>
      </c>
      <c r="I766" t="n">
        <v>0</v>
      </c>
      <c r="J766" t="n">
        <v>0</v>
      </c>
      <c r="K766" t="n">
        <v>0</v>
      </c>
      <c r="L766" t="n">
        <v>0</v>
      </c>
      <c r="M766" t="n">
        <v>0</v>
      </c>
      <c r="N766" t="n">
        <v>0</v>
      </c>
      <c r="O766" t="n">
        <v>0</v>
      </c>
      <c r="P766" t="n">
        <v>0</v>
      </c>
      <c r="Q766" t="n">
        <v>0</v>
      </c>
      <c r="R766" s="2" t="inlineStr"/>
    </row>
    <row r="767" ht="15" customHeight="1">
      <c r="A767" t="inlineStr">
        <is>
          <t>A 16952-2025</t>
        </is>
      </c>
      <c r="B767" s="1" t="n">
        <v>45755</v>
      </c>
      <c r="C767" s="1" t="n">
        <v>45829</v>
      </c>
      <c r="D767" t="inlineStr">
        <is>
          <t>VÄSTRA GÖTALANDS LÄN</t>
        </is>
      </c>
      <c r="E767" t="inlineStr">
        <is>
          <t>DALS-ED</t>
        </is>
      </c>
      <c r="G767" t="n">
        <v>1</v>
      </c>
      <c r="H767" t="n">
        <v>0</v>
      </c>
      <c r="I767" t="n">
        <v>0</v>
      </c>
      <c r="J767" t="n">
        <v>0</v>
      </c>
      <c r="K767" t="n">
        <v>0</v>
      </c>
      <c r="L767" t="n">
        <v>0</v>
      </c>
      <c r="M767" t="n">
        <v>0</v>
      </c>
      <c r="N767" t="n">
        <v>0</v>
      </c>
      <c r="O767" t="n">
        <v>0</v>
      </c>
      <c r="P767" t="n">
        <v>0</v>
      </c>
      <c r="Q767" t="n">
        <v>0</v>
      </c>
      <c r="R767" s="2" t="inlineStr"/>
    </row>
    <row r="768" ht="15" customHeight="1">
      <c r="A768" t="inlineStr">
        <is>
          <t>A 16975-2025</t>
        </is>
      </c>
      <c r="B768" s="1" t="n">
        <v>45755</v>
      </c>
      <c r="C768" s="1" t="n">
        <v>45829</v>
      </c>
      <c r="D768" t="inlineStr">
        <is>
          <t>VÄSTRA GÖTALANDS LÄN</t>
        </is>
      </c>
      <c r="E768" t="inlineStr">
        <is>
          <t>DALS-ED</t>
        </is>
      </c>
      <c r="G768" t="n">
        <v>7</v>
      </c>
      <c r="H768" t="n">
        <v>0</v>
      </c>
      <c r="I768" t="n">
        <v>0</v>
      </c>
      <c r="J768" t="n">
        <v>0</v>
      </c>
      <c r="K768" t="n">
        <v>0</v>
      </c>
      <c r="L768" t="n">
        <v>0</v>
      </c>
      <c r="M768" t="n">
        <v>0</v>
      </c>
      <c r="N768" t="n">
        <v>0</v>
      </c>
      <c r="O768" t="n">
        <v>0</v>
      </c>
      <c r="P768" t="n">
        <v>0</v>
      </c>
      <c r="Q768" t="n">
        <v>0</v>
      </c>
      <c r="R768" s="2" t="inlineStr"/>
    </row>
    <row r="769" ht="15" customHeight="1">
      <c r="A769" t="inlineStr">
        <is>
          <t>A 18228-2025</t>
        </is>
      </c>
      <c r="B769" s="1" t="n">
        <v>45761</v>
      </c>
      <c r="C769" s="1" t="n">
        <v>45829</v>
      </c>
      <c r="D769" t="inlineStr">
        <is>
          <t>VÄSTRA GÖTALANDS LÄN</t>
        </is>
      </c>
      <c r="E769" t="inlineStr">
        <is>
          <t>DALS-ED</t>
        </is>
      </c>
      <c r="G769" t="n">
        <v>1.5</v>
      </c>
      <c r="H769" t="n">
        <v>0</v>
      </c>
      <c r="I769" t="n">
        <v>0</v>
      </c>
      <c r="J769" t="n">
        <v>0</v>
      </c>
      <c r="K769" t="n">
        <v>0</v>
      </c>
      <c r="L769" t="n">
        <v>0</v>
      </c>
      <c r="M769" t="n">
        <v>0</v>
      </c>
      <c r="N769" t="n">
        <v>0</v>
      </c>
      <c r="O769" t="n">
        <v>0</v>
      </c>
      <c r="P769" t="n">
        <v>0</v>
      </c>
      <c r="Q769" t="n">
        <v>0</v>
      </c>
      <c r="R769" s="2" t="inlineStr"/>
    </row>
    <row r="770" ht="15" customHeight="1">
      <c r="A770" t="inlineStr">
        <is>
          <t>A 18437-2025</t>
        </is>
      </c>
      <c r="B770" s="1" t="n">
        <v>45762</v>
      </c>
      <c r="C770" s="1" t="n">
        <v>45829</v>
      </c>
      <c r="D770" t="inlineStr">
        <is>
          <t>VÄSTRA GÖTALANDS LÄN</t>
        </is>
      </c>
      <c r="E770" t="inlineStr">
        <is>
          <t>DALS-ED</t>
        </is>
      </c>
      <c r="G770" t="n">
        <v>0.8</v>
      </c>
      <c r="H770" t="n">
        <v>0</v>
      </c>
      <c r="I770" t="n">
        <v>0</v>
      </c>
      <c r="J770" t="n">
        <v>0</v>
      </c>
      <c r="K770" t="n">
        <v>0</v>
      </c>
      <c r="L770" t="n">
        <v>0</v>
      </c>
      <c r="M770" t="n">
        <v>0</v>
      </c>
      <c r="N770" t="n">
        <v>0</v>
      </c>
      <c r="O770" t="n">
        <v>0</v>
      </c>
      <c r="P770" t="n">
        <v>0</v>
      </c>
      <c r="Q770" t="n">
        <v>0</v>
      </c>
      <c r="R770" s="2" t="inlineStr"/>
    </row>
    <row r="771" ht="15" customHeight="1">
      <c r="A771" t="inlineStr">
        <is>
          <t>A 18456-2025</t>
        </is>
      </c>
      <c r="B771" s="1" t="n">
        <v>45762</v>
      </c>
      <c r="C771" s="1" t="n">
        <v>45829</v>
      </c>
      <c r="D771" t="inlineStr">
        <is>
          <t>VÄSTRA GÖTALANDS LÄN</t>
        </is>
      </c>
      <c r="E771" t="inlineStr">
        <is>
          <t>DALS-ED</t>
        </is>
      </c>
      <c r="G771" t="n">
        <v>3.7</v>
      </c>
      <c r="H771" t="n">
        <v>0</v>
      </c>
      <c r="I771" t="n">
        <v>0</v>
      </c>
      <c r="J771" t="n">
        <v>0</v>
      </c>
      <c r="K771" t="n">
        <v>0</v>
      </c>
      <c r="L771" t="n">
        <v>0</v>
      </c>
      <c r="M771" t="n">
        <v>0</v>
      </c>
      <c r="N771" t="n">
        <v>0</v>
      </c>
      <c r="O771" t="n">
        <v>0</v>
      </c>
      <c r="P771" t="n">
        <v>0</v>
      </c>
      <c r="Q771" t="n">
        <v>0</v>
      </c>
      <c r="R771" s="2" t="inlineStr"/>
    </row>
    <row r="772" ht="15" customHeight="1">
      <c r="A772" t="inlineStr">
        <is>
          <t>A 18529-2025</t>
        </is>
      </c>
      <c r="B772" s="1" t="n">
        <v>45763</v>
      </c>
      <c r="C772" s="1" t="n">
        <v>45829</v>
      </c>
      <c r="D772" t="inlineStr">
        <is>
          <t>VÄSTRA GÖTALANDS LÄN</t>
        </is>
      </c>
      <c r="E772" t="inlineStr">
        <is>
          <t>DALS-ED</t>
        </is>
      </c>
      <c r="G772" t="n">
        <v>3.9</v>
      </c>
      <c r="H772" t="n">
        <v>0</v>
      </c>
      <c r="I772" t="n">
        <v>0</v>
      </c>
      <c r="J772" t="n">
        <v>0</v>
      </c>
      <c r="K772" t="n">
        <v>0</v>
      </c>
      <c r="L772" t="n">
        <v>0</v>
      </c>
      <c r="M772" t="n">
        <v>0</v>
      </c>
      <c r="N772" t="n">
        <v>0</v>
      </c>
      <c r="O772" t="n">
        <v>0</v>
      </c>
      <c r="P772" t="n">
        <v>0</v>
      </c>
      <c r="Q772" t="n">
        <v>0</v>
      </c>
      <c r="R772" s="2" t="inlineStr"/>
    </row>
    <row r="773" ht="15" customHeight="1">
      <c r="A773" t="inlineStr">
        <is>
          <t>A 18520-2025</t>
        </is>
      </c>
      <c r="B773" s="1" t="n">
        <v>45763</v>
      </c>
      <c r="C773" s="1" t="n">
        <v>45829</v>
      </c>
      <c r="D773" t="inlineStr">
        <is>
          <t>VÄSTRA GÖTALANDS LÄN</t>
        </is>
      </c>
      <c r="E773" t="inlineStr">
        <is>
          <t>DALS-ED</t>
        </is>
      </c>
      <c r="G773" t="n">
        <v>1.8</v>
      </c>
      <c r="H773" t="n">
        <v>0</v>
      </c>
      <c r="I773" t="n">
        <v>0</v>
      </c>
      <c r="J773" t="n">
        <v>0</v>
      </c>
      <c r="K773" t="n">
        <v>0</v>
      </c>
      <c r="L773" t="n">
        <v>0</v>
      </c>
      <c r="M773" t="n">
        <v>0</v>
      </c>
      <c r="N773" t="n">
        <v>0</v>
      </c>
      <c r="O773" t="n">
        <v>0</v>
      </c>
      <c r="P773" t="n">
        <v>0</v>
      </c>
      <c r="Q773" t="n">
        <v>0</v>
      </c>
      <c r="R773" s="2" t="inlineStr"/>
    </row>
    <row r="774" ht="15" customHeight="1">
      <c r="A774" t="inlineStr">
        <is>
          <t>A 18536-2025</t>
        </is>
      </c>
      <c r="B774" s="1" t="n">
        <v>45763</v>
      </c>
      <c r="C774" s="1" t="n">
        <v>45829</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18523-2025</t>
        </is>
      </c>
      <c r="B775" s="1" t="n">
        <v>45763</v>
      </c>
      <c r="C775" s="1" t="n">
        <v>45829</v>
      </c>
      <c r="D775" t="inlineStr">
        <is>
          <t>VÄSTRA GÖTALANDS LÄN</t>
        </is>
      </c>
      <c r="E775" t="inlineStr">
        <is>
          <t>DALS-ED</t>
        </is>
      </c>
      <c r="G775" t="n">
        <v>2.1</v>
      </c>
      <c r="H775" t="n">
        <v>0</v>
      </c>
      <c r="I775" t="n">
        <v>0</v>
      </c>
      <c r="J775" t="n">
        <v>0</v>
      </c>
      <c r="K775" t="n">
        <v>0</v>
      </c>
      <c r="L775" t="n">
        <v>0</v>
      </c>
      <c r="M775" t="n">
        <v>0</v>
      </c>
      <c r="N775" t="n">
        <v>0</v>
      </c>
      <c r="O775" t="n">
        <v>0</v>
      </c>
      <c r="P775" t="n">
        <v>0</v>
      </c>
      <c r="Q775" t="n">
        <v>0</v>
      </c>
      <c r="R775" s="2" t="inlineStr"/>
    </row>
    <row r="776" ht="15" customHeight="1">
      <c r="A776" t="inlineStr">
        <is>
          <t>A 19357-2025</t>
        </is>
      </c>
      <c r="B776" s="1" t="n">
        <v>45769</v>
      </c>
      <c r="C776" s="1" t="n">
        <v>45829</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20265-2025</t>
        </is>
      </c>
      <c r="B777" s="1" t="n">
        <v>45773</v>
      </c>
      <c r="C777" s="1" t="n">
        <v>45829</v>
      </c>
      <c r="D777" t="inlineStr">
        <is>
          <t>VÄSTRA GÖTALANDS LÄN</t>
        </is>
      </c>
      <c r="E777" t="inlineStr">
        <is>
          <t>DALS-ED</t>
        </is>
      </c>
      <c r="G777" t="n">
        <v>1.3</v>
      </c>
      <c r="H777" t="n">
        <v>0</v>
      </c>
      <c r="I777" t="n">
        <v>0</v>
      </c>
      <c r="J777" t="n">
        <v>0</v>
      </c>
      <c r="K777" t="n">
        <v>0</v>
      </c>
      <c r="L777" t="n">
        <v>0</v>
      </c>
      <c r="M777" t="n">
        <v>0</v>
      </c>
      <c r="N777" t="n">
        <v>0</v>
      </c>
      <c r="O777" t="n">
        <v>0</v>
      </c>
      <c r="P777" t="n">
        <v>0</v>
      </c>
      <c r="Q777" t="n">
        <v>0</v>
      </c>
      <c r="R777" s="2" t="inlineStr"/>
    </row>
    <row r="778" ht="15" customHeight="1">
      <c r="A778" t="inlineStr">
        <is>
          <t>A 20268-2025</t>
        </is>
      </c>
      <c r="B778" s="1" t="n">
        <v>45773</v>
      </c>
      <c r="C778" s="1" t="n">
        <v>45829</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20948-2025</t>
        </is>
      </c>
      <c r="B779" s="1" t="n">
        <v>45777</v>
      </c>
      <c r="C779" s="1" t="n">
        <v>45829</v>
      </c>
      <c r="D779" t="inlineStr">
        <is>
          <t>VÄSTRA GÖTALANDS LÄN</t>
        </is>
      </c>
      <c r="E779" t="inlineStr">
        <is>
          <t>DALS-ED</t>
        </is>
      </c>
      <c r="G779" t="n">
        <v>1.1</v>
      </c>
      <c r="H779" t="n">
        <v>0</v>
      </c>
      <c r="I779" t="n">
        <v>0</v>
      </c>
      <c r="J779" t="n">
        <v>0</v>
      </c>
      <c r="K779" t="n">
        <v>0</v>
      </c>
      <c r="L779" t="n">
        <v>0</v>
      </c>
      <c r="M779" t="n">
        <v>0</v>
      </c>
      <c r="N779" t="n">
        <v>0</v>
      </c>
      <c r="O779" t="n">
        <v>0</v>
      </c>
      <c r="P779" t="n">
        <v>0</v>
      </c>
      <c r="Q779" t="n">
        <v>0</v>
      </c>
      <c r="R779" s="2" t="inlineStr"/>
    </row>
    <row r="780" ht="15" customHeight="1">
      <c r="A780" t="inlineStr">
        <is>
          <t>A 21185-2025</t>
        </is>
      </c>
      <c r="B780" s="1" t="n">
        <v>45779</v>
      </c>
      <c r="C780" s="1" t="n">
        <v>45829</v>
      </c>
      <c r="D780" t="inlineStr">
        <is>
          <t>VÄSTRA GÖTALANDS LÄN</t>
        </is>
      </c>
      <c r="E780" t="inlineStr">
        <is>
          <t>DALS-ED</t>
        </is>
      </c>
      <c r="G780" t="n">
        <v>1.2</v>
      </c>
      <c r="H780" t="n">
        <v>0</v>
      </c>
      <c r="I780" t="n">
        <v>0</v>
      </c>
      <c r="J780" t="n">
        <v>0</v>
      </c>
      <c r="K780" t="n">
        <v>0</v>
      </c>
      <c r="L780" t="n">
        <v>0</v>
      </c>
      <c r="M780" t="n">
        <v>0</v>
      </c>
      <c r="N780" t="n">
        <v>0</v>
      </c>
      <c r="O780" t="n">
        <v>0</v>
      </c>
      <c r="P780" t="n">
        <v>0</v>
      </c>
      <c r="Q780" t="n">
        <v>0</v>
      </c>
      <c r="R780" s="2" t="inlineStr"/>
    </row>
    <row r="781" ht="15" customHeight="1">
      <c r="A781" t="inlineStr">
        <is>
          <t>A 21571-2025</t>
        </is>
      </c>
      <c r="B781" s="1" t="n">
        <v>45782</v>
      </c>
      <c r="C781" s="1" t="n">
        <v>45829</v>
      </c>
      <c r="D781" t="inlineStr">
        <is>
          <t>VÄSTRA GÖTALANDS LÄN</t>
        </is>
      </c>
      <c r="E781" t="inlineStr">
        <is>
          <t>DALS-ED</t>
        </is>
      </c>
      <c r="G781" t="n">
        <v>2.2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45829</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45829</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22058-2025</t>
        </is>
      </c>
      <c r="B784" s="1" t="n">
        <v>45785</v>
      </c>
      <c r="C784" s="1" t="n">
        <v>45829</v>
      </c>
      <c r="D784" t="inlineStr">
        <is>
          <t>VÄSTRA GÖTALANDS LÄN</t>
        </is>
      </c>
      <c r="E784" t="inlineStr">
        <is>
          <t>DALS-ED</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22077-2025</t>
        </is>
      </c>
      <c r="B785" s="1" t="n">
        <v>45785</v>
      </c>
      <c r="C785" s="1" t="n">
        <v>45829</v>
      </c>
      <c r="D785" t="inlineStr">
        <is>
          <t>VÄSTRA GÖTALANDS LÄN</t>
        </is>
      </c>
      <c r="E785" t="inlineStr">
        <is>
          <t>DALS-ED</t>
        </is>
      </c>
      <c r="G785" t="n">
        <v>10.9</v>
      </c>
      <c r="H785" t="n">
        <v>0</v>
      </c>
      <c r="I785" t="n">
        <v>0</v>
      </c>
      <c r="J785" t="n">
        <v>0</v>
      </c>
      <c r="K785" t="n">
        <v>0</v>
      </c>
      <c r="L785" t="n">
        <v>0</v>
      </c>
      <c r="M785" t="n">
        <v>0</v>
      </c>
      <c r="N785" t="n">
        <v>0</v>
      </c>
      <c r="O785" t="n">
        <v>0</v>
      </c>
      <c r="P785" t="n">
        <v>0</v>
      </c>
      <c r="Q785" t="n">
        <v>0</v>
      </c>
      <c r="R785" s="2" t="inlineStr"/>
    </row>
    <row r="786" ht="15" customHeight="1">
      <c r="A786" t="inlineStr">
        <is>
          <t>A 22059-2025</t>
        </is>
      </c>
      <c r="B786" s="1" t="n">
        <v>45785</v>
      </c>
      <c r="C786" s="1" t="n">
        <v>45829</v>
      </c>
      <c r="D786" t="inlineStr">
        <is>
          <t>VÄSTRA GÖTALANDS LÄN</t>
        </is>
      </c>
      <c r="E786" t="inlineStr">
        <is>
          <t>DALS-ED</t>
        </is>
      </c>
      <c r="F786" t="inlineStr">
        <is>
          <t>Övriga Aktiebolag</t>
        </is>
      </c>
      <c r="G786" t="n">
        <v>2.9</v>
      </c>
      <c r="H786" t="n">
        <v>0</v>
      </c>
      <c r="I786" t="n">
        <v>0</v>
      </c>
      <c r="J786" t="n">
        <v>0</v>
      </c>
      <c r="K786" t="n">
        <v>0</v>
      </c>
      <c r="L786" t="n">
        <v>0</v>
      </c>
      <c r="M786" t="n">
        <v>0</v>
      </c>
      <c r="N786" t="n">
        <v>0</v>
      </c>
      <c r="O786" t="n">
        <v>0</v>
      </c>
      <c r="P786" t="n">
        <v>0</v>
      </c>
      <c r="Q786" t="n">
        <v>0</v>
      </c>
      <c r="R786" s="2" t="inlineStr"/>
    </row>
    <row r="787" ht="15" customHeight="1">
      <c r="A787" t="inlineStr">
        <is>
          <t>A 22068-2025</t>
        </is>
      </c>
      <c r="B787" s="1" t="n">
        <v>45785</v>
      </c>
      <c r="C787" s="1" t="n">
        <v>45829</v>
      </c>
      <c r="D787" t="inlineStr">
        <is>
          <t>VÄSTRA GÖTALANDS LÄN</t>
        </is>
      </c>
      <c r="E787" t="inlineStr">
        <is>
          <t>DALS-ED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22293-2025</t>
        </is>
      </c>
      <c r="B788" s="1" t="n">
        <v>45786</v>
      </c>
      <c r="C788" s="1" t="n">
        <v>45829</v>
      </c>
      <c r="D788" t="inlineStr">
        <is>
          <t>VÄSTRA GÖTALANDS LÄN</t>
        </is>
      </c>
      <c r="E788" t="inlineStr">
        <is>
          <t>DALS-ED</t>
        </is>
      </c>
      <c r="G788" t="n">
        <v>8</v>
      </c>
      <c r="H788" t="n">
        <v>0</v>
      </c>
      <c r="I788" t="n">
        <v>0</v>
      </c>
      <c r="J788" t="n">
        <v>0</v>
      </c>
      <c r="K788" t="n">
        <v>0</v>
      </c>
      <c r="L788" t="n">
        <v>0</v>
      </c>
      <c r="M788" t="n">
        <v>0</v>
      </c>
      <c r="N788" t="n">
        <v>0</v>
      </c>
      <c r="O788" t="n">
        <v>0</v>
      </c>
      <c r="P788" t="n">
        <v>0</v>
      </c>
      <c r="Q788" t="n">
        <v>0</v>
      </c>
      <c r="R788" s="2" t="inlineStr"/>
    </row>
    <row r="789" ht="15" customHeight="1">
      <c r="A789" t="inlineStr">
        <is>
          <t>A 22906-2025</t>
        </is>
      </c>
      <c r="B789" s="1" t="n">
        <v>45790</v>
      </c>
      <c r="C789" s="1" t="n">
        <v>45829</v>
      </c>
      <c r="D789" t="inlineStr">
        <is>
          <t>VÄSTRA GÖTALANDS LÄN</t>
        </is>
      </c>
      <c r="E789" t="inlineStr">
        <is>
          <t>DALS-ED</t>
        </is>
      </c>
      <c r="G789" t="n">
        <v>1.2</v>
      </c>
      <c r="H789" t="n">
        <v>0</v>
      </c>
      <c r="I789" t="n">
        <v>0</v>
      </c>
      <c r="J789" t="n">
        <v>0</v>
      </c>
      <c r="K789" t="n">
        <v>0</v>
      </c>
      <c r="L789" t="n">
        <v>0</v>
      </c>
      <c r="M789" t="n">
        <v>0</v>
      </c>
      <c r="N789" t="n">
        <v>0</v>
      </c>
      <c r="O789" t="n">
        <v>0</v>
      </c>
      <c r="P789" t="n">
        <v>0</v>
      </c>
      <c r="Q789" t="n">
        <v>0</v>
      </c>
      <c r="R789" s="2" t="inlineStr"/>
    </row>
    <row r="790" ht="15" customHeight="1">
      <c r="A790" t="inlineStr">
        <is>
          <t>A 22901-2025</t>
        </is>
      </c>
      <c r="B790" s="1" t="n">
        <v>45790</v>
      </c>
      <c r="C790" s="1" t="n">
        <v>45829</v>
      </c>
      <c r="D790" t="inlineStr">
        <is>
          <t>VÄSTRA GÖTALANDS LÄN</t>
        </is>
      </c>
      <c r="E790" t="inlineStr">
        <is>
          <t>DALS-ED</t>
        </is>
      </c>
      <c r="G790" t="n">
        <v>0.5</v>
      </c>
      <c r="H790" t="n">
        <v>0</v>
      </c>
      <c r="I790" t="n">
        <v>0</v>
      </c>
      <c r="J790" t="n">
        <v>0</v>
      </c>
      <c r="K790" t="n">
        <v>0</v>
      </c>
      <c r="L790" t="n">
        <v>0</v>
      </c>
      <c r="M790" t="n">
        <v>0</v>
      </c>
      <c r="N790" t="n">
        <v>0</v>
      </c>
      <c r="O790" t="n">
        <v>0</v>
      </c>
      <c r="P790" t="n">
        <v>0</v>
      </c>
      <c r="Q790" t="n">
        <v>0</v>
      </c>
      <c r="R790" s="2" t="inlineStr"/>
    </row>
    <row r="791" ht="15" customHeight="1">
      <c r="A791" t="inlineStr">
        <is>
          <t>A 22847-2025</t>
        </is>
      </c>
      <c r="B791" s="1" t="n">
        <v>45790</v>
      </c>
      <c r="C791" s="1" t="n">
        <v>45829</v>
      </c>
      <c r="D791" t="inlineStr">
        <is>
          <t>VÄSTRA GÖTALANDS LÄN</t>
        </is>
      </c>
      <c r="E791" t="inlineStr">
        <is>
          <t>DALS-ED</t>
        </is>
      </c>
      <c r="G791" t="n">
        <v>0.8</v>
      </c>
      <c r="H791" t="n">
        <v>0</v>
      </c>
      <c r="I791" t="n">
        <v>0</v>
      </c>
      <c r="J791" t="n">
        <v>0</v>
      </c>
      <c r="K791" t="n">
        <v>0</v>
      </c>
      <c r="L791" t="n">
        <v>0</v>
      </c>
      <c r="M791" t="n">
        <v>0</v>
      </c>
      <c r="N791" t="n">
        <v>0</v>
      </c>
      <c r="O791" t="n">
        <v>0</v>
      </c>
      <c r="P791" t="n">
        <v>0</v>
      </c>
      <c r="Q791" t="n">
        <v>0</v>
      </c>
      <c r="R791" s="2" t="inlineStr"/>
    </row>
    <row r="792" ht="15" customHeight="1">
      <c r="A792" t="inlineStr">
        <is>
          <t>A 23013-2025</t>
        </is>
      </c>
      <c r="B792" s="1" t="n">
        <v>45790</v>
      </c>
      <c r="C792" s="1" t="n">
        <v>45829</v>
      </c>
      <c r="D792" t="inlineStr">
        <is>
          <t>VÄSTRA GÖTALANDS LÄN</t>
        </is>
      </c>
      <c r="E792" t="inlineStr">
        <is>
          <t>DALS-ED</t>
        </is>
      </c>
      <c r="G792" t="n">
        <v>2.8</v>
      </c>
      <c r="H792" t="n">
        <v>0</v>
      </c>
      <c r="I792" t="n">
        <v>0</v>
      </c>
      <c r="J792" t="n">
        <v>0</v>
      </c>
      <c r="K792" t="n">
        <v>0</v>
      </c>
      <c r="L792" t="n">
        <v>0</v>
      </c>
      <c r="M792" t="n">
        <v>0</v>
      </c>
      <c r="N792" t="n">
        <v>0</v>
      </c>
      <c r="O792" t="n">
        <v>0</v>
      </c>
      <c r="P792" t="n">
        <v>0</v>
      </c>
      <c r="Q792" t="n">
        <v>0</v>
      </c>
      <c r="R792" s="2" t="inlineStr"/>
    </row>
    <row r="793" ht="15" customHeight="1">
      <c r="A793" t="inlineStr">
        <is>
          <t>A 23375-2025</t>
        </is>
      </c>
      <c r="B793" s="1" t="n">
        <v>45791</v>
      </c>
      <c r="C793" s="1" t="n">
        <v>45829</v>
      </c>
      <c r="D793" t="inlineStr">
        <is>
          <t>VÄSTRA GÖTALANDS LÄN</t>
        </is>
      </c>
      <c r="E793" t="inlineStr">
        <is>
          <t>DALS-ED</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23636-2025</t>
        </is>
      </c>
      <c r="B794" s="1" t="n">
        <v>45792</v>
      </c>
      <c r="C794" s="1" t="n">
        <v>45829</v>
      </c>
      <c r="D794" t="inlineStr">
        <is>
          <t>VÄSTRA GÖTALANDS LÄN</t>
        </is>
      </c>
      <c r="E794" t="inlineStr">
        <is>
          <t>DALS-ED</t>
        </is>
      </c>
      <c r="G794" t="n">
        <v>4.3</v>
      </c>
      <c r="H794" t="n">
        <v>0</v>
      </c>
      <c r="I794" t="n">
        <v>0</v>
      </c>
      <c r="J794" t="n">
        <v>0</v>
      </c>
      <c r="K794" t="n">
        <v>0</v>
      </c>
      <c r="L794" t="n">
        <v>0</v>
      </c>
      <c r="M794" t="n">
        <v>0</v>
      </c>
      <c r="N794" t="n">
        <v>0</v>
      </c>
      <c r="O794" t="n">
        <v>0</v>
      </c>
      <c r="P794" t="n">
        <v>0</v>
      </c>
      <c r="Q794" t="n">
        <v>0</v>
      </c>
      <c r="R794" s="2" t="inlineStr"/>
    </row>
    <row r="795" ht="15" customHeight="1">
      <c r="A795" t="inlineStr">
        <is>
          <t>A 23956-2025</t>
        </is>
      </c>
      <c r="B795" s="1" t="n">
        <v>45796</v>
      </c>
      <c r="C795" s="1" t="n">
        <v>45829</v>
      </c>
      <c r="D795" t="inlineStr">
        <is>
          <t>VÄSTRA GÖTALANDS LÄN</t>
        </is>
      </c>
      <c r="E795" t="inlineStr">
        <is>
          <t>DALS-ED</t>
        </is>
      </c>
      <c r="G795" t="n">
        <v>0.9</v>
      </c>
      <c r="H795" t="n">
        <v>0</v>
      </c>
      <c r="I795" t="n">
        <v>0</v>
      </c>
      <c r="J795" t="n">
        <v>0</v>
      </c>
      <c r="K795" t="n">
        <v>0</v>
      </c>
      <c r="L795" t="n">
        <v>0</v>
      </c>
      <c r="M795" t="n">
        <v>0</v>
      </c>
      <c r="N795" t="n">
        <v>0</v>
      </c>
      <c r="O795" t="n">
        <v>0</v>
      </c>
      <c r="P795" t="n">
        <v>0</v>
      </c>
      <c r="Q795" t="n">
        <v>0</v>
      </c>
      <c r="R795" s="2" t="inlineStr"/>
    </row>
    <row r="796" ht="15" customHeight="1">
      <c r="A796" t="inlineStr">
        <is>
          <t>A 23962-2025</t>
        </is>
      </c>
      <c r="B796" s="1" t="n">
        <v>45796</v>
      </c>
      <c r="C796" s="1" t="n">
        <v>45829</v>
      </c>
      <c r="D796" t="inlineStr">
        <is>
          <t>VÄSTRA GÖTALANDS LÄN</t>
        </is>
      </c>
      <c r="E796" t="inlineStr">
        <is>
          <t>DALS-ED</t>
        </is>
      </c>
      <c r="G796" t="n">
        <v>2.3</v>
      </c>
      <c r="H796" t="n">
        <v>0</v>
      </c>
      <c r="I796" t="n">
        <v>0</v>
      </c>
      <c r="J796" t="n">
        <v>0</v>
      </c>
      <c r="K796" t="n">
        <v>0</v>
      </c>
      <c r="L796" t="n">
        <v>0</v>
      </c>
      <c r="M796" t="n">
        <v>0</v>
      </c>
      <c r="N796" t="n">
        <v>0</v>
      </c>
      <c r="O796" t="n">
        <v>0</v>
      </c>
      <c r="P796" t="n">
        <v>0</v>
      </c>
      <c r="Q796" t="n">
        <v>0</v>
      </c>
      <c r="R796" s="2" t="inlineStr"/>
    </row>
    <row r="797" ht="15" customHeight="1">
      <c r="A797" t="inlineStr">
        <is>
          <t>A 24459-2025</t>
        </is>
      </c>
      <c r="B797" s="1" t="n">
        <v>45798</v>
      </c>
      <c r="C797" s="1" t="n">
        <v>45829</v>
      </c>
      <c r="D797" t="inlineStr">
        <is>
          <t>VÄSTRA GÖTALANDS LÄN</t>
        </is>
      </c>
      <c r="E797" t="inlineStr">
        <is>
          <t>DALS-ED</t>
        </is>
      </c>
      <c r="G797" t="n">
        <v>0.6</v>
      </c>
      <c r="H797" t="n">
        <v>0</v>
      </c>
      <c r="I797" t="n">
        <v>0</v>
      </c>
      <c r="J797" t="n">
        <v>0</v>
      </c>
      <c r="K797" t="n">
        <v>0</v>
      </c>
      <c r="L797" t="n">
        <v>0</v>
      </c>
      <c r="M797" t="n">
        <v>0</v>
      </c>
      <c r="N797" t="n">
        <v>0</v>
      </c>
      <c r="O797" t="n">
        <v>0</v>
      </c>
      <c r="P797" t="n">
        <v>0</v>
      </c>
      <c r="Q797" t="n">
        <v>0</v>
      </c>
      <c r="R797" s="2" t="inlineStr"/>
    </row>
    <row r="798" ht="15" customHeight="1">
      <c r="A798" t="inlineStr">
        <is>
          <t>A 24447-2025</t>
        </is>
      </c>
      <c r="B798" s="1" t="n">
        <v>45798</v>
      </c>
      <c r="C798" s="1" t="n">
        <v>45829</v>
      </c>
      <c r="D798" t="inlineStr">
        <is>
          <t>VÄSTRA GÖTALANDS LÄN</t>
        </is>
      </c>
      <c r="E798" t="inlineStr">
        <is>
          <t>DALS-ED</t>
        </is>
      </c>
      <c r="G798" t="n">
        <v>1.2</v>
      </c>
      <c r="H798" t="n">
        <v>0</v>
      </c>
      <c r="I798" t="n">
        <v>0</v>
      </c>
      <c r="J798" t="n">
        <v>0</v>
      </c>
      <c r="K798" t="n">
        <v>0</v>
      </c>
      <c r="L798" t="n">
        <v>0</v>
      </c>
      <c r="M798" t="n">
        <v>0</v>
      </c>
      <c r="N798" t="n">
        <v>0</v>
      </c>
      <c r="O798" t="n">
        <v>0</v>
      </c>
      <c r="P798" t="n">
        <v>0</v>
      </c>
      <c r="Q798" t="n">
        <v>0</v>
      </c>
      <c r="R798" s="2" t="inlineStr"/>
    </row>
    <row r="799" ht="15" customHeight="1">
      <c r="A799" t="inlineStr">
        <is>
          <t>A 24466-2025</t>
        </is>
      </c>
      <c r="B799" s="1" t="n">
        <v>45798</v>
      </c>
      <c r="C799" s="1" t="n">
        <v>45829</v>
      </c>
      <c r="D799" t="inlineStr">
        <is>
          <t>VÄSTRA GÖTALANDS LÄN</t>
        </is>
      </c>
      <c r="E799" t="inlineStr">
        <is>
          <t>DALS-ED</t>
        </is>
      </c>
      <c r="G799" t="n">
        <v>0.4</v>
      </c>
      <c r="H799" t="n">
        <v>0</v>
      </c>
      <c r="I799" t="n">
        <v>0</v>
      </c>
      <c r="J799" t="n">
        <v>0</v>
      </c>
      <c r="K799" t="n">
        <v>0</v>
      </c>
      <c r="L799" t="n">
        <v>0</v>
      </c>
      <c r="M799" t="n">
        <v>0</v>
      </c>
      <c r="N799" t="n">
        <v>0</v>
      </c>
      <c r="O799" t="n">
        <v>0</v>
      </c>
      <c r="P799" t="n">
        <v>0</v>
      </c>
      <c r="Q799" t="n">
        <v>0</v>
      </c>
      <c r="R799" s="2" t="inlineStr"/>
    </row>
    <row r="800" ht="15" customHeight="1">
      <c r="A800" t="inlineStr">
        <is>
          <t>A 24788-2025</t>
        </is>
      </c>
      <c r="B800" s="1" t="n">
        <v>45799</v>
      </c>
      <c r="C800" s="1" t="n">
        <v>45829</v>
      </c>
      <c r="D800" t="inlineStr">
        <is>
          <t>VÄSTRA GÖTALANDS LÄN</t>
        </is>
      </c>
      <c r="E800" t="inlineStr">
        <is>
          <t>DALS-ED</t>
        </is>
      </c>
      <c r="G800" t="n">
        <v>4.1</v>
      </c>
      <c r="H800" t="n">
        <v>0</v>
      </c>
      <c r="I800" t="n">
        <v>0</v>
      </c>
      <c r="J800" t="n">
        <v>0</v>
      </c>
      <c r="K800" t="n">
        <v>0</v>
      </c>
      <c r="L800" t="n">
        <v>0</v>
      </c>
      <c r="M800" t="n">
        <v>0</v>
      </c>
      <c r="N800" t="n">
        <v>0</v>
      </c>
      <c r="O800" t="n">
        <v>0</v>
      </c>
      <c r="P800" t="n">
        <v>0</v>
      </c>
      <c r="Q800" t="n">
        <v>0</v>
      </c>
      <c r="R800" s="2" t="inlineStr"/>
    </row>
    <row r="801" ht="15" customHeight="1">
      <c r="A801" t="inlineStr">
        <is>
          <t>A 25633-2025</t>
        </is>
      </c>
      <c r="B801" s="1" t="n">
        <v>45803</v>
      </c>
      <c r="C801" s="1" t="n">
        <v>45829</v>
      </c>
      <c r="D801" t="inlineStr">
        <is>
          <t>VÄSTRA GÖTALANDS LÄN</t>
        </is>
      </c>
      <c r="E801" t="inlineStr">
        <is>
          <t>DALS-ED</t>
        </is>
      </c>
      <c r="G801" t="n">
        <v>1.2</v>
      </c>
      <c r="H801" t="n">
        <v>0</v>
      </c>
      <c r="I801" t="n">
        <v>0</v>
      </c>
      <c r="J801" t="n">
        <v>0</v>
      </c>
      <c r="K801" t="n">
        <v>0</v>
      </c>
      <c r="L801" t="n">
        <v>0</v>
      </c>
      <c r="M801" t="n">
        <v>0</v>
      </c>
      <c r="N801" t="n">
        <v>0</v>
      </c>
      <c r="O801" t="n">
        <v>0</v>
      </c>
      <c r="P801" t="n">
        <v>0</v>
      </c>
      <c r="Q801" t="n">
        <v>0</v>
      </c>
      <c r="R801" s="2" t="inlineStr"/>
    </row>
    <row r="802" ht="15" customHeight="1">
      <c r="A802" t="inlineStr">
        <is>
          <t>A 25867-2025</t>
        </is>
      </c>
      <c r="B802" s="1" t="n">
        <v>45804</v>
      </c>
      <c r="C802" s="1" t="n">
        <v>45829</v>
      </c>
      <c r="D802" t="inlineStr">
        <is>
          <t>VÄSTRA GÖTALANDS LÄN</t>
        </is>
      </c>
      <c r="E802" t="inlineStr">
        <is>
          <t>DALS-ED</t>
        </is>
      </c>
      <c r="G802" t="n">
        <v>2.6</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45829</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26860-2025</t>
        </is>
      </c>
      <c r="B804" s="1" t="n">
        <v>45810</v>
      </c>
      <c r="C804" s="1" t="n">
        <v>45829</v>
      </c>
      <c r="D804" t="inlineStr">
        <is>
          <t>VÄSTRA GÖTALANDS LÄN</t>
        </is>
      </c>
      <c r="E804" t="inlineStr">
        <is>
          <t>DALS-ED</t>
        </is>
      </c>
      <c r="G804" t="n">
        <v>1.8</v>
      </c>
      <c r="H804" t="n">
        <v>0</v>
      </c>
      <c r="I804" t="n">
        <v>0</v>
      </c>
      <c r="J804" t="n">
        <v>0</v>
      </c>
      <c r="K804" t="n">
        <v>0</v>
      </c>
      <c r="L804" t="n">
        <v>0</v>
      </c>
      <c r="M804" t="n">
        <v>0</v>
      </c>
      <c r="N804" t="n">
        <v>0</v>
      </c>
      <c r="O804" t="n">
        <v>0</v>
      </c>
      <c r="P804" t="n">
        <v>0</v>
      </c>
      <c r="Q804" t="n">
        <v>0</v>
      </c>
      <c r="R804" s="2" t="inlineStr"/>
    </row>
    <row r="805" ht="15" customHeight="1">
      <c r="A805" t="inlineStr">
        <is>
          <t>A 26899-2025</t>
        </is>
      </c>
      <c r="B805" s="1" t="n">
        <v>45811</v>
      </c>
      <c r="C805" s="1" t="n">
        <v>45829</v>
      </c>
      <c r="D805" t="inlineStr">
        <is>
          <t>VÄSTRA GÖTALANDS LÄN</t>
        </is>
      </c>
      <c r="E805" t="inlineStr">
        <is>
          <t>DALS-ED</t>
        </is>
      </c>
      <c r="G805" t="n">
        <v>7.2</v>
      </c>
      <c r="H805" t="n">
        <v>0</v>
      </c>
      <c r="I805" t="n">
        <v>0</v>
      </c>
      <c r="J805" t="n">
        <v>0</v>
      </c>
      <c r="K805" t="n">
        <v>0</v>
      </c>
      <c r="L805" t="n">
        <v>0</v>
      </c>
      <c r="M805" t="n">
        <v>0</v>
      </c>
      <c r="N805" t="n">
        <v>0</v>
      </c>
      <c r="O805" t="n">
        <v>0</v>
      </c>
      <c r="P805" t="n">
        <v>0</v>
      </c>
      <c r="Q805" t="n">
        <v>0</v>
      </c>
      <c r="R805" s="2" t="inlineStr"/>
    </row>
    <row r="806" ht="15" customHeight="1">
      <c r="A806" t="inlineStr">
        <is>
          <t>A 27152-2025</t>
        </is>
      </c>
      <c r="B806" s="1" t="n">
        <v>45812</v>
      </c>
      <c r="C806" s="1" t="n">
        <v>45829</v>
      </c>
      <c r="D806" t="inlineStr">
        <is>
          <t>VÄSTRA GÖTALANDS LÄN</t>
        </is>
      </c>
      <c r="E806" t="inlineStr">
        <is>
          <t>DALS-ED</t>
        </is>
      </c>
      <c r="G806" t="n">
        <v>0.3</v>
      </c>
      <c r="H806" t="n">
        <v>0</v>
      </c>
      <c r="I806" t="n">
        <v>0</v>
      </c>
      <c r="J806" t="n">
        <v>0</v>
      </c>
      <c r="K806" t="n">
        <v>0</v>
      </c>
      <c r="L806" t="n">
        <v>0</v>
      </c>
      <c r="M806" t="n">
        <v>0</v>
      </c>
      <c r="N806" t="n">
        <v>0</v>
      </c>
      <c r="O806" t="n">
        <v>0</v>
      </c>
      <c r="P806" t="n">
        <v>0</v>
      </c>
      <c r="Q806" t="n">
        <v>0</v>
      </c>
      <c r="R806" s="2" t="inlineStr"/>
    </row>
    <row r="807" ht="15" customHeight="1">
      <c r="A807" t="inlineStr">
        <is>
          <t>A 27907-2025</t>
        </is>
      </c>
      <c r="B807" s="1" t="n">
        <v>45817</v>
      </c>
      <c r="C807" s="1" t="n">
        <v>45829</v>
      </c>
      <c r="D807" t="inlineStr">
        <is>
          <t>VÄSTRA GÖTALANDS LÄN</t>
        </is>
      </c>
      <c r="E807" t="inlineStr">
        <is>
          <t>DALS-ED</t>
        </is>
      </c>
      <c r="G807" t="n">
        <v>5.2</v>
      </c>
      <c r="H807" t="n">
        <v>0</v>
      </c>
      <c r="I807" t="n">
        <v>0</v>
      </c>
      <c r="J807" t="n">
        <v>0</v>
      </c>
      <c r="K807" t="n">
        <v>0</v>
      </c>
      <c r="L807" t="n">
        <v>0</v>
      </c>
      <c r="M807" t="n">
        <v>0</v>
      </c>
      <c r="N807" t="n">
        <v>0</v>
      </c>
      <c r="O807" t="n">
        <v>0</v>
      </c>
      <c r="P807" t="n">
        <v>0</v>
      </c>
      <c r="Q807" t="n">
        <v>0</v>
      </c>
      <c r="R807" s="2" t="inlineStr"/>
    </row>
    <row r="808" ht="15" customHeight="1">
      <c r="A808" t="inlineStr">
        <is>
          <t>A 28414-2025</t>
        </is>
      </c>
      <c r="B808" s="1" t="n">
        <v>45819</v>
      </c>
      <c r="C808" s="1" t="n">
        <v>45829</v>
      </c>
      <c r="D808" t="inlineStr">
        <is>
          <t>VÄSTRA GÖTALANDS LÄN</t>
        </is>
      </c>
      <c r="E808" t="inlineStr">
        <is>
          <t>DALS-ED</t>
        </is>
      </c>
      <c r="G808" t="n">
        <v>1.3</v>
      </c>
      <c r="H808" t="n">
        <v>0</v>
      </c>
      <c r="I808" t="n">
        <v>0</v>
      </c>
      <c r="J808" t="n">
        <v>0</v>
      </c>
      <c r="K808" t="n">
        <v>0</v>
      </c>
      <c r="L808" t="n">
        <v>0</v>
      </c>
      <c r="M808" t="n">
        <v>0</v>
      </c>
      <c r="N808" t="n">
        <v>0</v>
      </c>
      <c r="O808" t="n">
        <v>0</v>
      </c>
      <c r="P808" t="n">
        <v>0</v>
      </c>
      <c r="Q808" t="n">
        <v>0</v>
      </c>
      <c r="R808" s="2" t="inlineStr"/>
    </row>
    <row r="809" ht="15" customHeight="1">
      <c r="A809" t="inlineStr">
        <is>
          <t>A 29686-2025</t>
        </is>
      </c>
      <c r="B809" s="1" t="n">
        <v>45825</v>
      </c>
      <c r="C809" s="1" t="n">
        <v>45829</v>
      </c>
      <c r="D809" t="inlineStr">
        <is>
          <t>VÄSTRA GÖTALANDS LÄN</t>
        </is>
      </c>
      <c r="E809" t="inlineStr">
        <is>
          <t>DALS-ED</t>
        </is>
      </c>
      <c r="G809" t="n">
        <v>3.7</v>
      </c>
      <c r="H809" t="n">
        <v>0</v>
      </c>
      <c r="I809" t="n">
        <v>0</v>
      </c>
      <c r="J809" t="n">
        <v>0</v>
      </c>
      <c r="K809" t="n">
        <v>0</v>
      </c>
      <c r="L809" t="n">
        <v>0</v>
      </c>
      <c r="M809" t="n">
        <v>0</v>
      </c>
      <c r="N809" t="n">
        <v>0</v>
      </c>
      <c r="O809" t="n">
        <v>0</v>
      </c>
      <c r="P809" t="n">
        <v>0</v>
      </c>
      <c r="Q809" t="n">
        <v>0</v>
      </c>
      <c r="R809" s="2" t="inlineStr"/>
    </row>
    <row r="810" ht="15" customHeight="1">
      <c r="A810" t="inlineStr">
        <is>
          <t>A 29790-2025</t>
        </is>
      </c>
      <c r="B810" s="1" t="n">
        <v>45825</v>
      </c>
      <c r="C810" s="1" t="n">
        <v>45829</v>
      </c>
      <c r="D810" t="inlineStr">
        <is>
          <t>VÄSTRA GÖTALANDS LÄN</t>
        </is>
      </c>
      <c r="E810" t="inlineStr">
        <is>
          <t>DALS-ED</t>
        </is>
      </c>
      <c r="G810" t="n">
        <v>2</v>
      </c>
      <c r="H810" t="n">
        <v>0</v>
      </c>
      <c r="I810" t="n">
        <v>0</v>
      </c>
      <c r="J810" t="n">
        <v>0</v>
      </c>
      <c r="K810" t="n">
        <v>0</v>
      </c>
      <c r="L810" t="n">
        <v>0</v>
      </c>
      <c r="M810" t="n">
        <v>0</v>
      </c>
      <c r="N810" t="n">
        <v>0</v>
      </c>
      <c r="O810" t="n">
        <v>0</v>
      </c>
      <c r="P810" t="n">
        <v>0</v>
      </c>
      <c r="Q810" t="n">
        <v>0</v>
      </c>
      <c r="R810" s="2" t="inlineStr"/>
    </row>
    <row r="811" ht="15" customHeight="1">
      <c r="A811" t="inlineStr">
        <is>
          <t>A 29675-2025</t>
        </is>
      </c>
      <c r="B811" s="1" t="n">
        <v>45825</v>
      </c>
      <c r="C811" s="1" t="n">
        <v>45829</v>
      </c>
      <c r="D811" t="inlineStr">
        <is>
          <t>VÄSTRA GÖTALANDS LÄN</t>
        </is>
      </c>
      <c r="E811" t="inlineStr">
        <is>
          <t>DALS-ED</t>
        </is>
      </c>
      <c r="G811" t="n">
        <v>13.5</v>
      </c>
      <c r="H811" t="n">
        <v>0</v>
      </c>
      <c r="I811" t="n">
        <v>0</v>
      </c>
      <c r="J811" t="n">
        <v>0</v>
      </c>
      <c r="K811" t="n">
        <v>0</v>
      </c>
      <c r="L811" t="n">
        <v>0</v>
      </c>
      <c r="M811" t="n">
        <v>0</v>
      </c>
      <c r="N811" t="n">
        <v>0</v>
      </c>
      <c r="O811" t="n">
        <v>0</v>
      </c>
      <c r="P811" t="n">
        <v>0</v>
      </c>
      <c r="Q811" t="n">
        <v>0</v>
      </c>
      <c r="R811" s="2" t="inlineStr"/>
    </row>
    <row r="812" ht="15" customHeight="1">
      <c r="A812" t="inlineStr">
        <is>
          <t>A 29692-2025</t>
        </is>
      </c>
      <c r="B812" s="1" t="n">
        <v>45825</v>
      </c>
      <c r="C812" s="1" t="n">
        <v>45829</v>
      </c>
      <c r="D812" t="inlineStr">
        <is>
          <t>VÄSTRA GÖTALANDS LÄN</t>
        </is>
      </c>
      <c r="E812" t="inlineStr">
        <is>
          <t>DALS-ED</t>
        </is>
      </c>
      <c r="G812" t="n">
        <v>2.3</v>
      </c>
      <c r="H812" t="n">
        <v>0</v>
      </c>
      <c r="I812" t="n">
        <v>0</v>
      </c>
      <c r="J812" t="n">
        <v>0</v>
      </c>
      <c r="K812" t="n">
        <v>0</v>
      </c>
      <c r="L812" t="n">
        <v>0</v>
      </c>
      <c r="M812" t="n">
        <v>0</v>
      </c>
      <c r="N812" t="n">
        <v>0</v>
      </c>
      <c r="O812" t="n">
        <v>0</v>
      </c>
      <c r="P812" t="n">
        <v>0</v>
      </c>
      <c r="Q812" t="n">
        <v>0</v>
      </c>
      <c r="R812" s="2" t="inlineStr"/>
    </row>
    <row r="813" ht="15" customHeight="1">
      <c r="A813" t="inlineStr">
        <is>
          <t>A 29827-2025</t>
        </is>
      </c>
      <c r="B813" s="1" t="n">
        <v>45825</v>
      </c>
      <c r="C813" s="1" t="n">
        <v>45829</v>
      </c>
      <c r="D813" t="inlineStr">
        <is>
          <t>VÄSTRA GÖTALANDS LÄN</t>
        </is>
      </c>
      <c r="E813" t="inlineStr">
        <is>
          <t>DALS-ED</t>
        </is>
      </c>
      <c r="G813" t="n">
        <v>1.2</v>
      </c>
      <c r="H813" t="n">
        <v>0</v>
      </c>
      <c r="I813" t="n">
        <v>0</v>
      </c>
      <c r="J813" t="n">
        <v>0</v>
      </c>
      <c r="K813" t="n">
        <v>0</v>
      </c>
      <c r="L813" t="n">
        <v>0</v>
      </c>
      <c r="M813" t="n">
        <v>0</v>
      </c>
      <c r="N813" t="n">
        <v>0</v>
      </c>
      <c r="O813" t="n">
        <v>0</v>
      </c>
      <c r="P813" t="n">
        <v>0</v>
      </c>
      <c r="Q813" t="n">
        <v>0</v>
      </c>
      <c r="R813" s="2" t="inlineStr"/>
    </row>
    <row r="814">
      <c r="A814" t="inlineStr">
        <is>
          <t>A 29556-2025</t>
        </is>
      </c>
      <c r="B814" s="1" t="n">
        <v>45825</v>
      </c>
      <c r="C814" s="1" t="n">
        <v>45829</v>
      </c>
      <c r="D814" t="inlineStr">
        <is>
          <t>VÄSTRA GÖTALANDS LÄN</t>
        </is>
      </c>
      <c r="E814" t="inlineStr">
        <is>
          <t>DALS-ED</t>
        </is>
      </c>
      <c r="G814" t="n">
        <v>5.9</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2025-06-21T19:10:39Z</dcterms:created>
  <dcterms:modified xmlns:dcterms="http://purl.org/dc/terms/" xmlns:xsi="http://www.w3.org/2001/XMLSchema-instance" xsi:type="dcterms:W3CDTF">2025-06-21T19:10:40Z</dcterms:modified>
</cp:coreProperties>
</file>