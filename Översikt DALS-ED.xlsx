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45645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45645</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45645</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45645</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45645</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45645</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42944-2022</t>
        </is>
      </c>
      <c r="B8" s="1" t="n">
        <v>44833</v>
      </c>
      <c r="C8" s="1" t="n">
        <v>45645</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43450-2022</t>
        </is>
      </c>
      <c r="B9" s="1" t="n">
        <v>44835</v>
      </c>
      <c r="C9" s="1" t="n">
        <v>45645</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45645</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45645</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45645</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45645</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45645</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45645</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45645</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45645</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45645</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45645</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45645</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45645</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45645</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45645</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45645</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45645</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45645</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910-2020</t>
        </is>
      </c>
      <c r="B27" s="1" t="n">
        <v>43839</v>
      </c>
      <c r="C27" s="1" t="n">
        <v>45645</v>
      </c>
      <c r="D27" t="inlineStr">
        <is>
          <t>VÄSTRA GÖTALANDS LÄN</t>
        </is>
      </c>
      <c r="E27" t="inlineStr">
        <is>
          <t>DALS-ED</t>
        </is>
      </c>
      <c r="G27" t="n">
        <v>21.3</v>
      </c>
      <c r="H27" t="n">
        <v>1</v>
      </c>
      <c r="I27" t="n">
        <v>0</v>
      </c>
      <c r="J27" t="n">
        <v>0</v>
      </c>
      <c r="K27" t="n">
        <v>1</v>
      </c>
      <c r="L27" t="n">
        <v>0</v>
      </c>
      <c r="M27" t="n">
        <v>0</v>
      </c>
      <c r="N27" t="n">
        <v>0</v>
      </c>
      <c r="O27" t="n">
        <v>1</v>
      </c>
      <c r="P27" t="n">
        <v>1</v>
      </c>
      <c r="Q27" t="n">
        <v>1</v>
      </c>
      <c r="R27" s="2" t="inlineStr">
        <is>
          <t>Lappuggla</t>
        </is>
      </c>
      <c r="S27">
        <f>HYPERLINK("https://klasma.github.io/Logging_1438/artfynd/A 910-2020 artfynd.xlsx", "A 910-2020")</f>
        <v/>
      </c>
      <c r="T27">
        <f>HYPERLINK("https://klasma.github.io/Logging_1438/kartor/A 910-2020 karta.png", "A 910-2020")</f>
        <v/>
      </c>
      <c r="V27">
        <f>HYPERLINK("https://klasma.github.io/Logging_1438/klagomål/A 910-2020 FSC-klagomål.docx", "A 910-2020")</f>
        <v/>
      </c>
      <c r="W27">
        <f>HYPERLINK("https://klasma.github.io/Logging_1438/klagomålsmail/A 910-2020 FSC-klagomål mail.docx", "A 910-2020")</f>
        <v/>
      </c>
      <c r="X27">
        <f>HYPERLINK("https://klasma.github.io/Logging_1438/tillsyn/A 910-2020 tillsynsbegäran.docx", "A 910-2020")</f>
        <v/>
      </c>
      <c r="Y27">
        <f>HYPERLINK("https://klasma.github.io/Logging_1438/tillsynsmail/A 910-2020 tillsynsbegäran mail.docx", "A 910-2020")</f>
        <v/>
      </c>
      <c r="Z27">
        <f>HYPERLINK("https://klasma.github.io/Logging_1438/fåglar/A 910-2020 prioriterade fågelarter.docx", "A 910-2020")</f>
        <v/>
      </c>
    </row>
    <row r="28" ht="15" customHeight="1">
      <c r="A28" t="inlineStr">
        <is>
          <t>A 67174-2020</t>
        </is>
      </c>
      <c r="B28" s="1" t="n">
        <v>44180</v>
      </c>
      <c r="C28" s="1" t="n">
        <v>45645</v>
      </c>
      <c r="D28" t="inlineStr">
        <is>
          <t>VÄSTRA GÖTALANDS LÄN</t>
        </is>
      </c>
      <c r="E28" t="inlineStr">
        <is>
          <t>DALS-ED</t>
        </is>
      </c>
      <c r="G28" t="n">
        <v>7.7</v>
      </c>
      <c r="H28" t="n">
        <v>0</v>
      </c>
      <c r="I28" t="n">
        <v>0</v>
      </c>
      <c r="J28" t="n">
        <v>1</v>
      </c>
      <c r="K28" t="n">
        <v>0</v>
      </c>
      <c r="L28" t="n">
        <v>0</v>
      </c>
      <c r="M28" t="n">
        <v>0</v>
      </c>
      <c r="N28" t="n">
        <v>0</v>
      </c>
      <c r="O28" t="n">
        <v>1</v>
      </c>
      <c r="P28" t="n">
        <v>0</v>
      </c>
      <c r="Q28" t="n">
        <v>1</v>
      </c>
      <c r="R28" s="2" t="inlineStr">
        <is>
          <t>Skrovellav</t>
        </is>
      </c>
      <c r="S28">
        <f>HYPERLINK("https://klasma.github.io/Logging_1438/artfynd/A 67174-2020 artfynd.xlsx", "A 67174-2020")</f>
        <v/>
      </c>
      <c r="T28">
        <f>HYPERLINK("https://klasma.github.io/Logging_1438/kartor/A 67174-2020 karta.png", "A 67174-2020")</f>
        <v/>
      </c>
      <c r="V28">
        <f>HYPERLINK("https://klasma.github.io/Logging_1438/klagomål/A 67174-2020 FSC-klagomål.docx", "A 67174-2020")</f>
        <v/>
      </c>
      <c r="W28">
        <f>HYPERLINK("https://klasma.github.io/Logging_1438/klagomålsmail/A 67174-2020 FSC-klagomål mail.docx", "A 67174-2020")</f>
        <v/>
      </c>
      <c r="X28">
        <f>HYPERLINK("https://klasma.github.io/Logging_1438/tillsyn/A 67174-2020 tillsynsbegäran.docx", "A 67174-2020")</f>
        <v/>
      </c>
      <c r="Y28">
        <f>HYPERLINK("https://klasma.github.io/Logging_1438/tillsynsmail/A 67174-2020 tillsynsbegäran mail.docx", "A 67174-2020")</f>
        <v/>
      </c>
    </row>
    <row r="29" ht="15" customHeight="1">
      <c r="A29" t="inlineStr">
        <is>
          <t>A 40355-2022</t>
        </is>
      </c>
      <c r="B29" s="1" t="n">
        <v>44818</v>
      </c>
      <c r="C29" s="1" t="n">
        <v>45645</v>
      </c>
      <c r="D29" t="inlineStr">
        <is>
          <t>VÄSTRA GÖTALANDS LÄN</t>
        </is>
      </c>
      <c r="E29" t="inlineStr">
        <is>
          <t>DALS-ED</t>
        </is>
      </c>
      <c r="F29" t="inlineStr">
        <is>
          <t>Kyrkan</t>
        </is>
      </c>
      <c r="G29" t="n">
        <v>4.2</v>
      </c>
      <c r="H29" t="n">
        <v>0</v>
      </c>
      <c r="I29" t="n">
        <v>0</v>
      </c>
      <c r="J29" t="n">
        <v>0</v>
      </c>
      <c r="K29" t="n">
        <v>0</v>
      </c>
      <c r="L29" t="n">
        <v>1</v>
      </c>
      <c r="M29" t="n">
        <v>0</v>
      </c>
      <c r="N29" t="n">
        <v>0</v>
      </c>
      <c r="O29" t="n">
        <v>1</v>
      </c>
      <c r="P29" t="n">
        <v>1</v>
      </c>
      <c r="Q29" t="n">
        <v>1</v>
      </c>
      <c r="R29" s="2" t="inlineStr">
        <is>
          <t>Kantlök</t>
        </is>
      </c>
      <c r="S29">
        <f>HYPERLINK("https://klasma.github.io/Logging_1438/artfynd/A 40355-2022 artfynd.xlsx", "A 40355-2022")</f>
        <v/>
      </c>
      <c r="T29">
        <f>HYPERLINK("https://klasma.github.io/Logging_1438/kartor/A 40355-2022 karta.png", "A 40355-2022")</f>
        <v/>
      </c>
      <c r="V29">
        <f>HYPERLINK("https://klasma.github.io/Logging_1438/klagomål/A 40355-2022 FSC-klagomål.docx", "A 40355-2022")</f>
        <v/>
      </c>
      <c r="W29">
        <f>HYPERLINK("https://klasma.github.io/Logging_1438/klagomålsmail/A 40355-2022 FSC-klagomål mail.docx", "A 40355-2022")</f>
        <v/>
      </c>
      <c r="X29">
        <f>HYPERLINK("https://klasma.github.io/Logging_1438/tillsyn/A 40355-2022 tillsynsbegäran.docx", "A 40355-2022")</f>
        <v/>
      </c>
      <c r="Y29">
        <f>HYPERLINK("https://klasma.github.io/Logging_1438/tillsynsmail/A 40355-2022 tillsynsbegäran mail.docx", "A 40355-2022")</f>
        <v/>
      </c>
    </row>
    <row r="30" ht="15" customHeight="1">
      <c r="A30" t="inlineStr">
        <is>
          <t>A 4113-2023</t>
        </is>
      </c>
      <c r="B30" s="1" t="n">
        <v>44952</v>
      </c>
      <c r="C30" s="1" t="n">
        <v>45645</v>
      </c>
      <c r="D30" t="inlineStr">
        <is>
          <t>VÄSTRA GÖTALANDS LÄN</t>
        </is>
      </c>
      <c r="E30" t="inlineStr">
        <is>
          <t>DALS-ED</t>
        </is>
      </c>
      <c r="G30" t="n">
        <v>7.9</v>
      </c>
      <c r="H30" t="n">
        <v>0</v>
      </c>
      <c r="I30" t="n">
        <v>0</v>
      </c>
      <c r="J30" t="n">
        <v>0</v>
      </c>
      <c r="K30" t="n">
        <v>1</v>
      </c>
      <c r="L30" t="n">
        <v>0</v>
      </c>
      <c r="M30" t="n">
        <v>0</v>
      </c>
      <c r="N30" t="n">
        <v>0</v>
      </c>
      <c r="O30" t="n">
        <v>1</v>
      </c>
      <c r="P30" t="n">
        <v>1</v>
      </c>
      <c r="Q30" t="n">
        <v>1</v>
      </c>
      <c r="R30" s="2" t="inlineStr">
        <is>
          <t>Slåttergubbe</t>
        </is>
      </c>
      <c r="S30">
        <f>HYPERLINK("https://klasma.github.io/Logging_1438/artfynd/A 4113-2023 artfynd.xlsx", "A 4113-2023")</f>
        <v/>
      </c>
      <c r="T30">
        <f>HYPERLINK("https://klasma.github.io/Logging_1438/kartor/A 4113-2023 karta.png", "A 4113-2023")</f>
        <v/>
      </c>
      <c r="V30">
        <f>HYPERLINK("https://klasma.github.io/Logging_1438/klagomål/A 4113-2023 FSC-klagomål.docx", "A 4113-2023")</f>
        <v/>
      </c>
      <c r="W30">
        <f>HYPERLINK("https://klasma.github.io/Logging_1438/klagomålsmail/A 4113-2023 FSC-klagomål mail.docx", "A 4113-2023")</f>
        <v/>
      </c>
      <c r="X30">
        <f>HYPERLINK("https://klasma.github.io/Logging_1438/tillsyn/A 4113-2023 tillsynsbegäran.docx", "A 4113-2023")</f>
        <v/>
      </c>
      <c r="Y30">
        <f>HYPERLINK("https://klasma.github.io/Logging_1438/tillsynsmail/A 4113-2023 tillsynsbegäran mail.docx", "A 4113-2023")</f>
        <v/>
      </c>
    </row>
    <row r="31" ht="15" customHeight="1">
      <c r="A31" t="inlineStr">
        <is>
          <t>A 14793-2023</t>
        </is>
      </c>
      <c r="B31" s="1" t="n">
        <v>45014</v>
      </c>
      <c r="C31" s="1" t="n">
        <v>45645</v>
      </c>
      <c r="D31" t="inlineStr">
        <is>
          <t>VÄSTRA GÖTALANDS LÄN</t>
        </is>
      </c>
      <c r="E31" t="inlineStr">
        <is>
          <t>DALS-ED</t>
        </is>
      </c>
      <c r="G31" t="n">
        <v>1.6</v>
      </c>
      <c r="H31" t="n">
        <v>0</v>
      </c>
      <c r="I31" t="n">
        <v>0</v>
      </c>
      <c r="J31" t="n">
        <v>0</v>
      </c>
      <c r="K31" t="n">
        <v>1</v>
      </c>
      <c r="L31" t="n">
        <v>0</v>
      </c>
      <c r="M31" t="n">
        <v>0</v>
      </c>
      <c r="N31" t="n">
        <v>0</v>
      </c>
      <c r="O31" t="n">
        <v>1</v>
      </c>
      <c r="P31" t="n">
        <v>1</v>
      </c>
      <c r="Q31" t="n">
        <v>1</v>
      </c>
      <c r="R31" s="2" t="inlineStr">
        <is>
          <t>Slåttergubbe</t>
        </is>
      </c>
      <c r="S31">
        <f>HYPERLINK("https://klasma.github.io/Logging_1438/artfynd/A 14793-2023 artfynd.xlsx", "A 14793-2023")</f>
        <v/>
      </c>
      <c r="T31">
        <f>HYPERLINK("https://klasma.github.io/Logging_1438/kartor/A 14793-2023 karta.png", "A 14793-2023")</f>
        <v/>
      </c>
      <c r="V31">
        <f>HYPERLINK("https://klasma.github.io/Logging_1438/klagomål/A 14793-2023 FSC-klagomål.docx", "A 14793-2023")</f>
        <v/>
      </c>
      <c r="W31">
        <f>HYPERLINK("https://klasma.github.io/Logging_1438/klagomålsmail/A 14793-2023 FSC-klagomål mail.docx", "A 14793-2023")</f>
        <v/>
      </c>
      <c r="X31">
        <f>HYPERLINK("https://klasma.github.io/Logging_1438/tillsyn/A 14793-2023 tillsynsbegäran.docx", "A 14793-2023")</f>
        <v/>
      </c>
      <c r="Y31">
        <f>HYPERLINK("https://klasma.github.io/Logging_1438/tillsynsmail/A 14793-2023 tillsynsbegäran mail.docx", "A 14793-2023")</f>
        <v/>
      </c>
    </row>
    <row r="32" ht="15" customHeight="1">
      <c r="A32" t="inlineStr">
        <is>
          <t>A 32284-2023</t>
        </is>
      </c>
      <c r="B32" s="1" t="n">
        <v>45120</v>
      </c>
      <c r="C32" s="1" t="n">
        <v>45645</v>
      </c>
      <c r="D32" t="inlineStr">
        <is>
          <t>VÄSTRA GÖTALANDS LÄN</t>
        </is>
      </c>
      <c r="E32" t="inlineStr">
        <is>
          <t>DALS-ED</t>
        </is>
      </c>
      <c r="G32" t="n">
        <v>3.9</v>
      </c>
      <c r="H32" t="n">
        <v>0</v>
      </c>
      <c r="I32" t="n">
        <v>0</v>
      </c>
      <c r="J32" t="n">
        <v>1</v>
      </c>
      <c r="K32" t="n">
        <v>0</v>
      </c>
      <c r="L32" t="n">
        <v>0</v>
      </c>
      <c r="M32" t="n">
        <v>0</v>
      </c>
      <c r="N32" t="n">
        <v>0</v>
      </c>
      <c r="O32" t="n">
        <v>1</v>
      </c>
      <c r="P32" t="n">
        <v>0</v>
      </c>
      <c r="Q32" t="n">
        <v>1</v>
      </c>
      <c r="R32" s="2" t="inlineStr">
        <is>
          <t>Mindre bastardsvärmare</t>
        </is>
      </c>
      <c r="S32">
        <f>HYPERLINK("https://klasma.github.io/Logging_1438/artfynd/A 32284-2023 artfynd.xlsx", "A 32284-2023")</f>
        <v/>
      </c>
      <c r="T32">
        <f>HYPERLINK("https://klasma.github.io/Logging_1438/kartor/A 32284-2023 karta.png", "A 32284-2023")</f>
        <v/>
      </c>
      <c r="V32">
        <f>HYPERLINK("https://klasma.github.io/Logging_1438/klagomål/A 32284-2023 FSC-klagomål.docx", "A 32284-2023")</f>
        <v/>
      </c>
      <c r="W32">
        <f>HYPERLINK("https://klasma.github.io/Logging_1438/klagomålsmail/A 32284-2023 FSC-klagomål mail.docx", "A 32284-2023")</f>
        <v/>
      </c>
      <c r="X32">
        <f>HYPERLINK("https://klasma.github.io/Logging_1438/tillsyn/A 32284-2023 tillsynsbegäran.docx", "A 32284-2023")</f>
        <v/>
      </c>
      <c r="Y32">
        <f>HYPERLINK("https://klasma.github.io/Logging_1438/tillsynsmail/A 32284-2023 tillsynsbegäran mail.docx", "A 32284-2023")</f>
        <v/>
      </c>
    </row>
    <row r="33" ht="15" customHeight="1">
      <c r="A33" t="inlineStr">
        <is>
          <t>A 43216-2023</t>
        </is>
      </c>
      <c r="B33" s="1" t="n">
        <v>45183</v>
      </c>
      <c r="C33" s="1" t="n">
        <v>45645</v>
      </c>
      <c r="D33" t="inlineStr">
        <is>
          <t>VÄSTRA GÖTALANDS LÄN</t>
        </is>
      </c>
      <c r="E33" t="inlineStr">
        <is>
          <t>DALS-ED</t>
        </is>
      </c>
      <c r="G33" t="n">
        <v>7.3</v>
      </c>
      <c r="H33" t="n">
        <v>1</v>
      </c>
      <c r="I33" t="n">
        <v>0</v>
      </c>
      <c r="J33" t="n">
        <v>1</v>
      </c>
      <c r="K33" t="n">
        <v>0</v>
      </c>
      <c r="L33" t="n">
        <v>0</v>
      </c>
      <c r="M33" t="n">
        <v>0</v>
      </c>
      <c r="N33" t="n">
        <v>0</v>
      </c>
      <c r="O33" t="n">
        <v>1</v>
      </c>
      <c r="P33" t="n">
        <v>0</v>
      </c>
      <c r="Q33" t="n">
        <v>1</v>
      </c>
      <c r="R33" s="2" t="inlineStr">
        <is>
          <t>Spillkråka</t>
        </is>
      </c>
      <c r="S33">
        <f>HYPERLINK("https://klasma.github.io/Logging_1438/artfynd/A 43216-2023 artfynd.xlsx", "A 43216-2023")</f>
        <v/>
      </c>
      <c r="T33">
        <f>HYPERLINK("https://klasma.github.io/Logging_1438/kartor/A 43216-2023 karta.png", "A 43216-2023")</f>
        <v/>
      </c>
      <c r="V33">
        <f>HYPERLINK("https://klasma.github.io/Logging_1438/klagomål/A 43216-2023 FSC-klagomål.docx", "A 43216-2023")</f>
        <v/>
      </c>
      <c r="W33">
        <f>HYPERLINK("https://klasma.github.io/Logging_1438/klagomålsmail/A 43216-2023 FSC-klagomål mail.docx", "A 43216-2023")</f>
        <v/>
      </c>
      <c r="X33">
        <f>HYPERLINK("https://klasma.github.io/Logging_1438/tillsyn/A 43216-2023 tillsynsbegäran.docx", "A 43216-2023")</f>
        <v/>
      </c>
      <c r="Y33">
        <f>HYPERLINK("https://klasma.github.io/Logging_1438/tillsynsmail/A 43216-2023 tillsynsbegäran mail.docx", "A 43216-2023")</f>
        <v/>
      </c>
      <c r="Z33">
        <f>HYPERLINK("https://klasma.github.io/Logging_1438/fåglar/A 43216-2023 prioriterade fågelarter.docx", "A 43216-2023")</f>
        <v/>
      </c>
    </row>
    <row r="34" ht="15" customHeight="1">
      <c r="A34" t="inlineStr">
        <is>
          <t>A 172-2024</t>
        </is>
      </c>
      <c r="B34" s="1" t="n">
        <v>45294</v>
      </c>
      <c r="C34" s="1" t="n">
        <v>45645</v>
      </c>
      <c r="D34" t="inlineStr">
        <is>
          <t>VÄSTRA GÖTALANDS LÄN</t>
        </is>
      </c>
      <c r="E34" t="inlineStr">
        <is>
          <t>DALS-ED</t>
        </is>
      </c>
      <c r="G34" t="n">
        <v>6.9</v>
      </c>
      <c r="H34" t="n">
        <v>0</v>
      </c>
      <c r="I34" t="n">
        <v>1</v>
      </c>
      <c r="J34" t="n">
        <v>0</v>
      </c>
      <c r="K34" t="n">
        <v>0</v>
      </c>
      <c r="L34" t="n">
        <v>0</v>
      </c>
      <c r="M34" t="n">
        <v>0</v>
      </c>
      <c r="N34" t="n">
        <v>0</v>
      </c>
      <c r="O34" t="n">
        <v>0</v>
      </c>
      <c r="P34" t="n">
        <v>0</v>
      </c>
      <c r="Q34" t="n">
        <v>1</v>
      </c>
      <c r="R34" s="2" t="inlineStr">
        <is>
          <t>Bronshjon</t>
        </is>
      </c>
      <c r="S34">
        <f>HYPERLINK("https://klasma.github.io/Logging_1438/artfynd/A 172-2024 artfynd.xlsx", "A 172-2024")</f>
        <v/>
      </c>
      <c r="T34">
        <f>HYPERLINK("https://klasma.github.io/Logging_1438/kartor/A 172-2024 karta.png", "A 172-2024")</f>
        <v/>
      </c>
      <c r="V34">
        <f>HYPERLINK("https://klasma.github.io/Logging_1438/klagomål/A 172-2024 FSC-klagomål.docx", "A 172-2024")</f>
        <v/>
      </c>
      <c r="W34">
        <f>HYPERLINK("https://klasma.github.io/Logging_1438/klagomålsmail/A 172-2024 FSC-klagomål mail.docx", "A 172-2024")</f>
        <v/>
      </c>
      <c r="X34">
        <f>HYPERLINK("https://klasma.github.io/Logging_1438/tillsyn/A 172-2024 tillsynsbegäran.docx", "A 172-2024")</f>
        <v/>
      </c>
      <c r="Y34">
        <f>HYPERLINK("https://klasma.github.io/Logging_1438/tillsynsmail/A 172-2024 tillsynsbegäran mail.docx", "A 172-2024")</f>
        <v/>
      </c>
    </row>
    <row r="35" ht="15" customHeight="1">
      <c r="A35" t="inlineStr">
        <is>
          <t>A 27871-2024</t>
        </is>
      </c>
      <c r="B35" s="1" t="n">
        <v>45475</v>
      </c>
      <c r="C35" s="1" t="n">
        <v>45645</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27871-2024 artfynd.xlsx", "A 27871-2024")</f>
        <v/>
      </c>
      <c r="T35">
        <f>HYPERLINK("https://klasma.github.io/Logging_1438/kartor/A 27871-2024 karta.png", "A 27871-2024")</f>
        <v/>
      </c>
      <c r="V35">
        <f>HYPERLINK("https://klasma.github.io/Logging_1438/klagomål/A 27871-2024 FSC-klagomål.docx", "A 27871-2024")</f>
        <v/>
      </c>
      <c r="W35">
        <f>HYPERLINK("https://klasma.github.io/Logging_1438/klagomålsmail/A 27871-2024 FSC-klagomål mail.docx", "A 27871-2024")</f>
        <v/>
      </c>
      <c r="X35">
        <f>HYPERLINK("https://klasma.github.io/Logging_1438/tillsyn/A 27871-2024 tillsynsbegäran.docx", "A 27871-2024")</f>
        <v/>
      </c>
      <c r="Y35">
        <f>HYPERLINK("https://klasma.github.io/Logging_1438/tillsynsmail/A 27871-2024 tillsynsbegäran mail.docx", "A 27871-2024")</f>
        <v/>
      </c>
    </row>
    <row r="36" ht="15" customHeight="1">
      <c r="A36" t="inlineStr">
        <is>
          <t>A 27878-2024</t>
        </is>
      </c>
      <c r="B36" s="1" t="n">
        <v>45475</v>
      </c>
      <c r="C36" s="1" t="n">
        <v>45645</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27878-2024 artfynd.xlsx", "A 27878-2024")</f>
        <v/>
      </c>
      <c r="T36">
        <f>HYPERLINK("https://klasma.github.io/Logging_1438/kartor/A 27878-2024 karta.png", "A 27878-2024")</f>
        <v/>
      </c>
      <c r="V36">
        <f>HYPERLINK("https://klasma.github.io/Logging_1438/klagomål/A 27878-2024 FSC-klagomål.docx", "A 27878-2024")</f>
        <v/>
      </c>
      <c r="W36">
        <f>HYPERLINK("https://klasma.github.io/Logging_1438/klagomålsmail/A 27878-2024 FSC-klagomål mail.docx", "A 27878-2024")</f>
        <v/>
      </c>
      <c r="X36">
        <f>HYPERLINK("https://klasma.github.io/Logging_1438/tillsyn/A 27878-2024 tillsynsbegäran.docx", "A 27878-2024")</f>
        <v/>
      </c>
      <c r="Y36">
        <f>HYPERLINK("https://klasma.github.io/Logging_1438/tillsynsmail/A 27878-2024 tillsynsbegäran mail.docx", "A 27878-2024")</f>
        <v/>
      </c>
    </row>
    <row r="37" ht="15" customHeight="1">
      <c r="A37" t="inlineStr">
        <is>
          <t>A 43589-2024</t>
        </is>
      </c>
      <c r="B37" s="1" t="n">
        <v>45569</v>
      </c>
      <c r="C37" s="1" t="n">
        <v>45645</v>
      </c>
      <c r="D37" t="inlineStr">
        <is>
          <t>VÄSTRA GÖTALANDS LÄN</t>
        </is>
      </c>
      <c r="E37" t="inlineStr">
        <is>
          <t>DALS-ED</t>
        </is>
      </c>
      <c r="G37" t="n">
        <v>5.2</v>
      </c>
      <c r="H37" t="n">
        <v>0</v>
      </c>
      <c r="I37" t="n">
        <v>0</v>
      </c>
      <c r="J37" t="n">
        <v>1</v>
      </c>
      <c r="K37" t="n">
        <v>0</v>
      </c>
      <c r="L37" t="n">
        <v>0</v>
      </c>
      <c r="M37" t="n">
        <v>0</v>
      </c>
      <c r="N37" t="n">
        <v>0</v>
      </c>
      <c r="O37" t="n">
        <v>1</v>
      </c>
      <c r="P37" t="n">
        <v>0</v>
      </c>
      <c r="Q37" t="n">
        <v>1</v>
      </c>
      <c r="R37" s="2" t="inlineStr">
        <is>
          <t>Motaggsvamp</t>
        </is>
      </c>
      <c r="S37">
        <f>HYPERLINK("https://klasma.github.io/Logging_1438/artfynd/A 43589-2024 artfynd.xlsx", "A 43589-2024")</f>
        <v/>
      </c>
      <c r="T37">
        <f>HYPERLINK("https://klasma.github.io/Logging_1438/kartor/A 43589-2024 karta.png", "A 43589-2024")</f>
        <v/>
      </c>
      <c r="V37">
        <f>HYPERLINK("https://klasma.github.io/Logging_1438/klagomål/A 43589-2024 FSC-klagomål.docx", "A 43589-2024")</f>
        <v/>
      </c>
      <c r="W37">
        <f>HYPERLINK("https://klasma.github.io/Logging_1438/klagomålsmail/A 43589-2024 FSC-klagomål mail.docx", "A 43589-2024")</f>
        <v/>
      </c>
      <c r="X37">
        <f>HYPERLINK("https://klasma.github.io/Logging_1438/tillsyn/A 43589-2024 tillsynsbegäran.docx", "A 43589-2024")</f>
        <v/>
      </c>
      <c r="Y37">
        <f>HYPERLINK("https://klasma.github.io/Logging_1438/tillsynsmail/A 43589-2024 tillsynsbegäran mail.docx", "A 43589-2024")</f>
        <v/>
      </c>
    </row>
    <row r="38" ht="15" customHeight="1">
      <c r="A38" t="inlineStr">
        <is>
          <t>A 47656-2024</t>
        </is>
      </c>
      <c r="B38" s="1" t="n">
        <v>45588</v>
      </c>
      <c r="C38" s="1" t="n">
        <v>45645</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Tretåig hackspett</t>
        </is>
      </c>
      <c r="S38">
        <f>HYPERLINK("https://klasma.github.io/Logging_1438/artfynd/A 47656-2024 artfynd.xlsx", "A 47656-2024")</f>
        <v/>
      </c>
      <c r="T38">
        <f>HYPERLINK("https://klasma.github.io/Logging_1438/kartor/A 47656-2024 karta.png", "A 47656-2024")</f>
        <v/>
      </c>
      <c r="V38">
        <f>HYPERLINK("https://klasma.github.io/Logging_1438/klagomål/A 47656-2024 FSC-klagomål.docx", "A 47656-2024")</f>
        <v/>
      </c>
      <c r="W38">
        <f>HYPERLINK("https://klasma.github.io/Logging_1438/klagomålsmail/A 47656-2024 FSC-klagomål mail.docx", "A 47656-2024")</f>
        <v/>
      </c>
      <c r="X38">
        <f>HYPERLINK("https://klasma.github.io/Logging_1438/tillsyn/A 47656-2024 tillsynsbegäran.docx", "A 47656-2024")</f>
        <v/>
      </c>
      <c r="Y38">
        <f>HYPERLINK("https://klasma.github.io/Logging_1438/tillsynsmail/A 47656-2024 tillsynsbegäran mail.docx", "A 47656-2024")</f>
        <v/>
      </c>
      <c r="Z38">
        <f>HYPERLINK("https://klasma.github.io/Logging_1438/fåglar/A 47656-2024 prioriterade fågelarter.docx", "A 47656-2024")</f>
        <v/>
      </c>
    </row>
    <row r="39" ht="15" customHeight="1">
      <c r="A39" t="inlineStr">
        <is>
          <t>A 18329-2019</t>
        </is>
      </c>
      <c r="B39" s="1" t="n">
        <v>43558</v>
      </c>
      <c r="C39" s="1" t="n">
        <v>45645</v>
      </c>
      <c r="D39" t="inlineStr">
        <is>
          <t>VÄSTRA GÖTALANDS LÄN</t>
        </is>
      </c>
      <c r="E39" t="inlineStr">
        <is>
          <t>DALS-ED</t>
        </is>
      </c>
      <c r="F39" t="inlineStr">
        <is>
          <t>Kyrkan</t>
        </is>
      </c>
      <c r="G39" t="n">
        <v>1</v>
      </c>
      <c r="H39" t="n">
        <v>0</v>
      </c>
      <c r="I39" t="n">
        <v>0</v>
      </c>
      <c r="J39" t="n">
        <v>0</v>
      </c>
      <c r="K39" t="n">
        <v>0</v>
      </c>
      <c r="L39" t="n">
        <v>0</v>
      </c>
      <c r="M39" t="n">
        <v>0</v>
      </c>
      <c r="N39" t="n">
        <v>0</v>
      </c>
      <c r="O39" t="n">
        <v>0</v>
      </c>
      <c r="P39" t="n">
        <v>0</v>
      </c>
      <c r="Q39" t="n">
        <v>0</v>
      </c>
      <c r="R39" s="2" t="inlineStr"/>
    </row>
    <row r="40" ht="15" customHeight="1">
      <c r="A40" t="inlineStr">
        <is>
          <t>A 19644-2019</t>
        </is>
      </c>
      <c r="B40" s="1" t="n">
        <v>43566</v>
      </c>
      <c r="C40" s="1" t="n">
        <v>45645</v>
      </c>
      <c r="D40" t="inlineStr">
        <is>
          <t>VÄSTRA GÖTALANDS LÄN</t>
        </is>
      </c>
      <c r="E40" t="inlineStr">
        <is>
          <t>DALS-ED</t>
        </is>
      </c>
      <c r="G40" t="n">
        <v>1.8</v>
      </c>
      <c r="H40" t="n">
        <v>0</v>
      </c>
      <c r="I40" t="n">
        <v>0</v>
      </c>
      <c r="J40" t="n">
        <v>0</v>
      </c>
      <c r="K40" t="n">
        <v>0</v>
      </c>
      <c r="L40" t="n">
        <v>0</v>
      </c>
      <c r="M40" t="n">
        <v>0</v>
      </c>
      <c r="N40" t="n">
        <v>0</v>
      </c>
      <c r="O40" t="n">
        <v>0</v>
      </c>
      <c r="P40" t="n">
        <v>0</v>
      </c>
      <c r="Q40" t="n">
        <v>0</v>
      </c>
      <c r="R40" s="2" t="inlineStr"/>
    </row>
    <row r="41" ht="15" customHeight="1">
      <c r="A41" t="inlineStr">
        <is>
          <t>A 19639-2019</t>
        </is>
      </c>
      <c r="B41" s="1" t="n">
        <v>43566</v>
      </c>
      <c r="C41" s="1" t="n">
        <v>45645</v>
      </c>
      <c r="D41" t="inlineStr">
        <is>
          <t>VÄSTRA GÖTALANDS LÄN</t>
        </is>
      </c>
      <c r="E41" t="inlineStr">
        <is>
          <t>DALS-ED</t>
        </is>
      </c>
      <c r="G41" t="n">
        <v>1.5</v>
      </c>
      <c r="H41" t="n">
        <v>0</v>
      </c>
      <c r="I41" t="n">
        <v>0</v>
      </c>
      <c r="J41" t="n">
        <v>0</v>
      </c>
      <c r="K41" t="n">
        <v>0</v>
      </c>
      <c r="L41" t="n">
        <v>0</v>
      </c>
      <c r="M41" t="n">
        <v>0</v>
      </c>
      <c r="N41" t="n">
        <v>0</v>
      </c>
      <c r="O41" t="n">
        <v>0</v>
      </c>
      <c r="P41" t="n">
        <v>0</v>
      </c>
      <c r="Q41" t="n">
        <v>0</v>
      </c>
      <c r="R41" s="2" t="inlineStr"/>
    </row>
    <row r="42" ht="15" customHeight="1">
      <c r="A42" t="inlineStr">
        <is>
          <t>A 20074-2019</t>
        </is>
      </c>
      <c r="B42" s="1" t="n">
        <v>43570</v>
      </c>
      <c r="C42" s="1" t="n">
        <v>45645</v>
      </c>
      <c r="D42" t="inlineStr">
        <is>
          <t>VÄSTRA GÖTALANDS LÄN</t>
        </is>
      </c>
      <c r="E42" t="inlineStr">
        <is>
          <t>DALS-ED</t>
        </is>
      </c>
      <c r="G42" t="n">
        <v>0.6</v>
      </c>
      <c r="H42" t="n">
        <v>0</v>
      </c>
      <c r="I42" t="n">
        <v>0</v>
      </c>
      <c r="J42" t="n">
        <v>0</v>
      </c>
      <c r="K42" t="n">
        <v>0</v>
      </c>
      <c r="L42" t="n">
        <v>0</v>
      </c>
      <c r="M42" t="n">
        <v>0</v>
      </c>
      <c r="N42" t="n">
        <v>0</v>
      </c>
      <c r="O42" t="n">
        <v>0</v>
      </c>
      <c r="P42" t="n">
        <v>0</v>
      </c>
      <c r="Q42" t="n">
        <v>0</v>
      </c>
      <c r="R42" s="2" t="inlineStr"/>
    </row>
    <row r="43" ht="15" customHeight="1">
      <c r="A43" t="inlineStr">
        <is>
          <t>A 20286-2019</t>
        </is>
      </c>
      <c r="B43" s="1" t="n">
        <v>43571</v>
      </c>
      <c r="C43" s="1" t="n">
        <v>45645</v>
      </c>
      <c r="D43" t="inlineStr">
        <is>
          <t>VÄSTRA GÖTALANDS LÄN</t>
        </is>
      </c>
      <c r="E43" t="inlineStr">
        <is>
          <t>DALS-ED</t>
        </is>
      </c>
      <c r="G43" t="n">
        <v>2.1</v>
      </c>
      <c r="H43" t="n">
        <v>0</v>
      </c>
      <c r="I43" t="n">
        <v>0</v>
      </c>
      <c r="J43" t="n">
        <v>0</v>
      </c>
      <c r="K43" t="n">
        <v>0</v>
      </c>
      <c r="L43" t="n">
        <v>0</v>
      </c>
      <c r="M43" t="n">
        <v>0</v>
      </c>
      <c r="N43" t="n">
        <v>0</v>
      </c>
      <c r="O43" t="n">
        <v>0</v>
      </c>
      <c r="P43" t="n">
        <v>0</v>
      </c>
      <c r="Q43" t="n">
        <v>0</v>
      </c>
      <c r="R43" s="2" t="inlineStr"/>
    </row>
    <row r="44" ht="15" customHeight="1">
      <c r="A44" t="inlineStr">
        <is>
          <t>A 20979-2019</t>
        </is>
      </c>
      <c r="B44" s="1" t="n">
        <v>43578</v>
      </c>
      <c r="C44" s="1" t="n">
        <v>45645</v>
      </c>
      <c r="D44" t="inlineStr">
        <is>
          <t>VÄSTRA GÖTALANDS LÄN</t>
        </is>
      </c>
      <c r="E44" t="inlineStr">
        <is>
          <t>DALS-ED</t>
        </is>
      </c>
      <c r="G44" t="n">
        <v>1.4</v>
      </c>
      <c r="H44" t="n">
        <v>0</v>
      </c>
      <c r="I44" t="n">
        <v>0</v>
      </c>
      <c r="J44" t="n">
        <v>0</v>
      </c>
      <c r="K44" t="n">
        <v>0</v>
      </c>
      <c r="L44" t="n">
        <v>0</v>
      </c>
      <c r="M44" t="n">
        <v>0</v>
      </c>
      <c r="N44" t="n">
        <v>0</v>
      </c>
      <c r="O44" t="n">
        <v>0</v>
      </c>
      <c r="P44" t="n">
        <v>0</v>
      </c>
      <c r="Q44" t="n">
        <v>0</v>
      </c>
      <c r="R44" s="2" t="inlineStr"/>
    </row>
    <row r="45" ht="15" customHeight="1">
      <c r="A45" t="inlineStr">
        <is>
          <t>A 22554-2019</t>
        </is>
      </c>
      <c r="B45" s="1" t="n">
        <v>43587</v>
      </c>
      <c r="C45" s="1" t="n">
        <v>45645</v>
      </c>
      <c r="D45" t="inlineStr">
        <is>
          <t>VÄSTRA GÖTALANDS LÄN</t>
        </is>
      </c>
      <c r="E45" t="inlineStr">
        <is>
          <t>DALS-ED</t>
        </is>
      </c>
      <c r="G45" t="n">
        <v>1.5</v>
      </c>
      <c r="H45" t="n">
        <v>0</v>
      </c>
      <c r="I45" t="n">
        <v>0</v>
      </c>
      <c r="J45" t="n">
        <v>0</v>
      </c>
      <c r="K45" t="n">
        <v>0</v>
      </c>
      <c r="L45" t="n">
        <v>0</v>
      </c>
      <c r="M45" t="n">
        <v>0</v>
      </c>
      <c r="N45" t="n">
        <v>0</v>
      </c>
      <c r="O45" t="n">
        <v>0</v>
      </c>
      <c r="P45" t="n">
        <v>0</v>
      </c>
      <c r="Q45" t="n">
        <v>0</v>
      </c>
      <c r="R45" s="2" t="inlineStr"/>
    </row>
    <row r="46" ht="15" customHeight="1">
      <c r="A46" t="inlineStr">
        <is>
          <t>A 23597-2019</t>
        </is>
      </c>
      <c r="B46" s="1" t="n">
        <v>43587</v>
      </c>
      <c r="C46" s="1" t="n">
        <v>45645</v>
      </c>
      <c r="D46" t="inlineStr">
        <is>
          <t>VÄSTRA GÖTALANDS LÄN</t>
        </is>
      </c>
      <c r="E46" t="inlineStr">
        <is>
          <t>DALS-ED</t>
        </is>
      </c>
      <c r="G46" t="n">
        <v>2.8</v>
      </c>
      <c r="H46" t="n">
        <v>0</v>
      </c>
      <c r="I46" t="n">
        <v>0</v>
      </c>
      <c r="J46" t="n">
        <v>0</v>
      </c>
      <c r="K46" t="n">
        <v>0</v>
      </c>
      <c r="L46" t="n">
        <v>0</v>
      </c>
      <c r="M46" t="n">
        <v>0</v>
      </c>
      <c r="N46" t="n">
        <v>0</v>
      </c>
      <c r="O46" t="n">
        <v>0</v>
      </c>
      <c r="P46" t="n">
        <v>0</v>
      </c>
      <c r="Q46" t="n">
        <v>0</v>
      </c>
      <c r="R46" s="2" t="inlineStr"/>
    </row>
    <row r="47" ht="15" customHeight="1">
      <c r="A47" t="inlineStr">
        <is>
          <t>A 23634-2019</t>
        </is>
      </c>
      <c r="B47" s="1" t="n">
        <v>43587</v>
      </c>
      <c r="C47" s="1" t="n">
        <v>45645</v>
      </c>
      <c r="D47" t="inlineStr">
        <is>
          <t>VÄSTRA GÖTALANDS LÄN</t>
        </is>
      </c>
      <c r="E47" t="inlineStr">
        <is>
          <t>DALS-ED</t>
        </is>
      </c>
      <c r="G47" t="n">
        <v>1.1</v>
      </c>
      <c r="H47" t="n">
        <v>0</v>
      </c>
      <c r="I47" t="n">
        <v>0</v>
      </c>
      <c r="J47" t="n">
        <v>0</v>
      </c>
      <c r="K47" t="n">
        <v>0</v>
      </c>
      <c r="L47" t="n">
        <v>0</v>
      </c>
      <c r="M47" t="n">
        <v>0</v>
      </c>
      <c r="N47" t="n">
        <v>0</v>
      </c>
      <c r="O47" t="n">
        <v>0</v>
      </c>
      <c r="P47" t="n">
        <v>0</v>
      </c>
      <c r="Q47" t="n">
        <v>0</v>
      </c>
      <c r="R47" s="2" t="inlineStr"/>
    </row>
    <row r="48" ht="15" customHeight="1">
      <c r="A48" t="inlineStr">
        <is>
          <t>A 22667-2019</t>
        </is>
      </c>
      <c r="B48" s="1" t="n">
        <v>43587</v>
      </c>
      <c r="C48" s="1" t="n">
        <v>45645</v>
      </c>
      <c r="D48" t="inlineStr">
        <is>
          <t>VÄSTRA GÖTALANDS LÄN</t>
        </is>
      </c>
      <c r="E48" t="inlineStr">
        <is>
          <t>DALS-ED</t>
        </is>
      </c>
      <c r="G48" t="n">
        <v>4.7</v>
      </c>
      <c r="H48" t="n">
        <v>0</v>
      </c>
      <c r="I48" t="n">
        <v>0</v>
      </c>
      <c r="J48" t="n">
        <v>0</v>
      </c>
      <c r="K48" t="n">
        <v>0</v>
      </c>
      <c r="L48" t="n">
        <v>0</v>
      </c>
      <c r="M48" t="n">
        <v>0</v>
      </c>
      <c r="N48" t="n">
        <v>0</v>
      </c>
      <c r="O48" t="n">
        <v>0</v>
      </c>
      <c r="P48" t="n">
        <v>0</v>
      </c>
      <c r="Q48" t="n">
        <v>0</v>
      </c>
      <c r="R48" s="2" t="inlineStr"/>
    </row>
    <row r="49" ht="15" customHeight="1">
      <c r="A49" t="inlineStr">
        <is>
          <t>A 23623-2019</t>
        </is>
      </c>
      <c r="B49" s="1" t="n">
        <v>43587</v>
      </c>
      <c r="C49" s="1" t="n">
        <v>45645</v>
      </c>
      <c r="D49" t="inlineStr">
        <is>
          <t>VÄSTRA GÖTALANDS LÄN</t>
        </is>
      </c>
      <c r="E49" t="inlineStr">
        <is>
          <t>DALS-ED</t>
        </is>
      </c>
      <c r="G49" t="n">
        <v>0.5</v>
      </c>
      <c r="H49" t="n">
        <v>0</v>
      </c>
      <c r="I49" t="n">
        <v>0</v>
      </c>
      <c r="J49" t="n">
        <v>0</v>
      </c>
      <c r="K49" t="n">
        <v>0</v>
      </c>
      <c r="L49" t="n">
        <v>0</v>
      </c>
      <c r="M49" t="n">
        <v>0</v>
      </c>
      <c r="N49" t="n">
        <v>0</v>
      </c>
      <c r="O49" t="n">
        <v>0</v>
      </c>
      <c r="P49" t="n">
        <v>0</v>
      </c>
      <c r="Q49" t="n">
        <v>0</v>
      </c>
      <c r="R49" s="2" t="inlineStr"/>
    </row>
    <row r="50" ht="15" customHeight="1">
      <c r="A50" t="inlineStr">
        <is>
          <t>A 22662-2019</t>
        </is>
      </c>
      <c r="B50" s="1" t="n">
        <v>43587</v>
      </c>
      <c r="C50" s="1" t="n">
        <v>45645</v>
      </c>
      <c r="D50" t="inlineStr">
        <is>
          <t>VÄSTRA GÖTALANDS LÄN</t>
        </is>
      </c>
      <c r="E50" t="inlineStr">
        <is>
          <t>DALS-ED</t>
        </is>
      </c>
      <c r="G50" t="n">
        <v>3.6</v>
      </c>
      <c r="H50" t="n">
        <v>0</v>
      </c>
      <c r="I50" t="n">
        <v>0</v>
      </c>
      <c r="J50" t="n">
        <v>0</v>
      </c>
      <c r="K50" t="n">
        <v>0</v>
      </c>
      <c r="L50" t="n">
        <v>0</v>
      </c>
      <c r="M50" t="n">
        <v>0</v>
      </c>
      <c r="N50" t="n">
        <v>0</v>
      </c>
      <c r="O50" t="n">
        <v>0</v>
      </c>
      <c r="P50" t="n">
        <v>0</v>
      </c>
      <c r="Q50" t="n">
        <v>0</v>
      </c>
      <c r="R50" s="2" t="inlineStr"/>
    </row>
    <row r="51" ht="15" customHeight="1">
      <c r="A51" t="inlineStr">
        <is>
          <t>A 22851-2019</t>
        </is>
      </c>
      <c r="B51" s="1" t="n">
        <v>43591</v>
      </c>
      <c r="C51" s="1" t="n">
        <v>45645</v>
      </c>
      <c r="D51" t="inlineStr">
        <is>
          <t>VÄSTRA GÖTALANDS LÄN</t>
        </is>
      </c>
      <c r="E51" t="inlineStr">
        <is>
          <t>DALS-ED</t>
        </is>
      </c>
      <c r="G51" t="n">
        <v>1.2</v>
      </c>
      <c r="H51" t="n">
        <v>0</v>
      </c>
      <c r="I51" t="n">
        <v>0</v>
      </c>
      <c r="J51" t="n">
        <v>0</v>
      </c>
      <c r="K51" t="n">
        <v>0</v>
      </c>
      <c r="L51" t="n">
        <v>0</v>
      </c>
      <c r="M51" t="n">
        <v>0</v>
      </c>
      <c r="N51" t="n">
        <v>0</v>
      </c>
      <c r="O51" t="n">
        <v>0</v>
      </c>
      <c r="P51" t="n">
        <v>0</v>
      </c>
      <c r="Q51" t="n">
        <v>0</v>
      </c>
      <c r="R51" s="2" t="inlineStr"/>
    </row>
    <row r="52" ht="15" customHeight="1">
      <c r="A52" t="inlineStr">
        <is>
          <t>A 26262-2019</t>
        </is>
      </c>
      <c r="B52" s="1" t="n">
        <v>43610</v>
      </c>
      <c r="C52" s="1" t="n">
        <v>45645</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27112-2019</t>
        </is>
      </c>
      <c r="B53" s="1" t="n">
        <v>43612</v>
      </c>
      <c r="C53" s="1" t="n">
        <v>45645</v>
      </c>
      <c r="D53" t="inlineStr">
        <is>
          <t>VÄSTRA GÖTALANDS LÄN</t>
        </is>
      </c>
      <c r="E53" t="inlineStr">
        <is>
          <t>DALS-ED</t>
        </is>
      </c>
      <c r="G53" t="n">
        <v>11.5</v>
      </c>
      <c r="H53" t="n">
        <v>0</v>
      </c>
      <c r="I53" t="n">
        <v>0</v>
      </c>
      <c r="J53" t="n">
        <v>0</v>
      </c>
      <c r="K53" t="n">
        <v>0</v>
      </c>
      <c r="L53" t="n">
        <v>0</v>
      </c>
      <c r="M53" t="n">
        <v>0</v>
      </c>
      <c r="N53" t="n">
        <v>0</v>
      </c>
      <c r="O53" t="n">
        <v>0</v>
      </c>
      <c r="P53" t="n">
        <v>0</v>
      </c>
      <c r="Q53" t="n">
        <v>0</v>
      </c>
      <c r="R53" s="2" t="inlineStr"/>
    </row>
    <row r="54" ht="15" customHeight="1">
      <c r="A54" t="inlineStr">
        <is>
          <t>A 30280-2019</t>
        </is>
      </c>
      <c r="B54" s="1" t="n">
        <v>43633</v>
      </c>
      <c r="C54" s="1" t="n">
        <v>45645</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30458-2019</t>
        </is>
      </c>
      <c r="B55" s="1" t="n">
        <v>43633</v>
      </c>
      <c r="C55" s="1" t="n">
        <v>45645</v>
      </c>
      <c r="D55" t="inlineStr">
        <is>
          <t>VÄSTRA GÖTALANDS LÄN</t>
        </is>
      </c>
      <c r="E55" t="inlineStr">
        <is>
          <t>DALS-ED</t>
        </is>
      </c>
      <c r="G55" t="n">
        <v>5.6</v>
      </c>
      <c r="H55" t="n">
        <v>0</v>
      </c>
      <c r="I55" t="n">
        <v>0</v>
      </c>
      <c r="J55" t="n">
        <v>0</v>
      </c>
      <c r="K55" t="n">
        <v>0</v>
      </c>
      <c r="L55" t="n">
        <v>0</v>
      </c>
      <c r="M55" t="n">
        <v>0</v>
      </c>
      <c r="N55" t="n">
        <v>0</v>
      </c>
      <c r="O55" t="n">
        <v>0</v>
      </c>
      <c r="P55" t="n">
        <v>0</v>
      </c>
      <c r="Q55" t="n">
        <v>0</v>
      </c>
      <c r="R55" s="2" t="inlineStr"/>
    </row>
    <row r="56" ht="15" customHeight="1">
      <c r="A56" t="inlineStr">
        <is>
          <t>A 31950-2019</t>
        </is>
      </c>
      <c r="B56" s="1" t="n">
        <v>43643</v>
      </c>
      <c r="C56" s="1" t="n">
        <v>45645</v>
      </c>
      <c r="D56" t="inlineStr">
        <is>
          <t>VÄSTRA GÖTALANDS LÄN</t>
        </is>
      </c>
      <c r="E56" t="inlineStr">
        <is>
          <t>DALS-ED</t>
        </is>
      </c>
      <c r="G56" t="n">
        <v>9.6</v>
      </c>
      <c r="H56" t="n">
        <v>0</v>
      </c>
      <c r="I56" t="n">
        <v>0</v>
      </c>
      <c r="J56" t="n">
        <v>0</v>
      </c>
      <c r="K56" t="n">
        <v>0</v>
      </c>
      <c r="L56" t="n">
        <v>0</v>
      </c>
      <c r="M56" t="n">
        <v>0</v>
      </c>
      <c r="N56" t="n">
        <v>0</v>
      </c>
      <c r="O56" t="n">
        <v>0</v>
      </c>
      <c r="P56" t="n">
        <v>0</v>
      </c>
      <c r="Q56" t="n">
        <v>0</v>
      </c>
      <c r="R56" s="2" t="inlineStr"/>
    </row>
    <row r="57" ht="15" customHeight="1">
      <c r="A57" t="inlineStr">
        <is>
          <t>A 32345-2019</t>
        </is>
      </c>
      <c r="B57" s="1" t="n">
        <v>43644</v>
      </c>
      <c r="C57" s="1" t="n">
        <v>45645</v>
      </c>
      <c r="D57" t="inlineStr">
        <is>
          <t>VÄSTRA GÖTALANDS LÄN</t>
        </is>
      </c>
      <c r="E57" t="inlineStr">
        <is>
          <t>DALS-ED</t>
        </is>
      </c>
      <c r="G57" t="n">
        <v>2.9</v>
      </c>
      <c r="H57" t="n">
        <v>0</v>
      </c>
      <c r="I57" t="n">
        <v>0</v>
      </c>
      <c r="J57" t="n">
        <v>0</v>
      </c>
      <c r="K57" t="n">
        <v>0</v>
      </c>
      <c r="L57" t="n">
        <v>0</v>
      </c>
      <c r="M57" t="n">
        <v>0</v>
      </c>
      <c r="N57" t="n">
        <v>0</v>
      </c>
      <c r="O57" t="n">
        <v>0</v>
      </c>
      <c r="P57" t="n">
        <v>0</v>
      </c>
      <c r="Q57" t="n">
        <v>0</v>
      </c>
      <c r="R57" s="2" t="inlineStr"/>
    </row>
    <row r="58" ht="15" customHeight="1">
      <c r="A58" t="inlineStr">
        <is>
          <t>A 33501-2019</t>
        </is>
      </c>
      <c r="B58" s="1" t="n">
        <v>43651</v>
      </c>
      <c r="C58" s="1" t="n">
        <v>45645</v>
      </c>
      <c r="D58" t="inlineStr">
        <is>
          <t>VÄSTRA GÖTALANDS LÄN</t>
        </is>
      </c>
      <c r="E58" t="inlineStr">
        <is>
          <t>DALS-ED</t>
        </is>
      </c>
      <c r="G58" t="n">
        <v>0.7</v>
      </c>
      <c r="H58" t="n">
        <v>0</v>
      </c>
      <c r="I58" t="n">
        <v>0</v>
      </c>
      <c r="J58" t="n">
        <v>0</v>
      </c>
      <c r="K58" t="n">
        <v>0</v>
      </c>
      <c r="L58" t="n">
        <v>0</v>
      </c>
      <c r="M58" t="n">
        <v>0</v>
      </c>
      <c r="N58" t="n">
        <v>0</v>
      </c>
      <c r="O58" t="n">
        <v>0</v>
      </c>
      <c r="P58" t="n">
        <v>0</v>
      </c>
      <c r="Q58" t="n">
        <v>0</v>
      </c>
      <c r="R58" s="2" t="inlineStr"/>
    </row>
    <row r="59" ht="15" customHeight="1">
      <c r="A59" t="inlineStr">
        <is>
          <t>A 33500-2019</t>
        </is>
      </c>
      <c r="B59" s="1" t="n">
        <v>43651</v>
      </c>
      <c r="C59" s="1" t="n">
        <v>45645</v>
      </c>
      <c r="D59" t="inlineStr">
        <is>
          <t>VÄSTRA GÖTALANDS LÄN</t>
        </is>
      </c>
      <c r="E59" t="inlineStr">
        <is>
          <t>DALS-ED</t>
        </is>
      </c>
      <c r="G59" t="n">
        <v>0.9</v>
      </c>
      <c r="H59" t="n">
        <v>0</v>
      </c>
      <c r="I59" t="n">
        <v>0</v>
      </c>
      <c r="J59" t="n">
        <v>0</v>
      </c>
      <c r="K59" t="n">
        <v>0</v>
      </c>
      <c r="L59" t="n">
        <v>0</v>
      </c>
      <c r="M59" t="n">
        <v>0</v>
      </c>
      <c r="N59" t="n">
        <v>0</v>
      </c>
      <c r="O59" t="n">
        <v>0</v>
      </c>
      <c r="P59" t="n">
        <v>0</v>
      </c>
      <c r="Q59" t="n">
        <v>0</v>
      </c>
      <c r="R59" s="2" t="inlineStr"/>
    </row>
    <row r="60" ht="15" customHeight="1">
      <c r="A60" t="inlineStr">
        <is>
          <t>A 34607-2019</t>
        </is>
      </c>
      <c r="B60" s="1" t="n">
        <v>43657</v>
      </c>
      <c r="C60" s="1" t="n">
        <v>45645</v>
      </c>
      <c r="D60" t="inlineStr">
        <is>
          <t>VÄSTRA GÖTALANDS LÄN</t>
        </is>
      </c>
      <c r="E60" t="inlineStr">
        <is>
          <t>DALS-ED</t>
        </is>
      </c>
      <c r="G60" t="n">
        <v>2.2</v>
      </c>
      <c r="H60" t="n">
        <v>0</v>
      </c>
      <c r="I60" t="n">
        <v>0</v>
      </c>
      <c r="J60" t="n">
        <v>0</v>
      </c>
      <c r="K60" t="n">
        <v>0</v>
      </c>
      <c r="L60" t="n">
        <v>0</v>
      </c>
      <c r="M60" t="n">
        <v>0</v>
      </c>
      <c r="N60" t="n">
        <v>0</v>
      </c>
      <c r="O60" t="n">
        <v>0</v>
      </c>
      <c r="P60" t="n">
        <v>0</v>
      </c>
      <c r="Q60" t="n">
        <v>0</v>
      </c>
      <c r="R60" s="2" t="inlineStr"/>
    </row>
    <row r="61" ht="15" customHeight="1">
      <c r="A61" t="inlineStr">
        <is>
          <t>A 38502-2019</t>
        </is>
      </c>
      <c r="B61" s="1" t="n">
        <v>43685</v>
      </c>
      <c r="C61" s="1" t="n">
        <v>45645</v>
      </c>
      <c r="D61" t="inlineStr">
        <is>
          <t>VÄSTRA GÖTALANDS LÄN</t>
        </is>
      </c>
      <c r="E61" t="inlineStr">
        <is>
          <t>DALS-ED</t>
        </is>
      </c>
      <c r="G61" t="n">
        <v>15.9</v>
      </c>
      <c r="H61" t="n">
        <v>0</v>
      </c>
      <c r="I61" t="n">
        <v>0</v>
      </c>
      <c r="J61" t="n">
        <v>0</v>
      </c>
      <c r="K61" t="n">
        <v>0</v>
      </c>
      <c r="L61" t="n">
        <v>0</v>
      </c>
      <c r="M61" t="n">
        <v>0</v>
      </c>
      <c r="N61" t="n">
        <v>0</v>
      </c>
      <c r="O61" t="n">
        <v>0</v>
      </c>
      <c r="P61" t="n">
        <v>0</v>
      </c>
      <c r="Q61" t="n">
        <v>0</v>
      </c>
      <c r="R61" s="2" t="inlineStr"/>
    </row>
    <row r="62" ht="15" customHeight="1">
      <c r="A62" t="inlineStr">
        <is>
          <t>A 38512-2019</t>
        </is>
      </c>
      <c r="B62" s="1" t="n">
        <v>43685</v>
      </c>
      <c r="C62" s="1" t="n">
        <v>45645</v>
      </c>
      <c r="D62" t="inlineStr">
        <is>
          <t>VÄSTRA GÖTALANDS LÄN</t>
        </is>
      </c>
      <c r="E62" t="inlineStr">
        <is>
          <t>DALS-ED</t>
        </is>
      </c>
      <c r="G62" t="n">
        <v>24.8</v>
      </c>
      <c r="H62" t="n">
        <v>0</v>
      </c>
      <c r="I62" t="n">
        <v>0</v>
      </c>
      <c r="J62" t="n">
        <v>0</v>
      </c>
      <c r="K62" t="n">
        <v>0</v>
      </c>
      <c r="L62" t="n">
        <v>0</v>
      </c>
      <c r="M62" t="n">
        <v>0</v>
      </c>
      <c r="N62" t="n">
        <v>0</v>
      </c>
      <c r="O62" t="n">
        <v>0</v>
      </c>
      <c r="P62" t="n">
        <v>0</v>
      </c>
      <c r="Q62" t="n">
        <v>0</v>
      </c>
      <c r="R62" s="2" t="inlineStr"/>
    </row>
    <row r="63" ht="15" customHeight="1">
      <c r="A63" t="inlineStr">
        <is>
          <t>A 39062-2019</t>
        </is>
      </c>
      <c r="B63" s="1" t="n">
        <v>43689</v>
      </c>
      <c r="C63" s="1" t="n">
        <v>45645</v>
      </c>
      <c r="D63" t="inlineStr">
        <is>
          <t>VÄSTRA GÖTALANDS LÄN</t>
        </is>
      </c>
      <c r="E63" t="inlineStr">
        <is>
          <t>DALS-ED</t>
        </is>
      </c>
      <c r="F63" t="inlineStr">
        <is>
          <t>Övriga Aktiebolag</t>
        </is>
      </c>
      <c r="G63" t="n">
        <v>0.4</v>
      </c>
      <c r="H63" t="n">
        <v>0</v>
      </c>
      <c r="I63" t="n">
        <v>0</v>
      </c>
      <c r="J63" t="n">
        <v>0</v>
      </c>
      <c r="K63" t="n">
        <v>0</v>
      </c>
      <c r="L63" t="n">
        <v>0</v>
      </c>
      <c r="M63" t="n">
        <v>0</v>
      </c>
      <c r="N63" t="n">
        <v>0</v>
      </c>
      <c r="O63" t="n">
        <v>0</v>
      </c>
      <c r="P63" t="n">
        <v>0</v>
      </c>
      <c r="Q63" t="n">
        <v>0</v>
      </c>
      <c r="R63" s="2" t="inlineStr"/>
    </row>
    <row r="64" ht="15" customHeight="1">
      <c r="A64" t="inlineStr">
        <is>
          <t>A 42213-2019</t>
        </is>
      </c>
      <c r="B64" s="1" t="n">
        <v>43698</v>
      </c>
      <c r="C64" s="1" t="n">
        <v>45645</v>
      </c>
      <c r="D64" t="inlineStr">
        <is>
          <t>VÄSTRA GÖTALANDS LÄN</t>
        </is>
      </c>
      <c r="E64" t="inlineStr">
        <is>
          <t>DALS-ED</t>
        </is>
      </c>
      <c r="G64" t="n">
        <v>5.4</v>
      </c>
      <c r="H64" t="n">
        <v>0</v>
      </c>
      <c r="I64" t="n">
        <v>0</v>
      </c>
      <c r="J64" t="n">
        <v>0</v>
      </c>
      <c r="K64" t="n">
        <v>0</v>
      </c>
      <c r="L64" t="n">
        <v>0</v>
      </c>
      <c r="M64" t="n">
        <v>0</v>
      </c>
      <c r="N64" t="n">
        <v>0</v>
      </c>
      <c r="O64" t="n">
        <v>0</v>
      </c>
      <c r="P64" t="n">
        <v>0</v>
      </c>
      <c r="Q64" t="n">
        <v>0</v>
      </c>
      <c r="R64" s="2" t="inlineStr"/>
    </row>
    <row r="65" ht="15" customHeight="1">
      <c r="A65" t="inlineStr">
        <is>
          <t>A 43847-2019</t>
        </is>
      </c>
      <c r="B65" s="1" t="n">
        <v>43707</v>
      </c>
      <c r="C65" s="1" t="n">
        <v>45645</v>
      </c>
      <c r="D65" t="inlineStr">
        <is>
          <t>VÄSTRA GÖTALANDS LÄN</t>
        </is>
      </c>
      <c r="E65" t="inlineStr">
        <is>
          <t>DALS-ED</t>
        </is>
      </c>
      <c r="G65" t="n">
        <v>1.4</v>
      </c>
      <c r="H65" t="n">
        <v>0</v>
      </c>
      <c r="I65" t="n">
        <v>0</v>
      </c>
      <c r="J65" t="n">
        <v>0</v>
      </c>
      <c r="K65" t="n">
        <v>0</v>
      </c>
      <c r="L65" t="n">
        <v>0</v>
      </c>
      <c r="M65" t="n">
        <v>0</v>
      </c>
      <c r="N65" t="n">
        <v>0</v>
      </c>
      <c r="O65" t="n">
        <v>0</v>
      </c>
      <c r="P65" t="n">
        <v>0</v>
      </c>
      <c r="Q65" t="n">
        <v>0</v>
      </c>
      <c r="R65" s="2" t="inlineStr"/>
    </row>
    <row r="66" ht="15" customHeight="1">
      <c r="A66" t="inlineStr">
        <is>
          <t>A 46829-2019</t>
        </is>
      </c>
      <c r="B66" s="1" t="n">
        <v>43720</v>
      </c>
      <c r="C66" s="1" t="n">
        <v>45645</v>
      </c>
      <c r="D66" t="inlineStr">
        <is>
          <t>VÄSTRA GÖTALANDS LÄN</t>
        </is>
      </c>
      <c r="E66" t="inlineStr">
        <is>
          <t>DALS-ED</t>
        </is>
      </c>
      <c r="G66" t="n">
        <v>2.4</v>
      </c>
      <c r="H66" t="n">
        <v>0</v>
      </c>
      <c r="I66" t="n">
        <v>0</v>
      </c>
      <c r="J66" t="n">
        <v>0</v>
      </c>
      <c r="K66" t="n">
        <v>0</v>
      </c>
      <c r="L66" t="n">
        <v>0</v>
      </c>
      <c r="M66" t="n">
        <v>0</v>
      </c>
      <c r="N66" t="n">
        <v>0</v>
      </c>
      <c r="O66" t="n">
        <v>0</v>
      </c>
      <c r="P66" t="n">
        <v>0</v>
      </c>
      <c r="Q66" t="n">
        <v>0</v>
      </c>
      <c r="R66" s="2" t="inlineStr"/>
    </row>
    <row r="67" ht="15" customHeight="1">
      <c r="A67" t="inlineStr">
        <is>
          <t>A 46969-2019</t>
        </is>
      </c>
      <c r="B67" s="1" t="n">
        <v>43720</v>
      </c>
      <c r="C67" s="1" t="n">
        <v>45645</v>
      </c>
      <c r="D67" t="inlineStr">
        <is>
          <t>VÄSTRA GÖTALANDS LÄN</t>
        </is>
      </c>
      <c r="E67" t="inlineStr">
        <is>
          <t>DALS-ED</t>
        </is>
      </c>
      <c r="G67" t="n">
        <v>4.1</v>
      </c>
      <c r="H67" t="n">
        <v>0</v>
      </c>
      <c r="I67" t="n">
        <v>0</v>
      </c>
      <c r="J67" t="n">
        <v>0</v>
      </c>
      <c r="K67" t="n">
        <v>0</v>
      </c>
      <c r="L67" t="n">
        <v>0</v>
      </c>
      <c r="M67" t="n">
        <v>0</v>
      </c>
      <c r="N67" t="n">
        <v>0</v>
      </c>
      <c r="O67" t="n">
        <v>0</v>
      </c>
      <c r="P67" t="n">
        <v>0</v>
      </c>
      <c r="Q67" t="n">
        <v>0</v>
      </c>
      <c r="R67" s="2" t="inlineStr"/>
    </row>
    <row r="68" ht="15" customHeight="1">
      <c r="A68" t="inlineStr">
        <is>
          <t>A 48070-2019</t>
        </is>
      </c>
      <c r="B68" s="1" t="n">
        <v>43725</v>
      </c>
      <c r="C68" s="1" t="n">
        <v>45645</v>
      </c>
      <c r="D68" t="inlineStr">
        <is>
          <t>VÄSTRA GÖTALANDS LÄN</t>
        </is>
      </c>
      <c r="E68" t="inlineStr">
        <is>
          <t>DALS-ED</t>
        </is>
      </c>
      <c r="G68" t="n">
        <v>12.5</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45645</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45645</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45645</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45645</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45645</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45645</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45645</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45645</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45645</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45645</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45645</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45645</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45645</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45645</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45645</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45645</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45645</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45645</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45645</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45645</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45645</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45645</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45645</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45645</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45645</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45645</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45645</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45645</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45645</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45645</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45645</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45645</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45645</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45645</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45645</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45645</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45645</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45645</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45645</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45645</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45645</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45645</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45645</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45645</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45645</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45645</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45645</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45645</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45645</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45645</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45645</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45645</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45645</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45645</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45645</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45645</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45645</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45645</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45645</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45645</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45645</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45645</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45645</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45645</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45645</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45645</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45645</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45645</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45645</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45645</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45645</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45645</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45645</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45645</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45645</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45645</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45645</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45645</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45645</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45645</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45645</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45645</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45645</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45645</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45645</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45645</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45645</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45645</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45645</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45645</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45645</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45645</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45645</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45645</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45645</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45645</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45645</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45645</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45645</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45645</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45645</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45645</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45645</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45645</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45645</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45645</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45645</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45645</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45645</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45645</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45645</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45645</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45645</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45645</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45645</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45645</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45645</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45645</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45645</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45645</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45645</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45645</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45645</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45645</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45645</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45645</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45645</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45645</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45645</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45645</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45645</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45645</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45645</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45645</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45645</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45645</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45645</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45645</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45645</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45645</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45645</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45645</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45645</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45645</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45645</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45645</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45645</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45645</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45645</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45645</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45645</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45645</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45645</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45645</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45645</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45645</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45645</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45645</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45645</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45645</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45645</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45645</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45645</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45645</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45645</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45645</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45645</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45645</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45645</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45645</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45645</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45645</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45645</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45645</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45645</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45645</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45645</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45645</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45645</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45645</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45645</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45645</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45645</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45645</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45645</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45645</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45645</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45645</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45645</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45645</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45645</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45645</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45645</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45645</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45645</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45645</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45645</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45645</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45645</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45645</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45645</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45645</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45645</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45645</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45645</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45645</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45645</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45645</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45645</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45645</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45645</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45645</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45645</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45645</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45645</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45645</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45645</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45645</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45645</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45645</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45645</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45645</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45645</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45645</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45645</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45645</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45645</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45645</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45645</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45645</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45645</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45645</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45645</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45645</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45645</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45645</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45645</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45645</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45645</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45645</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45645</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45645</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45645</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45645</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45645</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45645</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45645</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45645</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45645</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45645</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45645</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45645</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45645</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45645</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45645</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45645</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45645</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45645</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45645</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45645</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45645</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45645</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45645</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45645</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45645</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45645</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45645</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45645</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45645</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45645</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45645</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45645</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45645</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45645</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45645</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45645</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45645</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45645</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45645</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45645</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45645</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45645</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45645</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45645</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45645</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45645</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45645</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45645</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45645</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45645</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45645</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45645</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45645</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45645</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45645</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45645</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45645</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45645</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45645</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45645</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45645</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45645</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45645</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45645</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45645</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45645</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45645</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45645</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45645</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45645</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45645</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45645</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45645</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45645</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45645</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45645</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45645</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45645</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45645</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45645</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45645</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45645</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45645</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45645</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45645</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45645</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45645</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45645</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45645</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45645</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45645</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45645</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45645</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45645</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45645</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45645</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45645</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45645</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45645</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45645</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45645</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45645</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45645</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45645</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45645</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45645</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45645</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45645</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45645</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45645</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45645</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45645</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45645</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45645</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45645</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45645</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45645</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45645</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45645</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45645</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45645</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45645</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45645</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45645</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45645</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45645</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45645</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45645</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45645</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45645</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45645</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45645</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45645</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45645</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45645</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45645</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45645</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45645</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45645</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45645</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45645</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45645</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45645</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45645</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45645</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45645</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45645</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45645</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45645</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45645</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45645</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45645</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45645</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45645</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45645</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45645</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45645</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45645</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45645</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45645</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45645</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45645</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45645</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45645</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45645</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45645</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45645</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45645</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45645</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45645</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45645</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45645</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45645</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45645</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45645</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45645</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45645</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45645</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45645</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45645</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45645</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45645</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45645</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45645</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45645</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45645</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45645</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45645</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45645</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45645</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45645</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45645</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45645</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45645</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45645</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45645</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45645</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45645</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45645</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45645</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45645</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45645</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45645</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45645</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45645</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45645</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45645</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45645</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45645</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45645</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45645</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45645</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45645</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45645</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45645</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45645</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45645</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45645</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45645</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45645</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45645</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45645</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45645</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45645</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45645</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45645</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45645</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45645</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45645</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45645</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45645</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45645</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45645</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45645</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45645</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45645</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45645</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45645</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45645</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45645</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45645</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45645</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45645</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45645</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45645</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45645</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45645</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45645</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45645</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45645</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45645</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45645</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45645</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45645</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45645</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45645</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45645</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45645</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45645</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45645</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45645</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45645</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45645</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45645</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45645</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45645</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45645</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45645</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45645</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45645</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45645</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45645</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45645</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45645</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45645</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45645</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45645</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45645</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45645</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45645</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45645</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45645</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45645</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45645</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45645</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45645</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45645</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45645</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45645</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45645</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45645</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45645</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45645</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45645</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45645</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45645</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45645</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45645</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45645</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45645</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45645</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45645</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45645</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45645</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45645</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45645</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45645</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45645</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45645</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45645</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45645</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45645</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45645</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45645</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45645</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45645</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45645</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45645</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45645</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45645</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45645</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45645</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45645</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45645</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45645</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45645</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45645</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45645</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45645</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45645</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45645</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45645</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45645</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45645</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45645</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45645</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45645</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45645</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45645</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45645</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45645</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45645</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45645</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45645</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45645</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45645</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45645</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45645</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45645</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45645</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45645</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54183-2024</t>
        </is>
      </c>
      <c r="B660" s="1" t="n">
        <v>45616</v>
      </c>
      <c r="C660" s="1" t="n">
        <v>45645</v>
      </c>
      <c r="D660" t="inlineStr">
        <is>
          <t>VÄSTRA GÖTALANDS LÄN</t>
        </is>
      </c>
      <c r="E660" t="inlineStr">
        <is>
          <t>DALS-ED</t>
        </is>
      </c>
      <c r="G660" t="n">
        <v>1.6</v>
      </c>
      <c r="H660" t="n">
        <v>0</v>
      </c>
      <c r="I660" t="n">
        <v>0</v>
      </c>
      <c r="J660" t="n">
        <v>0</v>
      </c>
      <c r="K660" t="n">
        <v>0</v>
      </c>
      <c r="L660" t="n">
        <v>0</v>
      </c>
      <c r="M660" t="n">
        <v>0</v>
      </c>
      <c r="N660" t="n">
        <v>0</v>
      </c>
      <c r="O660" t="n">
        <v>0</v>
      </c>
      <c r="P660" t="n">
        <v>0</v>
      </c>
      <c r="Q660" t="n">
        <v>0</v>
      </c>
      <c r="R660" s="2" t="inlineStr"/>
    </row>
    <row r="661" ht="15" customHeight="1">
      <c r="A661" t="inlineStr">
        <is>
          <t>A 54206-2024</t>
        </is>
      </c>
      <c r="B661" s="1" t="n">
        <v>45616</v>
      </c>
      <c r="C661" s="1" t="n">
        <v>45645</v>
      </c>
      <c r="D661" t="inlineStr">
        <is>
          <t>VÄSTRA GÖTALANDS LÄN</t>
        </is>
      </c>
      <c r="E661" t="inlineStr">
        <is>
          <t>DALS-ED</t>
        </is>
      </c>
      <c r="G661" t="n">
        <v>5</v>
      </c>
      <c r="H661" t="n">
        <v>0</v>
      </c>
      <c r="I661" t="n">
        <v>0</v>
      </c>
      <c r="J661" t="n">
        <v>0</v>
      </c>
      <c r="K661" t="n">
        <v>0</v>
      </c>
      <c r="L661" t="n">
        <v>0</v>
      </c>
      <c r="M661" t="n">
        <v>0</v>
      </c>
      <c r="N661" t="n">
        <v>0</v>
      </c>
      <c r="O661" t="n">
        <v>0</v>
      </c>
      <c r="P661" t="n">
        <v>0</v>
      </c>
      <c r="Q661" t="n">
        <v>0</v>
      </c>
      <c r="R661" s="2" t="inlineStr"/>
    </row>
    <row r="662" ht="15" customHeight="1">
      <c r="A662" t="inlineStr">
        <is>
          <t>A 55134-2024</t>
        </is>
      </c>
      <c r="B662" s="1" t="n">
        <v>45621</v>
      </c>
      <c r="C662" s="1" t="n">
        <v>45645</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55138-2024</t>
        </is>
      </c>
      <c r="B663" s="1" t="n">
        <v>45621</v>
      </c>
      <c r="C663" s="1" t="n">
        <v>45645</v>
      </c>
      <c r="D663" t="inlineStr">
        <is>
          <t>VÄSTRA GÖTALANDS LÄN</t>
        </is>
      </c>
      <c r="E663" t="inlineStr">
        <is>
          <t>DALS-ED</t>
        </is>
      </c>
      <c r="G663" t="n">
        <v>2.7</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45645</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55084-2024</t>
        </is>
      </c>
      <c r="B665" s="1" t="n">
        <v>45621</v>
      </c>
      <c r="C665" s="1" t="n">
        <v>45645</v>
      </c>
      <c r="D665" t="inlineStr">
        <is>
          <t>VÄSTRA GÖTALANDS LÄN</t>
        </is>
      </c>
      <c r="E665" t="inlineStr">
        <is>
          <t>DALS-ED</t>
        </is>
      </c>
      <c r="G665" t="n">
        <v>0.8</v>
      </c>
      <c r="H665" t="n">
        <v>0</v>
      </c>
      <c r="I665" t="n">
        <v>0</v>
      </c>
      <c r="J665" t="n">
        <v>0</v>
      </c>
      <c r="K665" t="n">
        <v>0</v>
      </c>
      <c r="L665" t="n">
        <v>0</v>
      </c>
      <c r="M665" t="n">
        <v>0</v>
      </c>
      <c r="N665" t="n">
        <v>0</v>
      </c>
      <c r="O665" t="n">
        <v>0</v>
      </c>
      <c r="P665" t="n">
        <v>0</v>
      </c>
      <c r="Q665" t="n">
        <v>0</v>
      </c>
      <c r="R665" s="2" t="inlineStr"/>
    </row>
    <row r="666" ht="15" customHeight="1">
      <c r="A666" t="inlineStr">
        <is>
          <t>A 55088-2024</t>
        </is>
      </c>
      <c r="B666" s="1" t="n">
        <v>45621</v>
      </c>
      <c r="C666" s="1" t="n">
        <v>45645</v>
      </c>
      <c r="D666" t="inlineStr">
        <is>
          <t>VÄSTRA GÖTALANDS LÄN</t>
        </is>
      </c>
      <c r="E666" t="inlineStr">
        <is>
          <t>DALS-ED</t>
        </is>
      </c>
      <c r="G666" t="n">
        <v>0.3</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45645</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45645</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45645</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56765-2024</t>
        </is>
      </c>
      <c r="B670" s="1" t="n">
        <v>45628</v>
      </c>
      <c r="C670" s="1" t="n">
        <v>45645</v>
      </c>
      <c r="D670" t="inlineStr">
        <is>
          <t>VÄSTRA GÖTALANDS LÄN</t>
        </is>
      </c>
      <c r="E670" t="inlineStr">
        <is>
          <t>DALS-ED</t>
        </is>
      </c>
      <c r="G670" t="n">
        <v>0.8</v>
      </c>
      <c r="H670" t="n">
        <v>0</v>
      </c>
      <c r="I670" t="n">
        <v>0</v>
      </c>
      <c r="J670" t="n">
        <v>0</v>
      </c>
      <c r="K670" t="n">
        <v>0</v>
      </c>
      <c r="L670" t="n">
        <v>0</v>
      </c>
      <c r="M670" t="n">
        <v>0</v>
      </c>
      <c r="N670" t="n">
        <v>0</v>
      </c>
      <c r="O670" t="n">
        <v>0</v>
      </c>
      <c r="P670" t="n">
        <v>0</v>
      </c>
      <c r="Q670" t="n">
        <v>0</v>
      </c>
      <c r="R670" s="2" t="inlineStr"/>
    </row>
    <row r="671" ht="15" customHeight="1">
      <c r="A671" t="inlineStr">
        <is>
          <t>A 56781-2024</t>
        </is>
      </c>
      <c r="B671" s="1" t="n">
        <v>45628</v>
      </c>
      <c r="C671" s="1" t="n">
        <v>45645</v>
      </c>
      <c r="D671" t="inlineStr">
        <is>
          <t>VÄSTRA GÖTALANDS LÄN</t>
        </is>
      </c>
      <c r="E671" t="inlineStr">
        <is>
          <t>DALS-ED</t>
        </is>
      </c>
      <c r="G671" t="n">
        <v>1.8</v>
      </c>
      <c r="H671" t="n">
        <v>0</v>
      </c>
      <c r="I671" t="n">
        <v>0</v>
      </c>
      <c r="J671" t="n">
        <v>0</v>
      </c>
      <c r="K671" t="n">
        <v>0</v>
      </c>
      <c r="L671" t="n">
        <v>0</v>
      </c>
      <c r="M671" t="n">
        <v>0</v>
      </c>
      <c r="N671" t="n">
        <v>0</v>
      </c>
      <c r="O671" t="n">
        <v>0</v>
      </c>
      <c r="P671" t="n">
        <v>0</v>
      </c>
      <c r="Q671" t="n">
        <v>0</v>
      </c>
      <c r="R671" s="2" t="inlineStr"/>
    </row>
    <row r="672" ht="15" customHeight="1">
      <c r="A672" t="inlineStr">
        <is>
          <t>A 58590-2024</t>
        </is>
      </c>
      <c r="B672" s="1" t="n">
        <v>45632</v>
      </c>
      <c r="C672" s="1" t="n">
        <v>45645</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45645</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58584-2024</t>
        </is>
      </c>
      <c r="B674" s="1" t="n">
        <v>45632</v>
      </c>
      <c r="C674" s="1" t="n">
        <v>45645</v>
      </c>
      <c r="D674" t="inlineStr">
        <is>
          <t>VÄSTRA GÖTALANDS LÄN</t>
        </is>
      </c>
      <c r="E674" t="inlineStr">
        <is>
          <t>DALS-ED</t>
        </is>
      </c>
      <c r="G674" t="n">
        <v>1.5</v>
      </c>
      <c r="H674" t="n">
        <v>0</v>
      </c>
      <c r="I674" t="n">
        <v>0</v>
      </c>
      <c r="J674" t="n">
        <v>0</v>
      </c>
      <c r="K674" t="n">
        <v>0</v>
      </c>
      <c r="L674" t="n">
        <v>0</v>
      </c>
      <c r="M674" t="n">
        <v>0</v>
      </c>
      <c r="N674" t="n">
        <v>0</v>
      </c>
      <c r="O674" t="n">
        <v>0</v>
      </c>
      <c r="P674" t="n">
        <v>0</v>
      </c>
      <c r="Q674" t="n">
        <v>0</v>
      </c>
      <c r="R674" s="2" t="inlineStr"/>
    </row>
    <row r="675" ht="15" customHeight="1">
      <c r="A675" t="inlineStr">
        <is>
          <t>A 58346-2024</t>
        </is>
      </c>
      <c r="B675" s="1" t="n">
        <v>45632</v>
      </c>
      <c r="C675" s="1" t="n">
        <v>45645</v>
      </c>
      <c r="D675" t="inlineStr">
        <is>
          <t>VÄSTRA GÖTALANDS LÄN</t>
        </is>
      </c>
      <c r="E675" t="inlineStr">
        <is>
          <t>DALS-ED</t>
        </is>
      </c>
      <c r="G675" t="n">
        <v>2.4</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45645</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58855-2024</t>
        </is>
      </c>
      <c r="B677" s="1" t="n">
        <v>45636</v>
      </c>
      <c r="C677" s="1" t="n">
        <v>45645</v>
      </c>
      <c r="D677" t="inlineStr">
        <is>
          <t>VÄSTRA GÖTALANDS LÄN</t>
        </is>
      </c>
      <c r="E677" t="inlineStr">
        <is>
          <t>DALS-ED</t>
        </is>
      </c>
      <c r="G677" t="n">
        <v>0.3</v>
      </c>
      <c r="H677" t="n">
        <v>0</v>
      </c>
      <c r="I677" t="n">
        <v>0</v>
      </c>
      <c r="J677" t="n">
        <v>0</v>
      </c>
      <c r="K677" t="n">
        <v>0</v>
      </c>
      <c r="L677" t="n">
        <v>0</v>
      </c>
      <c r="M677" t="n">
        <v>0</v>
      </c>
      <c r="N677" t="n">
        <v>0</v>
      </c>
      <c r="O677" t="n">
        <v>0</v>
      </c>
      <c r="P677" t="n">
        <v>0</v>
      </c>
      <c r="Q677" t="n">
        <v>0</v>
      </c>
      <c r="R677" s="2" t="inlineStr"/>
    </row>
    <row r="678" ht="15" customHeight="1">
      <c r="A678" t="inlineStr">
        <is>
          <t>A 58851-2024</t>
        </is>
      </c>
      <c r="B678" s="1" t="n">
        <v>45636</v>
      </c>
      <c r="C678" s="1" t="n">
        <v>45645</v>
      </c>
      <c r="D678" t="inlineStr">
        <is>
          <t>VÄSTRA GÖTALANDS LÄN</t>
        </is>
      </c>
      <c r="E678" t="inlineStr">
        <is>
          <t>DALS-ED</t>
        </is>
      </c>
      <c r="G678" t="n">
        <v>1.9</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45645</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45645</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59854-2024</t>
        </is>
      </c>
      <c r="B681" s="1" t="n">
        <v>45639</v>
      </c>
      <c r="C681" s="1" t="n">
        <v>45645</v>
      </c>
      <c r="D681" t="inlineStr">
        <is>
          <t>VÄSTRA GÖTALANDS LÄN</t>
        </is>
      </c>
      <c r="E681" t="inlineStr">
        <is>
          <t>DALS-ED</t>
        </is>
      </c>
      <c r="G681" t="n">
        <v>2</v>
      </c>
      <c r="H681" t="n">
        <v>0</v>
      </c>
      <c r="I681" t="n">
        <v>0</v>
      </c>
      <c r="J681" t="n">
        <v>0</v>
      </c>
      <c r="K681" t="n">
        <v>0</v>
      </c>
      <c r="L681" t="n">
        <v>0</v>
      </c>
      <c r="M681" t="n">
        <v>0</v>
      </c>
      <c r="N681" t="n">
        <v>0</v>
      </c>
      <c r="O681" t="n">
        <v>0</v>
      </c>
      <c r="P681" t="n">
        <v>0</v>
      </c>
      <c r="Q681" t="n">
        <v>0</v>
      </c>
      <c r="R681" s="2" t="inlineStr"/>
    </row>
    <row r="682" ht="15" customHeight="1">
      <c r="A682" t="inlineStr">
        <is>
          <t>A 59855-2024</t>
        </is>
      </c>
      <c r="B682" s="1" t="n">
        <v>45639</v>
      </c>
      <c r="C682" s="1" t="n">
        <v>45645</v>
      </c>
      <c r="D682" t="inlineStr">
        <is>
          <t>VÄSTRA GÖTALANDS LÄN</t>
        </is>
      </c>
      <c r="E682" t="inlineStr">
        <is>
          <t>DALS-ED</t>
        </is>
      </c>
      <c r="G682" t="n">
        <v>0.6</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45645</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c r="A684" t="inlineStr">
        <is>
          <t>A 60590-2024</t>
        </is>
      </c>
      <c r="B684" s="1" t="n">
        <v>45644</v>
      </c>
      <c r="C684" s="1" t="n">
        <v>45645</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2024-12-19T14:45:32Z</dcterms:created>
  <dcterms:modified xmlns:dcterms="http://purl.org/dc/terms/" xmlns:xsi="http://www.w3.org/2001/XMLSchema-instance" xsi:type="dcterms:W3CDTF">2024-12-19T14:45:33Z</dcterms:modified>
</cp:coreProperties>
</file>