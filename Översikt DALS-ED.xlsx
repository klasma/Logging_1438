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6469-2022</t>
        </is>
      </c>
      <c r="B2" t="inlineStr">
        <is>
          <t>avverkningsanmälan</t>
        </is>
      </c>
      <c r="C2" t="inlineStr">
        <is>
          <t>Föryngringsavverkning</t>
        </is>
      </c>
      <c r="D2" s="1" t="n">
        <v>44601</v>
      </c>
      <c r="E2" s="1" t="n">
        <v>46217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2">
        <f>HYPERLINK("https://klasma.github.io/Logging_1438/artfynd/A 6469-2022 artfynd.xlsx", "A 6469-2022")</f>
        <v/>
      </c>
      <c r="W2">
        <f>HYPERLINK("https://klasma.github.io/Logging_1438/kartor/A 6469-2022 karta.png", "A 6469-2022")</f>
        <v/>
      </c>
      <c r="X2">
        <f>HYPERLINK("https://klasma.github.io/Logging_1438/knärot/A 6469-2022 karta knärot.png", "A 6469-2022")</f>
        <v/>
      </c>
      <c r="Y2">
        <f>HYPERLINK("https://klasma.github.io/Logging_1438/klagomål/A 6469-2022 FSC-klagomål.docx", "A 6469-2022")</f>
        <v/>
      </c>
      <c r="Z2">
        <f>HYPERLINK("https://klasma.github.io/Logging_1438/klagomålsmail/A 6469-2022 FSC-klagomål mail.docx", "A 6469-2022")</f>
        <v/>
      </c>
      <c r="AA2">
        <f>HYPERLINK("https://klasma.github.io/Logging_1438/tillsyn/A 6469-2022 tillsynsbegäran.docx", "A 6469-2022")</f>
        <v/>
      </c>
      <c r="AB2">
        <f>HYPERLINK("https://klasma.github.io/Logging_1438/tillsynsmail/A 6469-2022 tillsynsbegäran mail.docx", "A 6469-2022")</f>
        <v/>
      </c>
      <c r="AC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46217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3">
        <f>HYPERLINK("https://klasma.github.io/Logging_1438/artfynd/A 52471-2025 artfynd.xlsx", "A 52471-2025")</f>
        <v/>
      </c>
      <c r="W3">
        <f>HYPERLINK("https://klasma.github.io/Logging_1438/kartor/A 52471-2025 karta.png", "A 52471-2025")</f>
        <v/>
      </c>
      <c r="Y3">
        <f>HYPERLINK("https://klasma.github.io/Logging_1438/klagomål/A 52471-2025 FSC-klagomål.docx", "A 52471-2025")</f>
        <v/>
      </c>
      <c r="Z3">
        <f>HYPERLINK("https://klasma.github.io/Logging_1438/klagomålsmail/A 52471-2025 FSC-klagomål mail.docx", "A 52471-2025")</f>
        <v/>
      </c>
      <c r="AA3">
        <f>HYPERLINK("https://klasma.github.io/Logging_1438/tillsyn/A 52471-2025 tillsynsbegäran.docx", "A 52471-2025")</f>
        <v/>
      </c>
      <c r="AB3">
        <f>HYPERLINK("https://klasma.github.io/Logging_1438/tillsynsmail/A 52471-2025 tillsynsbegäran mail.docx", "A 52471-2025")</f>
        <v/>
      </c>
      <c r="AC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46217</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4">
        <f>HYPERLINK("https://klasma.github.io/Logging_1438/artfynd/A 40826-2025 artfynd.xlsx", "A 40826-2025")</f>
        <v/>
      </c>
      <c r="W4">
        <f>HYPERLINK("https://klasma.github.io/Logging_1438/kartor/A 40826-2025 karta.png", "A 40826-2025")</f>
        <v/>
      </c>
      <c r="X4">
        <f>HYPERLINK("https://klasma.github.io/Logging_1438/knärot/A 40826-2025 karta knärot.png", "A 40826-2025")</f>
        <v/>
      </c>
      <c r="Y4">
        <f>HYPERLINK("https://klasma.github.io/Logging_1438/klagomål/A 40826-2025 FSC-klagomål.docx", "A 40826-2025")</f>
        <v/>
      </c>
      <c r="Z4">
        <f>HYPERLINK("https://klasma.github.io/Logging_1438/klagomålsmail/A 40826-2025 FSC-klagomål mail.docx", "A 40826-2025")</f>
        <v/>
      </c>
      <c r="AA4">
        <f>HYPERLINK("https://klasma.github.io/Logging_1438/tillsyn/A 40826-2025 tillsynsbegäran.docx", "A 40826-2025")</f>
        <v/>
      </c>
      <c r="AB4">
        <f>HYPERLINK("https://klasma.github.io/Logging_1438/tillsynsmail/A 40826-2025 tillsynsbegäran mail.docx", "A 40826-2025")</f>
        <v/>
      </c>
      <c r="AC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46217</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5">
        <f>HYPERLINK("https://klasma.github.io/Logging_1438/artfynd/A 22139-2026 artfynd.xlsx", "A 22139-2026")</f>
        <v/>
      </c>
      <c r="W5">
        <f>HYPERLINK("https://klasma.github.io/Logging_1438/kartor/A 22139-2026 karta.png", "A 22139-2026")</f>
        <v/>
      </c>
      <c r="Y5">
        <f>HYPERLINK("https://klasma.github.io/Logging_1438/klagomål/A 22139-2026 FSC-klagomål.docx", "A 22139-2026")</f>
        <v/>
      </c>
      <c r="Z5">
        <f>HYPERLINK("https://klasma.github.io/Logging_1438/klagomålsmail/A 22139-2026 FSC-klagomål mail.docx", "A 22139-2026")</f>
        <v/>
      </c>
      <c r="AA5">
        <f>HYPERLINK("https://klasma.github.io/Logging_1438/tillsyn/A 22139-2026 tillsynsbegäran.docx", "A 22139-2026")</f>
        <v/>
      </c>
      <c r="AB5">
        <f>HYPERLINK("https://klasma.github.io/Logging_1438/tillsynsmail/A 22139-2026 tillsynsbegäran mail.docx", "A 22139-2026")</f>
        <v/>
      </c>
      <c r="AC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46217</v>
      </c>
      <c r="F6" t="inlineStr">
        <is>
          <t>VÄSTRA GÖTALANDS LÄN</t>
        </is>
      </c>
      <c r="G6" t="inlineStr">
        <is>
          <t>DALS-ED</t>
        </is>
      </c>
      <c r="I6" t="n">
        <v>9.1</v>
      </c>
      <c r="J6" t="n">
        <v>2</v>
      </c>
      <c r="K6" t="n">
        <v>6</v>
      </c>
      <c r="L6" t="n">
        <v>3</v>
      </c>
      <c r="M6" t="n">
        <v>2</v>
      </c>
      <c r="N6" t="n">
        <v>0</v>
      </c>
      <c r="O6" t="n">
        <v>0</v>
      </c>
      <c r="P6" t="n">
        <v>0</v>
      </c>
      <c r="Q6" t="n">
        <v>5</v>
      </c>
      <c r="R6" t="n">
        <v>2</v>
      </c>
      <c r="S6" t="n">
        <v>12</v>
      </c>
      <c r="T6" t="n">
        <v>21</v>
      </c>
      <c r="U6" s="2" t="inlineStr">
        <is>
          <t>Garnlav
Knärot
Blanksvart spiklav
Kattfotslav
Vedtrappmossa
Blåmossa
Bronshjon
Skuggmossa
Stor revmossa
Thomsons trägnagare
Vågbandad barkbock
Svartvit flugsnappare</t>
        </is>
      </c>
      <c r="V6">
        <f>HYPERLINK("https://klasma.github.io/Logging_1438/artfynd/A 22932-2026 artfynd.xlsx", "A 22932-2026")</f>
        <v/>
      </c>
      <c r="W6">
        <f>HYPERLINK("https://klasma.github.io/Logging_1438/kartor/A 22932-2026 karta.png", "A 22932-2026")</f>
        <v/>
      </c>
      <c r="X6">
        <f>HYPERLINK("https://klasma.github.io/Logging_1438/knärot/A 22932-2026 karta knärot.png", "A 22932-2026")</f>
        <v/>
      </c>
      <c r="Y6">
        <f>HYPERLINK("https://klasma.github.io/Logging_1438/klagomål/A 22932-2026 FSC-klagomål.docx", "A 22932-2026")</f>
        <v/>
      </c>
      <c r="Z6">
        <f>HYPERLINK("https://klasma.github.io/Logging_1438/klagomålsmail/A 22932-2026 FSC-klagomål mail.docx", "A 22932-2026")</f>
        <v/>
      </c>
      <c r="AA6">
        <f>HYPERLINK("https://klasma.github.io/Logging_1438/tillsyn/A 22932-2026 tillsynsbegäran.docx", "A 22932-2026")</f>
        <v/>
      </c>
      <c r="AB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46217</v>
      </c>
      <c r="F7" t="inlineStr">
        <is>
          <t>VÄSTRA GÖTALANDS LÄN</t>
        </is>
      </c>
      <c r="G7" t="inlineStr">
        <is>
          <t>DALS-ED</t>
        </is>
      </c>
      <c r="I7" t="n">
        <v>28.3</v>
      </c>
      <c r="J7" t="n">
        <v>5</v>
      </c>
      <c r="K7" t="n">
        <v>5</v>
      </c>
      <c r="L7" t="n">
        <v>4</v>
      </c>
      <c r="M7" t="n">
        <v>0</v>
      </c>
      <c r="N7" t="n">
        <v>0</v>
      </c>
      <c r="O7" t="n">
        <v>0</v>
      </c>
      <c r="P7" t="n">
        <v>0</v>
      </c>
      <c r="Q7" t="n">
        <v>4</v>
      </c>
      <c r="R7" t="n">
        <v>0</v>
      </c>
      <c r="S7" t="n">
        <v>12</v>
      </c>
      <c r="T7" t="n">
        <v>28</v>
      </c>
      <c r="U7" s="2" t="inlineStr">
        <is>
          <t>Dropptaggsvamp
Talltita
Tretåig hackspett
Vedskivlav
Blåmossa
Mandelriska
Rödgul trumpetsvamp
Stor revmossa
Västlig hakmossa
Spillkråka
Tjäder
Gröngöling</t>
        </is>
      </c>
      <c r="V7">
        <f>HYPERLINK("https://klasma.github.io/Logging_1438/artfynd/A 5403-2024 artfynd.xlsx", "A 5403-2024")</f>
        <v/>
      </c>
      <c r="W7">
        <f>HYPERLINK("https://klasma.github.io/Logging_1438/kartor/A 5403-2024 karta.png", "A 5403-2024")</f>
        <v/>
      </c>
      <c r="Y7">
        <f>HYPERLINK("https://klasma.github.io/Logging_1438/klagomål/A 5403-2024 FSC-klagomål.docx", "A 5403-2024")</f>
        <v/>
      </c>
      <c r="Z7">
        <f>HYPERLINK("https://klasma.github.io/Logging_1438/klagomålsmail/A 5403-2024 FSC-klagomål mail.docx", "A 5403-2024")</f>
        <v/>
      </c>
      <c r="AA7">
        <f>HYPERLINK("https://klasma.github.io/Logging_1438/tillsyn/A 5403-2024 tillsynsbegäran.docx", "A 5403-2024")</f>
        <v/>
      </c>
      <c r="AB7">
        <f>HYPERLINK("https://klasma.github.io/Logging_1438/tillsynsmail/A 5403-2024 tillsynsbegäran mail.docx", "A 5403-2024")</f>
        <v/>
      </c>
      <c r="AC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46217</v>
      </c>
      <c r="F8" t="inlineStr">
        <is>
          <t>VÄSTRA GÖTALANDS LÄN</t>
        </is>
      </c>
      <c r="G8" t="inlineStr">
        <is>
          <t>DALS-ED</t>
        </is>
      </c>
      <c r="I8" t="n">
        <v>3.8</v>
      </c>
      <c r="J8" t="n">
        <v>2</v>
      </c>
      <c r="K8" t="n">
        <v>5</v>
      </c>
      <c r="L8" t="n">
        <v>4</v>
      </c>
      <c r="M8" t="n">
        <v>1</v>
      </c>
      <c r="N8" t="n">
        <v>0</v>
      </c>
      <c r="O8" t="n">
        <v>0</v>
      </c>
      <c r="P8" t="n">
        <v>0</v>
      </c>
      <c r="Q8" t="n">
        <v>5</v>
      </c>
      <c r="R8" t="n">
        <v>1</v>
      </c>
      <c r="S8" t="n">
        <v>11</v>
      </c>
      <c r="T8" t="n">
        <v>35</v>
      </c>
      <c r="U8" s="2" t="inlineStr">
        <is>
          <t>Knärot
Dropptaggsvamp
Kattfotslav
Kortskaftad ärgspik
Orange taggsvamp
Blåmossa
Purpurmylia
Stor revmossa
Vedticka
Västlig hakmossa
Spillkråka</t>
        </is>
      </c>
      <c r="V8">
        <f>HYPERLINK("https://klasma.github.io/Logging_1438/artfynd/A 59601-2022 artfynd.xlsx", "A 59601-2022")</f>
        <v/>
      </c>
      <c r="W8">
        <f>HYPERLINK("https://klasma.github.io/Logging_1438/kartor/A 59601-2022 karta.png", "A 59601-2022")</f>
        <v/>
      </c>
      <c r="X8">
        <f>HYPERLINK("https://klasma.github.io/Logging_1438/knärot/A 59601-2022 karta knärot.png", "A 59601-2022")</f>
        <v/>
      </c>
      <c r="Y8">
        <f>HYPERLINK("https://klasma.github.io/Logging_1438/klagomål/A 59601-2022 FSC-klagomål.docx", "A 59601-2022")</f>
        <v/>
      </c>
      <c r="Z8">
        <f>HYPERLINK("https://klasma.github.io/Logging_1438/klagomålsmail/A 59601-2022 FSC-klagomål mail.docx", "A 59601-2022")</f>
        <v/>
      </c>
      <c r="AA8">
        <f>HYPERLINK("https://klasma.github.io/Logging_1438/tillsyn/A 59601-2022 tillsynsbegäran.docx", "A 59601-2022")</f>
        <v/>
      </c>
      <c r="AB8">
        <f>HYPERLINK("https://klasma.github.io/Logging_1438/tillsynsmail/A 59601-2022 tillsynsbegäran mail.docx", "A 59601-2022")</f>
        <v/>
      </c>
      <c r="AC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46217</v>
      </c>
      <c r="F9" t="inlineStr">
        <is>
          <t>VÄSTRA GÖTALANDS LÄN</t>
        </is>
      </c>
      <c r="G9" t="inlineStr">
        <is>
          <t>DALS-ED</t>
        </is>
      </c>
      <c r="I9" t="n">
        <v>10.6</v>
      </c>
      <c r="J9" t="n">
        <v>2</v>
      </c>
      <c r="K9" t="n">
        <v>4</v>
      </c>
      <c r="L9" t="n">
        <v>3</v>
      </c>
      <c r="M9" t="n">
        <v>1</v>
      </c>
      <c r="N9" t="n">
        <v>0</v>
      </c>
      <c r="O9" t="n">
        <v>0</v>
      </c>
      <c r="P9" t="n">
        <v>0</v>
      </c>
      <c r="Q9" t="n">
        <v>4</v>
      </c>
      <c r="R9" t="n">
        <v>1</v>
      </c>
      <c r="S9" t="n">
        <v>10</v>
      </c>
      <c r="T9" t="n">
        <v>12</v>
      </c>
      <c r="U9" s="2" t="inlineStr">
        <is>
          <t>Garnlav
Kandelabersvamp
Kattfotslav
Vedtrappmossa
Bronshjon
Kornknutmossa
Rödgul trumpetsvamp
Stor revmossa
Spillkråka
Revlummer</t>
        </is>
      </c>
      <c r="V9">
        <f>HYPERLINK("https://klasma.github.io/Logging_1438/artfynd/A 42944-2022 artfynd.xlsx", "A 42944-2022")</f>
        <v/>
      </c>
      <c r="W9">
        <f>HYPERLINK("https://klasma.github.io/Logging_1438/kartor/A 42944-2022 karta.png", "A 42944-2022")</f>
        <v/>
      </c>
      <c r="Y9">
        <f>HYPERLINK("https://klasma.github.io/Logging_1438/klagomål/A 42944-2022 FSC-klagomål.docx", "A 42944-2022")</f>
        <v/>
      </c>
      <c r="Z9">
        <f>HYPERLINK("https://klasma.github.io/Logging_1438/klagomålsmail/A 42944-2022 FSC-klagomål mail.docx", "A 42944-2022")</f>
        <v/>
      </c>
      <c r="AA9">
        <f>HYPERLINK("https://klasma.github.io/Logging_1438/tillsyn/A 42944-2022 tillsynsbegäran.docx", "A 42944-2022")</f>
        <v/>
      </c>
      <c r="AB9">
        <f>HYPERLINK("https://klasma.github.io/Logging_1438/tillsynsmail/A 42944-2022 tillsynsbegäran mail.docx", "A 42944-2022")</f>
        <v/>
      </c>
      <c r="AC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46217</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s="2" t="inlineStr">
        <is>
          <t>Garnlav
Dropptaggsvamp
Barkticka
Blåmossa
Bronshjon
Kornknutmossa
Rävticka
Stor revmossa
Vågbandad barkbock
Spillkråka</t>
        </is>
      </c>
      <c r="V10">
        <f>HYPERLINK("https://klasma.github.io/Logging_1438/artfynd/A 60410-2024 artfynd.xlsx", "A 60410-2024")</f>
        <v/>
      </c>
      <c r="W10">
        <f>HYPERLINK("https://klasma.github.io/Logging_1438/kartor/A 60410-2024 karta.png", "A 60410-2024")</f>
        <v/>
      </c>
      <c r="Y10">
        <f>HYPERLINK("https://klasma.github.io/Logging_1438/klagomål/A 60410-2024 FSC-klagomål.docx", "A 60410-2024")</f>
        <v/>
      </c>
      <c r="Z10">
        <f>HYPERLINK("https://klasma.github.io/Logging_1438/klagomålsmail/A 60410-2024 FSC-klagomål mail.docx", "A 60410-2024")</f>
        <v/>
      </c>
      <c r="AA10">
        <f>HYPERLINK("https://klasma.github.io/Logging_1438/tillsyn/A 60410-2024 tillsynsbegäran.docx", "A 60410-2024")</f>
        <v/>
      </c>
      <c r="AB10">
        <f>HYPERLINK("https://klasma.github.io/Logging_1438/tillsynsmail/A 60410-2024 tillsynsbegäran mail.docx", "A 60410-2024")</f>
        <v/>
      </c>
      <c r="AC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46217</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s="2" t="inlineStr">
        <is>
          <t>Garnlav
Apelsinticka
Dropptaggsvamp
Motaggsvamp
Tallticka
Tretåig hackspett
Vedskivlav
Jättesvampmal
Tjäder
Orre</t>
        </is>
      </c>
      <c r="V11">
        <f>HYPERLINK("https://klasma.github.io/Logging_1438/artfynd/A 23017-2025 artfynd.xlsx", "A 23017-2025")</f>
        <v/>
      </c>
      <c r="W11">
        <f>HYPERLINK("https://klasma.github.io/Logging_1438/kartor/A 23017-2025 karta.png", "A 23017-2025")</f>
        <v/>
      </c>
      <c r="Y11">
        <f>HYPERLINK("https://klasma.github.io/Logging_1438/klagomål/A 23017-2025 FSC-klagomål.docx", "A 23017-2025")</f>
        <v/>
      </c>
      <c r="Z11">
        <f>HYPERLINK("https://klasma.github.io/Logging_1438/klagomålsmail/A 23017-2025 FSC-klagomål mail.docx", "A 23017-2025")</f>
        <v/>
      </c>
      <c r="AA11">
        <f>HYPERLINK("https://klasma.github.io/Logging_1438/tillsyn/A 23017-2025 tillsynsbegäran.docx", "A 23017-2025")</f>
        <v/>
      </c>
      <c r="AB11">
        <f>HYPERLINK("https://klasma.github.io/Logging_1438/tillsynsmail/A 23017-2025 tillsynsbegäran mail.docx", "A 23017-2025")</f>
        <v/>
      </c>
      <c r="AC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46217</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s="2" t="inlineStr">
        <is>
          <t>Spricktaggsvamp
Gul taggsvamp
Dofttaggsvamp
Fjällig taggsvamp s.str.
Orange taggsvamp
Barkticka
Huvudlik svampklubba
Zontaggsvamp
Blåsippa</t>
        </is>
      </c>
      <c r="V12">
        <f>HYPERLINK("https://klasma.github.io/Logging_1438/artfynd/A 31268-2025 artfynd.xlsx", "A 31268-2025")</f>
        <v/>
      </c>
      <c r="W12">
        <f>HYPERLINK("https://klasma.github.io/Logging_1438/kartor/A 31268-2025 karta.png", "A 31268-2025")</f>
        <v/>
      </c>
      <c r="Y12">
        <f>HYPERLINK("https://klasma.github.io/Logging_1438/klagomål/A 31268-2025 FSC-klagomål.docx", "A 31268-2025")</f>
        <v/>
      </c>
      <c r="Z12">
        <f>HYPERLINK("https://klasma.github.io/Logging_1438/klagomålsmail/A 31268-2025 FSC-klagomål mail.docx", "A 31268-2025")</f>
        <v/>
      </c>
      <c r="AA12">
        <f>HYPERLINK("https://klasma.github.io/Logging_1438/tillsyn/A 31268-2025 tillsynsbegäran.docx", "A 31268-2025")</f>
        <v/>
      </c>
      <c r="AB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46217</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s="2" t="inlineStr">
        <is>
          <t>Dropptaggsvamp
Kattfotslav
Tretåig hackspett
Blåmossa
Stor revmossa
Västlig hakmossa
Spillkråka
Tjäder</t>
        </is>
      </c>
      <c r="V13">
        <f>HYPERLINK("https://klasma.github.io/Logging_1438/artfynd/A 43450-2022 artfynd.xlsx", "A 43450-2022")</f>
        <v/>
      </c>
      <c r="W13">
        <f>HYPERLINK("https://klasma.github.io/Logging_1438/kartor/A 43450-2022 karta.png", "A 43450-2022")</f>
        <v/>
      </c>
      <c r="Y13">
        <f>HYPERLINK("https://klasma.github.io/Logging_1438/klagomål/A 43450-2022 FSC-klagomål.docx", "A 43450-2022")</f>
        <v/>
      </c>
      <c r="Z13">
        <f>HYPERLINK("https://klasma.github.io/Logging_1438/klagomålsmail/A 43450-2022 FSC-klagomål mail.docx", "A 43450-2022")</f>
        <v/>
      </c>
      <c r="AA13">
        <f>HYPERLINK("https://klasma.github.io/Logging_1438/tillsyn/A 43450-2022 tillsynsbegäran.docx", "A 43450-2022")</f>
        <v/>
      </c>
      <c r="AB13">
        <f>HYPERLINK("https://klasma.github.io/Logging_1438/tillsynsmail/A 43450-2022 tillsynsbegäran mail.docx", "A 43450-2022")</f>
        <v/>
      </c>
      <c r="AC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46217</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s="2" t="inlineStr">
        <is>
          <t>Kådvaxskinn
Nordtagging
Tretåig hackspett
Barkticka
Brandticka
Jättesvampmal
Mindre märgborre</t>
        </is>
      </c>
      <c r="V14">
        <f>HYPERLINK("https://klasma.github.io/Logging_1438/artfynd/A 28013-2025 artfynd.xlsx", "A 28013-2025")</f>
        <v/>
      </c>
      <c r="W14">
        <f>HYPERLINK("https://klasma.github.io/Logging_1438/kartor/A 28013-2025 karta.png", "A 28013-2025")</f>
        <v/>
      </c>
      <c r="Y14">
        <f>HYPERLINK("https://klasma.github.io/Logging_1438/klagomål/A 28013-2025 FSC-klagomål.docx", "A 28013-2025")</f>
        <v/>
      </c>
      <c r="Z14">
        <f>HYPERLINK("https://klasma.github.io/Logging_1438/klagomålsmail/A 28013-2025 FSC-klagomål mail.docx", "A 28013-2025")</f>
        <v/>
      </c>
      <c r="AA14">
        <f>HYPERLINK("https://klasma.github.io/Logging_1438/tillsyn/A 28013-2025 tillsynsbegäran.docx", "A 28013-2025")</f>
        <v/>
      </c>
      <c r="AB14">
        <f>HYPERLINK("https://klasma.github.io/Logging_1438/tillsynsmail/A 28013-2025 tillsynsbegäran mail.docx", "A 28013-2025")</f>
        <v/>
      </c>
      <c r="AC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46217</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s="2" t="inlineStr">
        <is>
          <t>Dropptaggsvamp
Barkticka
Blåmossa
Kornknutmossa
Mindre märgborre
Rävticka
Spillkråka</t>
        </is>
      </c>
      <c r="V15">
        <f>HYPERLINK("https://klasma.github.io/Logging_1438/artfynd/A 18326-2024 artfynd.xlsx", "A 18326-2024")</f>
        <v/>
      </c>
      <c r="W15">
        <f>HYPERLINK("https://klasma.github.io/Logging_1438/kartor/A 18326-2024 karta.png", "A 18326-2024")</f>
        <v/>
      </c>
      <c r="Y15">
        <f>HYPERLINK("https://klasma.github.io/Logging_1438/klagomål/A 18326-2024 FSC-klagomål.docx", "A 18326-2024")</f>
        <v/>
      </c>
      <c r="Z15">
        <f>HYPERLINK("https://klasma.github.io/Logging_1438/klagomålsmail/A 18326-2024 FSC-klagomål mail.docx", "A 18326-2024")</f>
        <v/>
      </c>
      <c r="AA15">
        <f>HYPERLINK("https://klasma.github.io/Logging_1438/tillsyn/A 18326-2024 tillsynsbegäran.docx", "A 18326-2024")</f>
        <v/>
      </c>
      <c r="AB15">
        <f>HYPERLINK("https://klasma.github.io/Logging_1438/tillsynsmail/A 18326-2024 tillsynsbegäran mail.docx", "A 18326-2024")</f>
        <v/>
      </c>
      <c r="AC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46217</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s="2" t="inlineStr">
        <is>
          <t>Knärot
Kattfotslav
Tretåig hackspett
Bronshjon
Spillkråka
Tjäder</t>
        </is>
      </c>
      <c r="V16">
        <f>HYPERLINK("https://klasma.github.io/Logging_1438/artfynd/A 48654-2021 artfynd.xlsx", "A 48654-2021")</f>
        <v/>
      </c>
      <c r="W16">
        <f>HYPERLINK("https://klasma.github.io/Logging_1438/kartor/A 48654-2021 karta.png", "A 48654-2021")</f>
        <v/>
      </c>
      <c r="X16">
        <f>HYPERLINK("https://klasma.github.io/Logging_1438/knärot/A 48654-2021 karta knärot.png", "A 48654-2021")</f>
        <v/>
      </c>
      <c r="Y16">
        <f>HYPERLINK("https://klasma.github.io/Logging_1438/klagomål/A 48654-2021 FSC-klagomål.docx", "A 48654-2021")</f>
        <v/>
      </c>
      <c r="Z16">
        <f>HYPERLINK("https://klasma.github.io/Logging_1438/klagomålsmail/A 48654-2021 FSC-klagomål mail.docx", "A 48654-2021")</f>
        <v/>
      </c>
      <c r="AA16">
        <f>HYPERLINK("https://klasma.github.io/Logging_1438/tillsyn/A 48654-2021 tillsynsbegäran.docx", "A 48654-2021")</f>
        <v/>
      </c>
      <c r="AB16">
        <f>HYPERLINK("https://klasma.github.io/Logging_1438/tillsynsmail/A 48654-2021 tillsynsbegäran mail.docx", "A 48654-2021")</f>
        <v/>
      </c>
      <c r="AC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46217</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s="2" t="inlineStr">
        <is>
          <t>Västlig njurlav
Grynig filtlav
Skogsklocka
Korallblylav
Underviol
Blåsippa</t>
        </is>
      </c>
      <c r="V17">
        <f>HYPERLINK("https://klasma.github.io/Logging_1438/artfynd/A 59931-2021 artfynd.xlsx", "A 59931-2021")</f>
        <v/>
      </c>
      <c r="W17">
        <f>HYPERLINK("https://klasma.github.io/Logging_1438/kartor/A 59931-2021 karta.png", "A 59931-2021")</f>
        <v/>
      </c>
      <c r="Y17">
        <f>HYPERLINK("https://klasma.github.io/Logging_1438/klagomål/A 59931-2021 FSC-klagomål.docx", "A 59931-2021")</f>
        <v/>
      </c>
      <c r="Z17">
        <f>HYPERLINK("https://klasma.github.io/Logging_1438/klagomålsmail/A 59931-2021 FSC-klagomål mail.docx", "A 59931-2021")</f>
        <v/>
      </c>
      <c r="AA17">
        <f>HYPERLINK("https://klasma.github.io/Logging_1438/tillsyn/A 59931-2021 tillsynsbegäran.docx", "A 59931-2021")</f>
        <v/>
      </c>
      <c r="AB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46217</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s="2" t="inlineStr">
        <is>
          <t>Brunpudrad nållav
Vedtrappmossa
Bronshjon
Thomsons trägnagare
Vedticka
Vågbandad barkbock</t>
        </is>
      </c>
      <c r="V18">
        <f>HYPERLINK("https://klasma.github.io/Logging_1438/artfynd/A 17502-2024 artfynd.xlsx", "A 17502-2024")</f>
        <v/>
      </c>
      <c r="W18">
        <f>HYPERLINK("https://klasma.github.io/Logging_1438/kartor/A 17502-2024 karta.png", "A 17502-2024")</f>
        <v/>
      </c>
      <c r="Y18">
        <f>HYPERLINK("https://klasma.github.io/Logging_1438/klagomål/A 17502-2024 FSC-klagomål.docx", "A 17502-2024")</f>
        <v/>
      </c>
      <c r="Z18">
        <f>HYPERLINK("https://klasma.github.io/Logging_1438/klagomålsmail/A 17502-2024 FSC-klagomål mail.docx", "A 17502-2024")</f>
        <v/>
      </c>
      <c r="AA18">
        <f>HYPERLINK("https://klasma.github.io/Logging_1438/tillsyn/A 17502-2024 tillsynsbegäran.docx", "A 17502-2024")</f>
        <v/>
      </c>
      <c r="AB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46217</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s="2" t="inlineStr">
        <is>
          <t>Raggbock
Dropptaggsvamp
Talltagel
Vedskivlav
Vedtrappmossa
Bronshjon</t>
        </is>
      </c>
      <c r="V19">
        <f>HYPERLINK("https://klasma.github.io/Logging_1438/artfynd/A 22922-2026 artfynd.xlsx", "A 22922-2026")</f>
        <v/>
      </c>
      <c r="W19">
        <f>HYPERLINK("https://klasma.github.io/Logging_1438/kartor/A 22922-2026 karta.png", "A 22922-2026")</f>
        <v/>
      </c>
      <c r="Y19">
        <f>HYPERLINK("https://klasma.github.io/Logging_1438/klagomål/A 22922-2026 FSC-klagomål.docx", "A 22922-2026")</f>
        <v/>
      </c>
      <c r="Z19">
        <f>HYPERLINK("https://klasma.github.io/Logging_1438/klagomålsmail/A 22922-2026 FSC-klagomål mail.docx", "A 22922-2026")</f>
        <v/>
      </c>
      <c r="AA19">
        <f>HYPERLINK("https://klasma.github.io/Logging_1438/tillsyn/A 22922-2026 tillsynsbegäran.docx", "A 22922-2026")</f>
        <v/>
      </c>
      <c r="AB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46217</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s="2" t="inlineStr">
        <is>
          <t>Kattfotslav
Vedtrappmossa
Kornknutmossa
Västlig hakmossa
Zontaggsvamp
Spillkråka</t>
        </is>
      </c>
      <c r="V20">
        <f>HYPERLINK("https://klasma.github.io/Logging_1438/artfynd/A 44363-2023 artfynd.xlsx", "A 44363-2023")</f>
        <v/>
      </c>
      <c r="W20">
        <f>HYPERLINK("https://klasma.github.io/Logging_1438/kartor/A 44363-2023 karta.png", "A 44363-2023")</f>
        <v/>
      </c>
      <c r="Y20">
        <f>HYPERLINK("https://klasma.github.io/Logging_1438/klagomål/A 44363-2023 FSC-klagomål.docx", "A 44363-2023")</f>
        <v/>
      </c>
      <c r="Z20">
        <f>HYPERLINK("https://klasma.github.io/Logging_1438/klagomålsmail/A 44363-2023 FSC-klagomål mail.docx", "A 44363-2023")</f>
        <v/>
      </c>
      <c r="AA20">
        <f>HYPERLINK("https://klasma.github.io/Logging_1438/tillsyn/A 44363-2023 tillsynsbegäran.docx", "A 44363-2023")</f>
        <v/>
      </c>
      <c r="AB20">
        <f>HYPERLINK("https://klasma.github.io/Logging_1438/tillsynsmail/A 44363-2023 tillsynsbegäran mail.docx", "A 44363-2023")</f>
        <v/>
      </c>
      <c r="AC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46217</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s="2" t="inlineStr">
        <is>
          <t>Dropptaggsvamp
Nordtagging
Björksplintborre
Mindre märgborre
Tjäder</t>
        </is>
      </c>
      <c r="V21">
        <f>HYPERLINK("https://klasma.github.io/Logging_1438/artfynd/A 61742-2023 artfynd.xlsx", "A 61742-2023")</f>
        <v/>
      </c>
      <c r="W21">
        <f>HYPERLINK("https://klasma.github.io/Logging_1438/kartor/A 61742-2023 karta.png", "A 61742-2023")</f>
        <v/>
      </c>
      <c r="Y21">
        <f>HYPERLINK("https://klasma.github.io/Logging_1438/klagomål/A 61742-2023 FSC-klagomål.docx", "A 61742-2023")</f>
        <v/>
      </c>
      <c r="Z21">
        <f>HYPERLINK("https://klasma.github.io/Logging_1438/klagomålsmail/A 61742-2023 FSC-klagomål mail.docx", "A 61742-2023")</f>
        <v/>
      </c>
      <c r="AA21">
        <f>HYPERLINK("https://klasma.github.io/Logging_1438/tillsyn/A 61742-2023 tillsynsbegäran.docx", "A 61742-2023")</f>
        <v/>
      </c>
      <c r="AB21">
        <f>HYPERLINK("https://klasma.github.io/Logging_1438/tillsynsmail/A 61742-2023 tillsynsbegäran mail.docx", "A 61742-2023")</f>
        <v/>
      </c>
      <c r="AC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46217</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s="2" t="inlineStr">
        <is>
          <t>Talltita
Västlig hakmossa
Lopplummer (aggregat)</t>
        </is>
      </c>
      <c r="V22">
        <f>HYPERLINK("https://klasma.github.io/Logging_1438/artfynd/A 4645-2026 artfynd.xlsx", "A 4645-2026")</f>
        <v/>
      </c>
      <c r="W22">
        <f>HYPERLINK("https://klasma.github.io/Logging_1438/kartor/A 4645-2026 karta.png", "A 4645-2026")</f>
        <v/>
      </c>
      <c r="Y22">
        <f>HYPERLINK("https://klasma.github.io/Logging_1438/klagomål/A 4645-2026 FSC-klagomål.docx", "A 4645-2026")</f>
        <v/>
      </c>
      <c r="Z22">
        <f>HYPERLINK("https://klasma.github.io/Logging_1438/klagomålsmail/A 4645-2026 FSC-klagomål mail.docx", "A 4645-2026")</f>
        <v/>
      </c>
      <c r="AA22">
        <f>HYPERLINK("https://klasma.github.io/Logging_1438/tillsyn/A 4645-2026 tillsynsbegäran.docx", "A 4645-2026")</f>
        <v/>
      </c>
      <c r="AB22">
        <f>HYPERLINK("https://klasma.github.io/Logging_1438/tillsynsmail/A 4645-2026 tillsynsbegäran mail.docx", "A 4645-2026")</f>
        <v/>
      </c>
      <c r="AC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46217</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s="2" t="inlineStr">
        <is>
          <t>Garnlav
Dropptaggsvamp
Kortskaftad ärgspik</t>
        </is>
      </c>
      <c r="V23">
        <f>HYPERLINK("https://klasma.github.io/Logging_1438/artfynd/A 22939-2026 artfynd.xlsx", "A 22939-2026")</f>
        <v/>
      </c>
      <c r="W23">
        <f>HYPERLINK("https://klasma.github.io/Logging_1438/kartor/A 22939-2026 karta.png", "A 22939-2026")</f>
        <v/>
      </c>
      <c r="Y23">
        <f>HYPERLINK("https://klasma.github.io/Logging_1438/klagomål/A 22939-2026 FSC-klagomål.docx", "A 22939-2026")</f>
        <v/>
      </c>
      <c r="Z23">
        <f>HYPERLINK("https://klasma.github.io/Logging_1438/klagomålsmail/A 22939-2026 FSC-klagomål mail.docx", "A 22939-2026")</f>
        <v/>
      </c>
      <c r="AA23">
        <f>HYPERLINK("https://klasma.github.io/Logging_1438/tillsyn/A 22939-2026 tillsynsbegäran.docx", "A 22939-2026")</f>
        <v/>
      </c>
      <c r="AB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46217</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s="2" t="inlineStr">
        <is>
          <t>Garnlav
Sädesärla
Buskskvätta</t>
        </is>
      </c>
      <c r="V24">
        <f>HYPERLINK("https://klasma.github.io/Logging_1438/artfynd/A 36436-2023 artfynd.xlsx", "A 36436-2023")</f>
        <v/>
      </c>
      <c r="W24">
        <f>HYPERLINK("https://klasma.github.io/Logging_1438/kartor/A 36436-2023 karta.png", "A 36436-2023")</f>
        <v/>
      </c>
      <c r="X24">
        <f>HYPERLINK("https://klasma.github.io/Logging_1438/knärot/A 36436-2023 karta knärot.png", "A 36436-2023")</f>
        <v/>
      </c>
      <c r="Y24">
        <f>HYPERLINK("https://klasma.github.io/Logging_1438/klagomål/A 36436-2023 FSC-klagomål.docx", "A 36436-2023")</f>
        <v/>
      </c>
      <c r="Z24">
        <f>HYPERLINK("https://klasma.github.io/Logging_1438/klagomålsmail/A 36436-2023 FSC-klagomål mail.docx", "A 36436-2023")</f>
        <v/>
      </c>
      <c r="AA24">
        <f>HYPERLINK("https://klasma.github.io/Logging_1438/tillsyn/A 36436-2023 tillsynsbegäran.docx", "A 36436-2023")</f>
        <v/>
      </c>
      <c r="AB24">
        <f>HYPERLINK("https://klasma.github.io/Logging_1438/tillsynsmail/A 36436-2023 tillsynsbegäran mail.docx", "A 36436-2023")</f>
        <v/>
      </c>
      <c r="AC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46217</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s="2" t="inlineStr">
        <is>
          <t>Tretåig hackspett
Korallblylav
Spillkråka</t>
        </is>
      </c>
      <c r="V25">
        <f>HYPERLINK("https://klasma.github.io/Logging_1438/artfynd/A 18328-2024 artfynd.xlsx", "A 18328-2024")</f>
        <v/>
      </c>
      <c r="W25">
        <f>HYPERLINK("https://klasma.github.io/Logging_1438/kartor/A 18328-2024 karta.png", "A 18328-2024")</f>
        <v/>
      </c>
      <c r="Y25">
        <f>HYPERLINK("https://klasma.github.io/Logging_1438/klagomål/A 18328-2024 FSC-klagomål.docx", "A 18328-2024")</f>
        <v/>
      </c>
      <c r="Z25">
        <f>HYPERLINK("https://klasma.github.io/Logging_1438/klagomålsmail/A 18328-2024 FSC-klagomål mail.docx", "A 18328-2024")</f>
        <v/>
      </c>
      <c r="AA25">
        <f>HYPERLINK("https://klasma.github.io/Logging_1438/tillsyn/A 18328-2024 tillsynsbegäran.docx", "A 18328-2024")</f>
        <v/>
      </c>
      <c r="AB25">
        <f>HYPERLINK("https://klasma.github.io/Logging_1438/tillsynsmail/A 18328-2024 tillsynsbegäran mail.docx", "A 18328-2024")</f>
        <v/>
      </c>
      <c r="AC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46217</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s="2" t="inlineStr">
        <is>
          <t>Tretåig hackspett
Spillkråka</t>
        </is>
      </c>
      <c r="V26">
        <f>HYPERLINK("https://klasma.github.io/Logging_1438/artfynd/A 47665-2024 artfynd.xlsx", "A 47665-2024")</f>
        <v/>
      </c>
      <c r="W26">
        <f>HYPERLINK("https://klasma.github.io/Logging_1438/kartor/A 47665-2024 karta.png", "A 47665-2024")</f>
        <v/>
      </c>
      <c r="Y26">
        <f>HYPERLINK("https://klasma.github.io/Logging_1438/klagomål/A 47665-2024 FSC-klagomål.docx", "A 47665-2024")</f>
        <v/>
      </c>
      <c r="Z26">
        <f>HYPERLINK("https://klasma.github.io/Logging_1438/klagomålsmail/A 47665-2024 FSC-klagomål mail.docx", "A 47665-2024")</f>
        <v/>
      </c>
      <c r="AA26">
        <f>HYPERLINK("https://klasma.github.io/Logging_1438/tillsyn/A 47665-2024 tillsynsbegäran.docx", "A 47665-2024")</f>
        <v/>
      </c>
      <c r="AB26">
        <f>HYPERLINK("https://klasma.github.io/Logging_1438/tillsynsmail/A 47665-2024 tillsynsbegäran mail.docx", "A 47665-2024")</f>
        <v/>
      </c>
      <c r="AC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46217</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s="2" t="inlineStr">
        <is>
          <t>Motaggsvamp
Älg</t>
        </is>
      </c>
      <c r="V27">
        <f>HYPERLINK("https://klasma.github.io/Logging_1438/artfynd/A 43589-2024 artfynd.xlsx", "A 43589-2024")</f>
        <v/>
      </c>
      <c r="W27">
        <f>HYPERLINK("https://klasma.github.io/Logging_1438/kartor/A 43589-2024 karta.png", "A 43589-2024")</f>
        <v/>
      </c>
      <c r="Y27">
        <f>HYPERLINK("https://klasma.github.io/Logging_1438/klagomål/A 43589-2024 FSC-klagomål.docx", "A 43589-2024")</f>
        <v/>
      </c>
      <c r="Z27">
        <f>HYPERLINK("https://klasma.github.io/Logging_1438/klagomålsmail/A 43589-2024 FSC-klagomål mail.docx", "A 43589-2024")</f>
        <v/>
      </c>
      <c r="AA27">
        <f>HYPERLINK("https://klasma.github.io/Logging_1438/tillsyn/A 43589-2024 tillsynsbegäran.docx", "A 43589-2024")</f>
        <v/>
      </c>
      <c r="AB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46217</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s="2" t="inlineStr">
        <is>
          <t>Kattfotslav
Kolflarnlav</t>
        </is>
      </c>
      <c r="V28">
        <f>HYPERLINK("https://klasma.github.io/Logging_1438/artfynd/A 6454-2022 artfynd.xlsx", "A 6454-2022")</f>
        <v/>
      </c>
      <c r="W28">
        <f>HYPERLINK("https://klasma.github.io/Logging_1438/kartor/A 6454-2022 karta.png", "A 6454-2022")</f>
        <v/>
      </c>
      <c r="Y28">
        <f>HYPERLINK("https://klasma.github.io/Logging_1438/klagomål/A 6454-2022 FSC-klagomål.docx", "A 6454-2022")</f>
        <v/>
      </c>
      <c r="Z28">
        <f>HYPERLINK("https://klasma.github.io/Logging_1438/klagomålsmail/A 6454-2022 FSC-klagomål mail.docx", "A 6454-2022")</f>
        <v/>
      </c>
      <c r="AA28">
        <f>HYPERLINK("https://klasma.github.io/Logging_1438/tillsyn/A 6454-2022 tillsynsbegäran.docx", "A 6454-2022")</f>
        <v/>
      </c>
      <c r="AB28">
        <f>HYPERLINK("https://klasma.github.io/Logging_1438/tillsynsmail/A 6454-2022 tillsynsbegäran mail.docx", "A 6454-2022")</f>
        <v/>
      </c>
    </row>
    <row r="29" ht="15" customHeight="1">
      <c r="A29" t="inlineStr">
        <is>
          <t>A 49010-2025</t>
        </is>
      </c>
      <c r="B29" t="inlineStr">
        <is>
          <t>avverkningsanmälan</t>
        </is>
      </c>
      <c r="C29" t="inlineStr">
        <is>
          <t>Föryngringsavverkning</t>
        </is>
      </c>
      <c r="D29" s="1" t="n">
        <v>45937</v>
      </c>
      <c r="E29" s="1" t="n">
        <v>46217</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s="2" t="inlineStr">
        <is>
          <t>Knärot
Spillkråka</t>
        </is>
      </c>
      <c r="V29">
        <f>HYPERLINK("https://klasma.github.io/Logging_1438/artfynd/A 49010-2025 artfynd.xlsx", "A 49010-2025")</f>
        <v/>
      </c>
      <c r="W29">
        <f>HYPERLINK("https://klasma.github.io/Logging_1438/kartor/A 49010-2025 karta.png", "A 49010-2025")</f>
        <v/>
      </c>
      <c r="X29">
        <f>HYPERLINK("https://klasma.github.io/Logging_1438/knärot/A 49010-2025 karta knärot.png", "A 49010-2025")</f>
        <v/>
      </c>
      <c r="Y29">
        <f>HYPERLINK("https://klasma.github.io/Logging_1438/klagomål/A 49010-2025 FSC-klagomål.docx", "A 49010-2025")</f>
        <v/>
      </c>
      <c r="Z29">
        <f>HYPERLINK("https://klasma.github.io/Logging_1438/klagomålsmail/A 49010-2025 FSC-klagomål mail.docx", "A 49010-2025")</f>
        <v/>
      </c>
      <c r="AA29">
        <f>HYPERLINK("https://klasma.github.io/Logging_1438/tillsyn/A 49010-2025 tillsynsbegäran.docx", "A 49010-2025")</f>
        <v/>
      </c>
      <c r="AB29">
        <f>HYPERLINK("https://klasma.github.io/Logging_1438/tillsynsmail/A 49010-2025 tillsynsbegäran mail.docx", "A 49010-2025")</f>
        <v/>
      </c>
      <c r="AC29">
        <f>HYPERLINK("https://klasma.github.io/Logging_1438/fåglar/A 49010-2025 prioriterade fågelarter.docx", "A 49010-2025")</f>
        <v/>
      </c>
    </row>
    <row r="30" ht="15" customHeight="1">
      <c r="A30" t="inlineStr">
        <is>
          <t>A 64717-2023</t>
        </is>
      </c>
      <c r="B30" t="inlineStr">
        <is>
          <t>avverkningsanmälan</t>
        </is>
      </c>
      <c r="C30" t="inlineStr">
        <is>
          <t>Föryngringsavverkning</t>
        </is>
      </c>
      <c r="D30" s="1" t="n">
        <v>45281</v>
      </c>
      <c r="E30" s="1" t="n">
        <v>46217</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s="2" t="inlineStr">
        <is>
          <t>Rävticka
Spillkråka</t>
        </is>
      </c>
      <c r="V30">
        <f>HYPERLINK("https://klasma.github.io/Logging_1438/artfynd/A 64717-2023 artfynd.xlsx", "A 64717-2023")</f>
        <v/>
      </c>
      <c r="W30">
        <f>HYPERLINK("https://klasma.github.io/Logging_1438/kartor/A 64717-2023 karta.png", "A 64717-2023")</f>
        <v/>
      </c>
      <c r="Y30">
        <f>HYPERLINK("https://klasma.github.io/Logging_1438/klagomål/A 64717-2023 FSC-klagomål.docx", "A 64717-2023")</f>
        <v/>
      </c>
      <c r="Z30">
        <f>HYPERLINK("https://klasma.github.io/Logging_1438/klagomålsmail/A 64717-2023 FSC-klagomål mail.docx", "A 64717-2023")</f>
        <v/>
      </c>
      <c r="AA30">
        <f>HYPERLINK("https://klasma.github.io/Logging_1438/tillsyn/A 64717-2023 tillsynsbegäran.docx", "A 64717-2023")</f>
        <v/>
      </c>
      <c r="AB30">
        <f>HYPERLINK("https://klasma.github.io/Logging_1438/tillsynsmail/A 64717-2023 tillsynsbegäran mail.docx", "A 64717-2023")</f>
        <v/>
      </c>
      <c r="AC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46217</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s="2" t="inlineStr">
        <is>
          <t>Spillkråka
Revlummer</t>
        </is>
      </c>
      <c r="V31">
        <f>HYPERLINK("https://klasma.github.io/Logging_1438/artfynd/A 43908-2024 artfynd.xlsx", "A 43908-2024")</f>
        <v/>
      </c>
      <c r="W31">
        <f>HYPERLINK("https://klasma.github.io/Logging_1438/kartor/A 43908-2024 karta.png", "A 43908-2024")</f>
        <v/>
      </c>
      <c r="Y31">
        <f>HYPERLINK("https://klasma.github.io/Logging_1438/klagomål/A 43908-2024 FSC-klagomål.docx", "A 43908-2024")</f>
        <v/>
      </c>
      <c r="Z31">
        <f>HYPERLINK("https://klasma.github.io/Logging_1438/klagomålsmail/A 43908-2024 FSC-klagomål mail.docx", "A 43908-2024")</f>
        <v/>
      </c>
      <c r="AA31">
        <f>HYPERLINK("https://klasma.github.io/Logging_1438/tillsyn/A 43908-2024 tillsynsbegäran.docx", "A 43908-2024")</f>
        <v/>
      </c>
      <c r="AB31">
        <f>HYPERLINK("https://klasma.github.io/Logging_1438/tillsynsmail/A 43908-2024 tillsynsbegäran mail.docx", "A 43908-2024")</f>
        <v/>
      </c>
      <c r="AC31">
        <f>HYPERLINK("https://klasma.github.io/Logging_1438/fåglar/A 43908-2024 prioriterade fågelarter.docx", "A 43908-2024")</f>
        <v/>
      </c>
    </row>
    <row r="32" ht="15" customHeight="1">
      <c r="A32" t="inlineStr">
        <is>
          <t>A 23862-2023</t>
        </is>
      </c>
      <c r="B32" t="inlineStr">
        <is>
          <t>avverkningsanmälan</t>
        </is>
      </c>
      <c r="C32" t="inlineStr">
        <is>
          <t>Avverkning för annat ändamål</t>
        </is>
      </c>
      <c r="D32" s="1" t="n">
        <v>45075</v>
      </c>
      <c r="E32" s="1" t="n">
        <v>46217</v>
      </c>
      <c r="F32" t="inlineStr">
        <is>
          <t>VÄSTRA GÖTALANDS LÄN</t>
        </is>
      </c>
      <c r="G32" t="inlineStr">
        <is>
          <t>DALS-ED</t>
        </is>
      </c>
      <c r="I32" t="n">
        <v>1.2</v>
      </c>
      <c r="J32" t="n">
        <v>0</v>
      </c>
      <c r="K32" t="n">
        <v>0</v>
      </c>
      <c r="L32" t="n">
        <v>1</v>
      </c>
      <c r="M32" t="n">
        <v>0</v>
      </c>
      <c r="N32" t="n">
        <v>0</v>
      </c>
      <c r="O32" t="n">
        <v>0</v>
      </c>
      <c r="P32" t="n">
        <v>0</v>
      </c>
      <c r="Q32" t="n">
        <v>1</v>
      </c>
      <c r="R32" t="n">
        <v>0</v>
      </c>
      <c r="S32" t="n">
        <v>1</v>
      </c>
      <c r="T32" t="n">
        <v>1</v>
      </c>
      <c r="U32" s="2" t="inlineStr">
        <is>
          <t>Jungfrulin</t>
        </is>
      </c>
      <c r="V32">
        <f>HYPERLINK("https://klasma.github.io/Logging_1438/artfynd/A 23862-2023 artfynd.xlsx", "A 23862-2023")</f>
        <v/>
      </c>
      <c r="W32">
        <f>HYPERLINK("https://klasma.github.io/Logging_1438/kartor/A 23862-2023 karta.png", "A 23862-2023")</f>
        <v/>
      </c>
      <c r="Y32">
        <f>HYPERLINK("https://klasma.github.io/Logging_1438/klagomål/A 23862-2023 FSC-klagomål.docx", "A 23862-2023")</f>
        <v/>
      </c>
      <c r="Z32">
        <f>HYPERLINK("https://klasma.github.io/Logging_1438/klagomålsmail/A 23862-2023 FSC-klagomål mail.docx", "A 23862-2023")</f>
        <v/>
      </c>
      <c r="AA32">
        <f>HYPERLINK("https://klasma.github.io/Logging_1438/tillsyn/A 23862-2023 tillsynsbegäran.docx", "A 23862-2023")</f>
        <v/>
      </c>
      <c r="AB32">
        <f>HYPERLINK("https://klasma.github.io/Logging_1438/tillsynsmail/A 23862-2023 tillsynsbegäran mail.docx", "A 23862-2023")</f>
        <v/>
      </c>
    </row>
    <row r="33" ht="15" customHeight="1">
      <c r="A33" t="inlineStr">
        <is>
          <t>A 47311-2025</t>
        </is>
      </c>
      <c r="B33" t="inlineStr">
        <is>
          <t>avverkningsanmälan</t>
        </is>
      </c>
      <c r="C33" t="inlineStr">
        <is>
          <t>Föryngringsavverkning</t>
        </is>
      </c>
      <c r="D33" s="1" t="n">
        <v>45930</v>
      </c>
      <c r="E33" s="1" t="n">
        <v>46217</v>
      </c>
      <c r="F33" t="inlineStr">
        <is>
          <t>VÄSTRA GÖTALANDS LÄN</t>
        </is>
      </c>
      <c r="G33" t="inlineStr">
        <is>
          <t>DALS-ED</t>
        </is>
      </c>
      <c r="I33" t="n">
        <v>1.3</v>
      </c>
      <c r="J33" t="n">
        <v>0</v>
      </c>
      <c r="K33" t="n">
        <v>0</v>
      </c>
      <c r="L33" t="n">
        <v>0</v>
      </c>
      <c r="M33" t="n">
        <v>0</v>
      </c>
      <c r="N33" t="n">
        <v>1</v>
      </c>
      <c r="O33" t="n">
        <v>0</v>
      </c>
      <c r="P33" t="n">
        <v>0</v>
      </c>
      <c r="Q33" t="n">
        <v>1</v>
      </c>
      <c r="R33" t="n">
        <v>1</v>
      </c>
      <c r="S33" t="n">
        <v>1</v>
      </c>
      <c r="T33" t="n">
        <v>1</v>
      </c>
      <c r="U33" s="2" t="inlineStr">
        <is>
          <t>Kantlök</t>
        </is>
      </c>
      <c r="V33">
        <f>HYPERLINK("https://klasma.github.io/Logging_1438/artfynd/A 47311-2025 artfynd.xlsx", "A 47311-2025")</f>
        <v/>
      </c>
      <c r="W33">
        <f>HYPERLINK("https://klasma.github.io/Logging_1438/kartor/A 47311-2025 karta.png", "A 47311-2025")</f>
        <v/>
      </c>
      <c r="Y33">
        <f>HYPERLINK("https://klasma.github.io/Logging_1438/klagomål/A 47311-2025 FSC-klagomål.docx", "A 47311-2025")</f>
        <v/>
      </c>
      <c r="Z33">
        <f>HYPERLINK("https://klasma.github.io/Logging_1438/klagomålsmail/A 47311-2025 FSC-klagomål mail.docx", "A 47311-2025")</f>
        <v/>
      </c>
      <c r="AA33">
        <f>HYPERLINK("https://klasma.github.io/Logging_1438/tillsyn/A 47311-2025 tillsynsbegäran.docx", "A 47311-2025")</f>
        <v/>
      </c>
      <c r="AB33">
        <f>HYPERLINK("https://klasma.github.io/Logging_1438/tillsynsmail/A 47311-2025 tillsynsbegäran mail.docx", "A 47311-2025")</f>
        <v/>
      </c>
    </row>
    <row r="34" ht="15" customHeight="1">
      <c r="A34" t="inlineStr">
        <is>
          <t>A 27878-2024</t>
        </is>
      </c>
      <c r="B34" t="inlineStr">
        <is>
          <t>avverkningsanmälan</t>
        </is>
      </c>
      <c r="C34" t="inlineStr">
        <is>
          <t>Föryngringsavverkning</t>
        </is>
      </c>
      <c r="D34" s="1" t="n">
        <v>45475</v>
      </c>
      <c r="E34" s="1" t="n">
        <v>46217</v>
      </c>
      <c r="F34" t="inlineStr">
        <is>
          <t>VÄSTRA GÖTALANDS LÄN</t>
        </is>
      </c>
      <c r="G34" t="inlineStr">
        <is>
          <t>DALS-ED</t>
        </is>
      </c>
      <c r="I34" t="n">
        <v>4.2</v>
      </c>
      <c r="J34" t="n">
        <v>0</v>
      </c>
      <c r="K34" t="n">
        <v>0</v>
      </c>
      <c r="L34" t="n">
        <v>1</v>
      </c>
      <c r="M34" t="n">
        <v>0</v>
      </c>
      <c r="N34" t="n">
        <v>0</v>
      </c>
      <c r="O34" t="n">
        <v>0</v>
      </c>
      <c r="P34" t="n">
        <v>0</v>
      </c>
      <c r="Q34" t="n">
        <v>1</v>
      </c>
      <c r="R34" t="n">
        <v>0</v>
      </c>
      <c r="S34" t="n">
        <v>1</v>
      </c>
      <c r="T34" t="n">
        <v>1</v>
      </c>
      <c r="U34" s="2" t="inlineStr">
        <is>
          <t>Dropptaggsvamp</t>
        </is>
      </c>
      <c r="V34">
        <f>HYPERLINK("https://klasma.github.io/Logging_1438/artfynd/A 27878-2024 artfynd.xlsx", "A 27878-2024")</f>
        <v/>
      </c>
      <c r="W34">
        <f>HYPERLINK("https://klasma.github.io/Logging_1438/kartor/A 27878-2024 karta.png", "A 27878-2024")</f>
        <v/>
      </c>
      <c r="Y34">
        <f>HYPERLINK("https://klasma.github.io/Logging_1438/klagomål/A 27878-2024 FSC-klagomål.docx", "A 27878-2024")</f>
        <v/>
      </c>
      <c r="Z34">
        <f>HYPERLINK("https://klasma.github.io/Logging_1438/klagomålsmail/A 27878-2024 FSC-klagomål mail.docx", "A 27878-2024")</f>
        <v/>
      </c>
      <c r="AA34">
        <f>HYPERLINK("https://klasma.github.io/Logging_1438/tillsyn/A 27878-2024 tillsynsbegäran.docx", "A 27878-2024")</f>
        <v/>
      </c>
      <c r="AB34">
        <f>HYPERLINK("https://klasma.github.io/Logging_1438/tillsynsmail/A 27878-2024 tillsynsbegäran mail.docx", "A 27878-2024")</f>
        <v/>
      </c>
    </row>
    <row r="35" ht="15" customHeight="1">
      <c r="A35" t="inlineStr">
        <is>
          <t>A 14793-2023</t>
        </is>
      </c>
      <c r="B35" t="inlineStr">
        <is>
          <t>avverkningsanmälan</t>
        </is>
      </c>
      <c r="C35" t="inlineStr">
        <is>
          <t>Föryngringsavverkning</t>
        </is>
      </c>
      <c r="D35" s="1" t="n">
        <v>45014</v>
      </c>
      <c r="E35" s="1" t="n">
        <v>46217</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s="2" t="inlineStr">
        <is>
          <t>Slåttergubbe</t>
        </is>
      </c>
      <c r="V35">
        <f>HYPERLINK("https://klasma.github.io/Logging_1438/artfynd/A 14793-2023 artfynd.xlsx", "A 14793-2023")</f>
        <v/>
      </c>
      <c r="W35">
        <f>HYPERLINK("https://klasma.github.io/Logging_1438/kartor/A 14793-2023 karta.png", "A 14793-2023")</f>
        <v/>
      </c>
      <c r="Y35">
        <f>HYPERLINK("https://klasma.github.io/Logging_1438/klagomål/A 14793-2023 FSC-klagomål.docx", "A 14793-2023")</f>
        <v/>
      </c>
      <c r="Z35">
        <f>HYPERLINK("https://klasma.github.io/Logging_1438/klagomålsmail/A 14793-2023 FSC-klagomål mail.docx", "A 14793-2023")</f>
        <v/>
      </c>
      <c r="AA35">
        <f>HYPERLINK("https://klasma.github.io/Logging_1438/tillsyn/A 14793-2023 tillsynsbegäran.docx", "A 14793-2023")</f>
        <v/>
      </c>
      <c r="AB35">
        <f>HYPERLINK("https://klasma.github.io/Logging_1438/tillsynsmail/A 14793-2023 tillsynsbegäran mail.docx", "A 14793-2023")</f>
        <v/>
      </c>
    </row>
    <row r="36" ht="15" customHeight="1">
      <c r="A36" t="inlineStr">
        <is>
          <t>A 47656-2024</t>
        </is>
      </c>
      <c r="B36" t="inlineStr">
        <is>
          <t>avverkningsanmälan</t>
        </is>
      </c>
      <c r="C36" t="inlineStr">
        <is>
          <t>Föryngringsavverkning</t>
        </is>
      </c>
      <c r="D36" s="1" t="n">
        <v>45588</v>
      </c>
      <c r="E36" s="1" t="n">
        <v>46217</v>
      </c>
      <c r="F36" t="inlineStr">
        <is>
          <t>VÄSTRA GÖTALANDS LÄN</t>
        </is>
      </c>
      <c r="G36" t="inlineStr">
        <is>
          <t>DALS-ED</t>
        </is>
      </c>
      <c r="I36" t="n">
        <v>7.3</v>
      </c>
      <c r="J36" t="n">
        <v>1</v>
      </c>
      <c r="K36" t="n">
        <v>0</v>
      </c>
      <c r="L36" t="n">
        <v>1</v>
      </c>
      <c r="M36" t="n">
        <v>0</v>
      </c>
      <c r="N36" t="n">
        <v>0</v>
      </c>
      <c r="O36" t="n">
        <v>0</v>
      </c>
      <c r="P36" t="n">
        <v>0</v>
      </c>
      <c r="Q36" t="n">
        <v>1</v>
      </c>
      <c r="R36" t="n">
        <v>0</v>
      </c>
      <c r="S36" t="n">
        <v>1</v>
      </c>
      <c r="T36" t="n">
        <v>2</v>
      </c>
      <c r="U36" s="2" t="inlineStr">
        <is>
          <t>Tretåig hackspett</t>
        </is>
      </c>
      <c r="V36">
        <f>HYPERLINK("https://klasma.github.io/Logging_1438/artfynd/A 47656-2024 artfynd.xlsx", "A 47656-2024")</f>
        <v/>
      </c>
      <c r="W36">
        <f>HYPERLINK("https://klasma.github.io/Logging_1438/kartor/A 47656-2024 karta.png", "A 47656-2024")</f>
        <v/>
      </c>
      <c r="Y36">
        <f>HYPERLINK("https://klasma.github.io/Logging_1438/klagomål/A 47656-2024 FSC-klagomål.docx", "A 47656-2024")</f>
        <v/>
      </c>
      <c r="Z36">
        <f>HYPERLINK("https://klasma.github.io/Logging_1438/klagomålsmail/A 47656-2024 FSC-klagomål mail.docx", "A 47656-2024")</f>
        <v/>
      </c>
      <c r="AA36">
        <f>HYPERLINK("https://klasma.github.io/Logging_1438/tillsyn/A 47656-2024 tillsynsbegäran.docx", "A 47656-2024")</f>
        <v/>
      </c>
      <c r="AB36">
        <f>HYPERLINK("https://klasma.github.io/Logging_1438/tillsynsmail/A 47656-2024 tillsynsbegäran mail.docx", "A 47656-2024")</f>
        <v/>
      </c>
      <c r="AC36">
        <f>HYPERLINK("https://klasma.github.io/Logging_1438/fåglar/A 47656-2024 prioriterade fågelarter.docx", "A 47656-2024")</f>
        <v/>
      </c>
    </row>
    <row r="37" ht="15" customHeight="1">
      <c r="A37" t="inlineStr">
        <is>
          <t>A 32284-2023</t>
        </is>
      </c>
      <c r="B37" t="inlineStr">
        <is>
          <t>avverkningsanmälan</t>
        </is>
      </c>
      <c r="C37" t="inlineStr">
        <is>
          <t>Föryngringsavverkning</t>
        </is>
      </c>
      <c r="D37" s="1" t="n">
        <v>45120</v>
      </c>
      <c r="E37" s="1" t="n">
        <v>46217</v>
      </c>
      <c r="F37" t="inlineStr">
        <is>
          <t>VÄSTRA GÖTALANDS LÄN</t>
        </is>
      </c>
      <c r="G37" t="inlineStr">
        <is>
          <t>DALS-ED</t>
        </is>
      </c>
      <c r="I37" t="n">
        <v>3.9</v>
      </c>
      <c r="J37" t="n">
        <v>0</v>
      </c>
      <c r="K37" t="n">
        <v>0</v>
      </c>
      <c r="L37" t="n">
        <v>0</v>
      </c>
      <c r="M37" t="n">
        <v>1</v>
      </c>
      <c r="N37" t="n">
        <v>0</v>
      </c>
      <c r="O37" t="n">
        <v>0</v>
      </c>
      <c r="P37" t="n">
        <v>0</v>
      </c>
      <c r="Q37" t="n">
        <v>1</v>
      </c>
      <c r="R37" t="n">
        <v>1</v>
      </c>
      <c r="S37" t="n">
        <v>1</v>
      </c>
      <c r="T37" t="n">
        <v>1</v>
      </c>
      <c r="U37" s="2" t="inlineStr">
        <is>
          <t>Mindre bastardsvärmare</t>
        </is>
      </c>
      <c r="V37">
        <f>HYPERLINK("https://klasma.github.io/Logging_1438/artfynd/A 32284-2023 artfynd.xlsx", "A 32284-2023")</f>
        <v/>
      </c>
      <c r="W37">
        <f>HYPERLINK("https://klasma.github.io/Logging_1438/kartor/A 32284-2023 karta.png", "A 32284-2023")</f>
        <v/>
      </c>
      <c r="Y37">
        <f>HYPERLINK("https://klasma.github.io/Logging_1438/klagomål/A 32284-2023 FSC-klagomål.docx", "A 32284-2023")</f>
        <v/>
      </c>
      <c r="Z37">
        <f>HYPERLINK("https://klasma.github.io/Logging_1438/klagomålsmail/A 32284-2023 FSC-klagomål mail.docx", "A 32284-2023")</f>
        <v/>
      </c>
      <c r="AA37">
        <f>HYPERLINK("https://klasma.github.io/Logging_1438/tillsyn/A 32284-2023 tillsynsbegäran.docx", "A 32284-2023")</f>
        <v/>
      </c>
      <c r="AB37">
        <f>HYPERLINK("https://klasma.github.io/Logging_1438/tillsynsmail/A 32284-2023 tillsynsbegäran mail.docx", "A 32284-2023")</f>
        <v/>
      </c>
    </row>
    <row r="38" ht="15" customHeight="1">
      <c r="A38" t="inlineStr">
        <is>
          <t>A 22947-2026</t>
        </is>
      </c>
      <c r="B38" t="inlineStr">
        <is>
          <t>avverkningsanmälan</t>
        </is>
      </c>
      <c r="C38" t="inlineStr">
        <is>
          <t>Föryngringsavverkning</t>
        </is>
      </c>
      <c r="D38" s="1" t="n">
        <v>46160</v>
      </c>
      <c r="E38" s="1" t="n">
        <v>46217</v>
      </c>
      <c r="F38" t="inlineStr">
        <is>
          <t>VÄSTRA GÖTALANDS LÄN</t>
        </is>
      </c>
      <c r="G38" t="inlineStr">
        <is>
          <t>DALS-ED</t>
        </is>
      </c>
      <c r="I38" t="n">
        <v>5.4</v>
      </c>
      <c r="J38" t="n">
        <v>0</v>
      </c>
      <c r="K38" t="n">
        <v>0</v>
      </c>
      <c r="L38" t="n">
        <v>1</v>
      </c>
      <c r="M38" t="n">
        <v>0</v>
      </c>
      <c r="N38" t="n">
        <v>0</v>
      </c>
      <c r="O38" t="n">
        <v>0</v>
      </c>
      <c r="P38" t="n">
        <v>0</v>
      </c>
      <c r="Q38" t="n">
        <v>1</v>
      </c>
      <c r="R38" t="n">
        <v>0</v>
      </c>
      <c r="S38" t="n">
        <v>1</v>
      </c>
      <c r="T38" t="n">
        <v>1</v>
      </c>
      <c r="U38" s="2" t="inlineStr">
        <is>
          <t>Dropptaggsvamp</t>
        </is>
      </c>
      <c r="V38">
        <f>HYPERLINK("https://klasma.github.io/Logging_1438/artfynd/A 22947-2026 artfynd.xlsx", "A 22947-2026")</f>
        <v/>
      </c>
      <c r="W38">
        <f>HYPERLINK("https://klasma.github.io/Logging_1438/kartor/A 22947-2026 karta.png", "A 22947-2026")</f>
        <v/>
      </c>
      <c r="Y38">
        <f>HYPERLINK("https://klasma.github.io/Logging_1438/klagomål/A 22947-2026 FSC-klagomål.docx", "A 22947-2026")</f>
        <v/>
      </c>
      <c r="Z38">
        <f>HYPERLINK("https://klasma.github.io/Logging_1438/klagomålsmail/A 22947-2026 FSC-klagomål mail.docx", "A 22947-2026")</f>
        <v/>
      </c>
      <c r="AA38">
        <f>HYPERLINK("https://klasma.github.io/Logging_1438/tillsyn/A 22947-2026 tillsynsbegäran.docx", "A 22947-2026")</f>
        <v/>
      </c>
      <c r="AB38">
        <f>HYPERLINK("https://klasma.github.io/Logging_1438/tillsynsmail/A 22947-2026 tillsynsbegäran mail.docx", "A 22947-2026")</f>
        <v/>
      </c>
    </row>
    <row r="39" ht="15" customHeight="1">
      <c r="A39" t="inlineStr">
        <is>
          <t>A 22946-2026</t>
        </is>
      </c>
      <c r="B39" t="inlineStr">
        <is>
          <t>avverkningsanmälan</t>
        </is>
      </c>
      <c r="C39" t="inlineStr">
        <is>
          <t>Föryngringsavverkning</t>
        </is>
      </c>
      <c r="D39" s="1" t="n">
        <v>46160</v>
      </c>
      <c r="E39" s="1" t="n">
        <v>46217</v>
      </c>
      <c r="F39" t="inlineStr">
        <is>
          <t>VÄSTRA GÖTALANDS LÄN</t>
        </is>
      </c>
      <c r="G39" t="inlineStr">
        <is>
          <t>DALS-ED</t>
        </is>
      </c>
      <c r="I39" t="n">
        <v>2.6</v>
      </c>
      <c r="J39" t="n">
        <v>0</v>
      </c>
      <c r="K39" t="n">
        <v>0</v>
      </c>
      <c r="L39" t="n">
        <v>1</v>
      </c>
      <c r="M39" t="n">
        <v>0</v>
      </c>
      <c r="N39" t="n">
        <v>0</v>
      </c>
      <c r="O39" t="n">
        <v>0</v>
      </c>
      <c r="P39" t="n">
        <v>0</v>
      </c>
      <c r="Q39" t="n">
        <v>1</v>
      </c>
      <c r="R39" t="n">
        <v>0</v>
      </c>
      <c r="S39" t="n">
        <v>1</v>
      </c>
      <c r="T39" t="n">
        <v>1</v>
      </c>
      <c r="U39" s="2" t="inlineStr">
        <is>
          <t>Vedtrappmossa</t>
        </is>
      </c>
      <c r="V39">
        <f>HYPERLINK("https://klasma.github.io/Logging_1438/artfynd/A 22946-2026 artfynd.xlsx", "A 22946-2026")</f>
        <v/>
      </c>
      <c r="W39">
        <f>HYPERLINK("https://klasma.github.io/Logging_1438/kartor/A 22946-2026 karta.png", "A 22946-2026")</f>
        <v/>
      </c>
      <c r="Y39">
        <f>HYPERLINK("https://klasma.github.io/Logging_1438/klagomål/A 22946-2026 FSC-klagomål.docx", "A 22946-2026")</f>
        <v/>
      </c>
      <c r="Z39">
        <f>HYPERLINK("https://klasma.github.io/Logging_1438/klagomålsmail/A 22946-2026 FSC-klagomål mail.docx", "A 22946-2026")</f>
        <v/>
      </c>
      <c r="AA39">
        <f>HYPERLINK("https://klasma.github.io/Logging_1438/tillsyn/A 22946-2026 tillsynsbegäran.docx", "A 22946-2026")</f>
        <v/>
      </c>
      <c r="AB39">
        <f>HYPERLINK("https://klasma.github.io/Logging_1438/tillsynsmail/A 22946-2026 tillsynsbegäran mail.docx", "A 22946-2026")</f>
        <v/>
      </c>
    </row>
    <row r="40" ht="15" customHeight="1">
      <c r="A40" t="inlineStr">
        <is>
          <t>A 40355-2022</t>
        </is>
      </c>
      <c r="B40" t="inlineStr">
        <is>
          <t>avverkningsanmälan</t>
        </is>
      </c>
      <c r="C40" t="inlineStr">
        <is>
          <t>Föryngringsavverkning</t>
        </is>
      </c>
      <c r="D40" s="1" t="n">
        <v>44818</v>
      </c>
      <c r="E40" s="1" t="n">
        <v>46217</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s="2" t="inlineStr">
        <is>
          <t>Kantlök</t>
        </is>
      </c>
      <c r="V40">
        <f>HYPERLINK("https://klasma.github.io/Logging_1438/artfynd/A 40355-2022 artfynd.xlsx", "A 40355-2022")</f>
        <v/>
      </c>
      <c r="W40">
        <f>HYPERLINK("https://klasma.github.io/Logging_1438/kartor/A 40355-2022 karta.png", "A 40355-2022")</f>
        <v/>
      </c>
      <c r="Y40">
        <f>HYPERLINK("https://klasma.github.io/Logging_1438/klagomål/A 40355-2022 FSC-klagomål.docx", "A 40355-2022")</f>
        <v/>
      </c>
      <c r="Z40">
        <f>HYPERLINK("https://klasma.github.io/Logging_1438/klagomålsmail/A 40355-2022 FSC-klagomål mail.docx", "A 40355-2022")</f>
        <v/>
      </c>
      <c r="AA40">
        <f>HYPERLINK("https://klasma.github.io/Logging_1438/tillsyn/A 40355-2022 tillsynsbegäran.docx", "A 40355-2022")</f>
        <v/>
      </c>
      <c r="AB40">
        <f>HYPERLINK("https://klasma.github.io/Logging_1438/tillsynsmail/A 40355-2022 tillsynsbegäran mail.docx", "A 40355-2022")</f>
        <v/>
      </c>
    </row>
    <row r="41" ht="15" customHeight="1">
      <c r="A41" t="inlineStr">
        <is>
          <t>A 15626-2024</t>
        </is>
      </c>
      <c r="B41" t="inlineStr">
        <is>
          <t>avverkningsanmälan</t>
        </is>
      </c>
      <c r="C41" t="inlineStr">
        <is>
          <t>Föryngringsavverkning</t>
        </is>
      </c>
      <c r="D41" s="1" t="n">
        <v>45402</v>
      </c>
      <c r="E41" s="1" t="n">
        <v>46217</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s="2" t="inlineStr">
        <is>
          <t>Jungfrulin</t>
        </is>
      </c>
      <c r="V41">
        <f>HYPERLINK("https://klasma.github.io/Logging_1438/artfynd/A 15626-2024 artfynd.xlsx", "A 15626-2024")</f>
        <v/>
      </c>
      <c r="W41">
        <f>HYPERLINK("https://klasma.github.io/Logging_1438/kartor/A 15626-2024 karta.png", "A 15626-2024")</f>
        <v/>
      </c>
      <c r="Y41">
        <f>HYPERLINK("https://klasma.github.io/Logging_1438/klagomål/A 15626-2024 FSC-klagomål.docx", "A 15626-2024")</f>
        <v/>
      </c>
      <c r="Z41">
        <f>HYPERLINK("https://klasma.github.io/Logging_1438/klagomålsmail/A 15626-2024 FSC-klagomål mail.docx", "A 15626-2024")</f>
        <v/>
      </c>
      <c r="AA41">
        <f>HYPERLINK("https://klasma.github.io/Logging_1438/tillsyn/A 15626-2024 tillsynsbegäran.docx", "A 15626-2024")</f>
        <v/>
      </c>
      <c r="AB41">
        <f>HYPERLINK("https://klasma.github.io/Logging_1438/tillsynsmail/A 15626-2024 tillsynsbegäran mail.docx", "A 15626-2024")</f>
        <v/>
      </c>
    </row>
    <row r="42" ht="15" customHeight="1">
      <c r="A42" t="inlineStr">
        <is>
          <t>A 56442-2023</t>
        </is>
      </c>
      <c r="B42" t="inlineStr">
        <is>
          <t>avverkningsanmälan</t>
        </is>
      </c>
      <c r="C42" t="inlineStr">
        <is>
          <t>Föryngringsavverkning</t>
        </is>
      </c>
      <c r="D42" s="1" t="n">
        <v>45237</v>
      </c>
      <c r="E42" s="1" t="n">
        <v>46217</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s="2" t="inlineStr">
        <is>
          <t>Bergjohannesört</t>
        </is>
      </c>
      <c r="V42">
        <f>HYPERLINK("https://klasma.github.io/Logging_1438/artfynd/A 56442-2023 artfynd.xlsx", "A 56442-2023")</f>
        <v/>
      </c>
      <c r="W42">
        <f>HYPERLINK("https://klasma.github.io/Logging_1438/kartor/A 56442-2023 karta.png", "A 56442-2023")</f>
        <v/>
      </c>
      <c r="Y42">
        <f>HYPERLINK("https://klasma.github.io/Logging_1438/klagomål/A 56442-2023 FSC-klagomål.docx", "A 56442-2023")</f>
        <v/>
      </c>
      <c r="Z42">
        <f>HYPERLINK("https://klasma.github.io/Logging_1438/klagomålsmail/A 56442-2023 FSC-klagomål mail.docx", "A 56442-2023")</f>
        <v/>
      </c>
      <c r="AA42">
        <f>HYPERLINK("https://klasma.github.io/Logging_1438/tillsyn/A 56442-2023 tillsynsbegäran.docx", "A 56442-2023")</f>
        <v/>
      </c>
      <c r="AB42">
        <f>HYPERLINK("https://klasma.github.io/Logging_1438/tillsynsmail/A 56442-2023 tillsynsbegäran mail.docx", "A 56442-2023")</f>
        <v/>
      </c>
    </row>
    <row r="43" ht="15" customHeight="1">
      <c r="A43" t="inlineStr">
        <is>
          <t>A 4113-2023</t>
        </is>
      </c>
      <c r="B43" t="inlineStr">
        <is>
          <t>avverkningsanmälan</t>
        </is>
      </c>
      <c r="C43" t="inlineStr">
        <is>
          <t>Föryngringsavverkning</t>
        </is>
      </c>
      <c r="D43" s="1" t="n">
        <v>44952</v>
      </c>
      <c r="E43" s="1" t="n">
        <v>46217</v>
      </c>
      <c r="F43" t="inlineStr">
        <is>
          <t>VÄSTRA GÖTALANDS LÄN</t>
        </is>
      </c>
      <c r="G43" t="inlineStr">
        <is>
          <t>DALS-ED</t>
        </is>
      </c>
      <c r="I43" t="n">
        <v>7.9</v>
      </c>
      <c r="J43" t="n">
        <v>0</v>
      </c>
      <c r="K43" t="n">
        <v>0</v>
      </c>
      <c r="L43" t="n">
        <v>0</v>
      </c>
      <c r="M43" t="n">
        <v>1</v>
      </c>
      <c r="N43" t="n">
        <v>0</v>
      </c>
      <c r="O43" t="n">
        <v>0</v>
      </c>
      <c r="P43" t="n">
        <v>0</v>
      </c>
      <c r="Q43" t="n">
        <v>1</v>
      </c>
      <c r="R43" t="n">
        <v>1</v>
      </c>
      <c r="S43" t="n">
        <v>1</v>
      </c>
      <c r="T43" t="n">
        <v>1</v>
      </c>
      <c r="U43" s="2" t="inlineStr">
        <is>
          <t>Slåttergubbe</t>
        </is>
      </c>
      <c r="V43">
        <f>HYPERLINK("https://klasma.github.io/Logging_1438/artfynd/A 4113-2023 artfynd.xlsx", "A 4113-2023")</f>
        <v/>
      </c>
      <c r="W43">
        <f>HYPERLINK("https://klasma.github.io/Logging_1438/kartor/A 4113-2023 karta.png", "A 4113-2023")</f>
        <v/>
      </c>
      <c r="Y43">
        <f>HYPERLINK("https://klasma.github.io/Logging_1438/klagomål/A 4113-2023 FSC-klagomål.docx", "A 4113-2023")</f>
        <v/>
      </c>
      <c r="Z43">
        <f>HYPERLINK("https://klasma.github.io/Logging_1438/klagomålsmail/A 4113-2023 FSC-klagomål mail.docx", "A 4113-2023")</f>
        <v/>
      </c>
      <c r="AA43">
        <f>HYPERLINK("https://klasma.github.io/Logging_1438/tillsyn/A 4113-2023 tillsynsbegäran.docx", "A 4113-2023")</f>
        <v/>
      </c>
      <c r="AB43">
        <f>HYPERLINK("https://klasma.github.io/Logging_1438/tillsynsmail/A 4113-2023 tillsynsbegäran mail.docx", "A 4113-2023")</f>
        <v/>
      </c>
    </row>
    <row r="44" ht="15" customHeight="1">
      <c r="A44" t="inlineStr">
        <is>
          <t>A 43216-2023</t>
        </is>
      </c>
      <c r="B44" t="inlineStr">
        <is>
          <t>avverkningsanmälan</t>
        </is>
      </c>
      <c r="C44" t="inlineStr">
        <is>
          <t>Föryngringsavverkning</t>
        </is>
      </c>
      <c r="D44" s="1" t="n">
        <v>45183</v>
      </c>
      <c r="E44" s="1" t="n">
        <v>46217</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s="2" t="inlineStr">
        <is>
          <t>Spillkråka</t>
        </is>
      </c>
      <c r="V44">
        <f>HYPERLINK("https://klasma.github.io/Logging_1438/artfynd/A 43216-2023 artfynd.xlsx", "A 43216-2023")</f>
        <v/>
      </c>
      <c r="W44">
        <f>HYPERLINK("https://klasma.github.io/Logging_1438/kartor/A 43216-2023 karta.png", "A 43216-2023")</f>
        <v/>
      </c>
      <c r="Y44">
        <f>HYPERLINK("https://klasma.github.io/Logging_1438/klagomål/A 43216-2023 FSC-klagomål.docx", "A 43216-2023")</f>
        <v/>
      </c>
      <c r="Z44">
        <f>HYPERLINK("https://klasma.github.io/Logging_1438/klagomålsmail/A 43216-2023 FSC-klagomål mail.docx", "A 43216-2023")</f>
        <v/>
      </c>
      <c r="AA44">
        <f>HYPERLINK("https://klasma.github.io/Logging_1438/tillsyn/A 43216-2023 tillsynsbegäran.docx", "A 43216-2023")</f>
        <v/>
      </c>
      <c r="AB44">
        <f>HYPERLINK("https://klasma.github.io/Logging_1438/tillsynsmail/A 43216-2023 tillsynsbegäran mail.docx", "A 43216-2023")</f>
        <v/>
      </c>
      <c r="AC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46217</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s="2" t="inlineStr">
        <is>
          <t>Kådvaxskinn</t>
        </is>
      </c>
      <c r="V45">
        <f>HYPERLINK("https://klasma.github.io/Logging_1438/artfynd/A 24788-2025 artfynd.xlsx", "A 24788-2025")</f>
        <v/>
      </c>
      <c r="W45">
        <f>HYPERLINK("https://klasma.github.io/Logging_1438/kartor/A 24788-2025 karta.png", "A 24788-2025")</f>
        <v/>
      </c>
      <c r="Y45">
        <f>HYPERLINK("https://klasma.github.io/Logging_1438/klagomål/A 24788-2025 FSC-klagomål.docx", "A 24788-2025")</f>
        <v/>
      </c>
      <c r="Z45">
        <f>HYPERLINK("https://klasma.github.io/Logging_1438/klagomålsmail/A 24788-2025 FSC-klagomål mail.docx", "A 24788-2025")</f>
        <v/>
      </c>
      <c r="AA45">
        <f>HYPERLINK("https://klasma.github.io/Logging_1438/tillsyn/A 24788-2025 tillsynsbegäran.docx", "A 24788-2025")</f>
        <v/>
      </c>
      <c r="AB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46217</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s="2" t="inlineStr">
        <is>
          <t>Nattskärra</t>
        </is>
      </c>
      <c r="V46">
        <f>HYPERLINK("https://klasma.github.io/Logging_1438/artfynd/A 25638-2025 artfynd.xlsx", "A 25638-2025")</f>
        <v/>
      </c>
      <c r="W46">
        <f>HYPERLINK("https://klasma.github.io/Logging_1438/kartor/A 25638-2025 karta.png", "A 25638-2025")</f>
        <v/>
      </c>
      <c r="Y46">
        <f>HYPERLINK("https://klasma.github.io/Logging_1438/klagomål/A 25638-2025 FSC-klagomål.docx", "A 25638-2025")</f>
        <v/>
      </c>
      <c r="Z46">
        <f>HYPERLINK("https://klasma.github.io/Logging_1438/klagomålsmail/A 25638-2025 FSC-klagomål mail.docx", "A 25638-2025")</f>
        <v/>
      </c>
      <c r="AA46">
        <f>HYPERLINK("https://klasma.github.io/Logging_1438/tillsyn/A 25638-2025 tillsynsbegäran.docx", "A 25638-2025")</f>
        <v/>
      </c>
      <c r="AB46">
        <f>HYPERLINK("https://klasma.github.io/Logging_1438/tillsynsmail/A 25638-2025 tillsynsbegäran mail.docx", "A 25638-2025")</f>
        <v/>
      </c>
      <c r="AC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46217</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s="2" t="inlineStr">
        <is>
          <t>Slåtterfibbla</t>
        </is>
      </c>
      <c r="V47">
        <f>HYPERLINK("https://klasma.github.io/Logging_1438/artfynd/S 299-2025 artfynd.xlsx", "S 299-2025")</f>
        <v/>
      </c>
      <c r="W47">
        <f>HYPERLINK("https://klasma.github.io/Logging_1438/kartor/S 299-2025 karta.png", "S 299-2025")</f>
        <v/>
      </c>
      <c r="Y47">
        <f>HYPERLINK("https://klasma.github.io/Logging_1438/klagomål/S 299-2025 FSC-klagomål.docx", "S 299-2025")</f>
        <v/>
      </c>
      <c r="Z47">
        <f>HYPERLINK("https://klasma.github.io/Logging_1438/klagomålsmail/S 299-2025 FSC-klagomål mail.docx", "S 299-2025")</f>
        <v/>
      </c>
      <c r="AA47">
        <f>HYPERLINK("https://klasma.github.io/Logging_1438/tillsyn/S 299-2025 tillsynsbegäran.docx", "S 299-2025")</f>
        <v/>
      </c>
      <c r="AB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46217</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s="2" t="inlineStr"/>
    </row>
    <row r="49" ht="15" customHeight="1">
      <c r="A49" t="inlineStr">
        <is>
          <t>A 70027-2021</t>
        </is>
      </c>
      <c r="B49" t="inlineStr">
        <is>
          <t>avverkningsanmälan</t>
        </is>
      </c>
      <c r="C49" t="inlineStr">
        <is>
          <t>Föryngringsavverkning</t>
        </is>
      </c>
      <c r="D49" s="1" t="n">
        <v>44533</v>
      </c>
      <c r="E49" s="1" t="n">
        <v>46217</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s="2" t="inlineStr"/>
    </row>
    <row r="50" ht="15" customHeight="1">
      <c r="A50" t="inlineStr">
        <is>
          <t>A 70367-2021</t>
        </is>
      </c>
      <c r="B50" t="inlineStr">
        <is>
          <t>avverkningsanmälan</t>
        </is>
      </c>
      <c r="C50" t="inlineStr">
        <is>
          <t>Föryngringsavverkning</t>
        </is>
      </c>
      <c r="D50" s="1" t="n">
        <v>44536</v>
      </c>
      <c r="E50" s="1" t="n">
        <v>46217</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s="2" t="inlineStr"/>
    </row>
    <row r="51" ht="15" customHeight="1">
      <c r="A51" t="inlineStr">
        <is>
          <t>A 9153-2022</t>
        </is>
      </c>
      <c r="B51" t="inlineStr">
        <is>
          <t>avverkningsanmälan</t>
        </is>
      </c>
      <c r="C51" t="inlineStr">
        <is>
          <t>Föryngringsavverkning</t>
        </is>
      </c>
      <c r="D51" s="1" t="n">
        <v>44615</v>
      </c>
      <c r="E51" s="1" t="n">
        <v>46217</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s="2" t="inlineStr"/>
    </row>
    <row r="52" ht="15" customHeight="1">
      <c r="A52" t="inlineStr">
        <is>
          <t>A 70374-2021</t>
        </is>
      </c>
      <c r="B52" t="inlineStr">
        <is>
          <t>avverkningsanmälan</t>
        </is>
      </c>
      <c r="C52" t="inlineStr">
        <is>
          <t>Föryngringsavverkning</t>
        </is>
      </c>
      <c r="D52" s="1" t="n">
        <v>44536</v>
      </c>
      <c r="E52" s="1" t="n">
        <v>46217</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s="2" t="inlineStr"/>
    </row>
    <row r="53" ht="15" customHeight="1">
      <c r="A53" t="inlineStr">
        <is>
          <t>A 47227-2021</t>
        </is>
      </c>
      <c r="B53" t="inlineStr">
        <is>
          <t>avverkningsanmälan</t>
        </is>
      </c>
      <c r="C53" t="inlineStr">
        <is>
          <t>Föryngringsavverkning</t>
        </is>
      </c>
      <c r="D53" s="1" t="n">
        <v>44446</v>
      </c>
      <c r="E53" s="1" t="n">
        <v>46217</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s="2" t="inlineStr"/>
    </row>
    <row r="54" ht="15" customHeight="1">
      <c r="A54" t="inlineStr">
        <is>
          <t>A 4121-2022</t>
        </is>
      </c>
      <c r="B54" t="inlineStr">
        <is>
          <t>avverkningsanmälan</t>
        </is>
      </c>
      <c r="C54" t="inlineStr">
        <is>
          <t>Föryngringsavverkning</t>
        </is>
      </c>
      <c r="D54" s="1" t="n">
        <v>44588</v>
      </c>
      <c r="E54" s="1" t="n">
        <v>46217</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s="2" t="inlineStr"/>
    </row>
    <row r="55" ht="15" customHeight="1">
      <c r="A55" t="inlineStr">
        <is>
          <t>A 51564-2021</t>
        </is>
      </c>
      <c r="B55" t="inlineStr">
        <is>
          <t>avverkningsanmälan</t>
        </is>
      </c>
      <c r="C55" t="inlineStr">
        <is>
          <t>Föryngringsavverkning</t>
        </is>
      </c>
      <c r="D55" s="1" t="n">
        <v>44462</v>
      </c>
      <c r="E55" s="1" t="n">
        <v>46217</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s="2" t="inlineStr"/>
    </row>
    <row r="56" ht="15" customHeight="1">
      <c r="A56" t="inlineStr">
        <is>
          <t>A 18837-2022</t>
        </is>
      </c>
      <c r="B56" t="inlineStr">
        <is>
          <t>avverkningsanmälan</t>
        </is>
      </c>
      <c r="C56" t="inlineStr">
        <is>
          <t>Föryngringsavverkning</t>
        </is>
      </c>
      <c r="D56" s="1" t="n">
        <v>44690</v>
      </c>
      <c r="E56" s="1" t="n">
        <v>46217</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s="2" t="inlineStr"/>
    </row>
    <row r="57" ht="15" customHeight="1">
      <c r="A57" t="inlineStr">
        <is>
          <t>A 58213-2021</t>
        </is>
      </c>
      <c r="B57" t="inlineStr">
        <is>
          <t>avverkningsanmälan</t>
        </is>
      </c>
      <c r="C57" t="inlineStr">
        <is>
          <t>Föryngringsavverkning</t>
        </is>
      </c>
      <c r="D57" s="1" t="n">
        <v>44487</v>
      </c>
      <c r="E57" s="1" t="n">
        <v>46217</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s="2" t="inlineStr"/>
    </row>
    <row r="58" ht="15" customHeight="1">
      <c r="A58" t="inlineStr">
        <is>
          <t>A 51214-2022</t>
        </is>
      </c>
      <c r="B58" t="inlineStr">
        <is>
          <t>avverkningsanmälan</t>
        </is>
      </c>
      <c r="C58" t="inlineStr">
        <is>
          <t>Föryngringsavverkning</t>
        </is>
      </c>
      <c r="D58" s="1" t="n">
        <v>44865</v>
      </c>
      <c r="E58" s="1" t="n">
        <v>46217</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s="2" t="inlineStr"/>
    </row>
    <row r="59" ht="15" customHeight="1">
      <c r="A59" t="inlineStr">
        <is>
          <t>A 42951-2022</t>
        </is>
      </c>
      <c r="B59" t="inlineStr">
        <is>
          <t>avverkningsanmälan</t>
        </is>
      </c>
      <c r="C59" t="inlineStr">
        <is>
          <t>Föryngringsavverkning</t>
        </is>
      </c>
      <c r="D59" s="1" t="n">
        <v>44832</v>
      </c>
      <c r="E59" s="1" t="n">
        <v>46217</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s="2" t="inlineStr"/>
    </row>
    <row r="60" ht="15" customHeight="1">
      <c r="A60" t="inlineStr">
        <is>
          <t>A 25762-2022</t>
        </is>
      </c>
      <c r="B60" t="inlineStr">
        <is>
          <t>avverkningsanmälan</t>
        </is>
      </c>
      <c r="C60" t="inlineStr">
        <is>
          <t>Avverkning för annat ändamål</t>
        </is>
      </c>
      <c r="D60" s="1" t="n">
        <v>44733</v>
      </c>
      <c r="E60" s="1" t="n">
        <v>46217</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s="2" t="inlineStr"/>
    </row>
    <row r="61" ht="15" customHeight="1">
      <c r="A61" t="inlineStr">
        <is>
          <t>A 32313-2022</t>
        </is>
      </c>
      <c r="B61" t="inlineStr">
        <is>
          <t>avverkningsanmälan</t>
        </is>
      </c>
      <c r="C61" t="inlineStr">
        <is>
          <t>Föryngringsavverkning</t>
        </is>
      </c>
      <c r="D61" s="1" t="n">
        <v>44781</v>
      </c>
      <c r="E61" s="1" t="n">
        <v>46217</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s="2" t="inlineStr"/>
    </row>
    <row r="62" ht="15" customHeight="1">
      <c r="A62" t="inlineStr">
        <is>
          <t>A 50459-2021</t>
        </is>
      </c>
      <c r="B62" t="inlineStr">
        <is>
          <t>avverkningsanmälan</t>
        </is>
      </c>
      <c r="C62" t="inlineStr">
        <is>
          <t>Föryngringsavverkning</t>
        </is>
      </c>
      <c r="D62" s="1" t="n">
        <v>44459</v>
      </c>
      <c r="E62" s="1" t="n">
        <v>46217</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s="2" t="inlineStr"/>
    </row>
    <row r="63" ht="15" customHeight="1">
      <c r="A63" t="inlineStr">
        <is>
          <t>A 48658-2021</t>
        </is>
      </c>
      <c r="B63" t="inlineStr">
        <is>
          <t>avverkningsanmälan</t>
        </is>
      </c>
      <c r="C63" t="inlineStr">
        <is>
          <t>Föryngringsavverkning</t>
        </is>
      </c>
      <c r="D63" s="1" t="n">
        <v>44452</v>
      </c>
      <c r="E63" s="1" t="n">
        <v>46217</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s="2" t="inlineStr"/>
    </row>
    <row r="64" ht="15" customHeight="1">
      <c r="A64" t="inlineStr">
        <is>
          <t>A 16935-2022</t>
        </is>
      </c>
      <c r="B64" t="inlineStr">
        <is>
          <t>avverkningsanmälan</t>
        </is>
      </c>
      <c r="C64" t="inlineStr">
        <is>
          <t>Föryngringsavverkning</t>
        </is>
      </c>
      <c r="D64" s="1" t="n">
        <v>44676</v>
      </c>
      <c r="E64" s="1" t="n">
        <v>46217</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s="2" t="inlineStr"/>
    </row>
    <row r="65" ht="15" customHeight="1">
      <c r="A65" t="inlineStr">
        <is>
          <t>A 39016-2021</t>
        </is>
      </c>
      <c r="B65" t="inlineStr">
        <is>
          <t>avverkningsanmälan</t>
        </is>
      </c>
      <c r="C65" t="inlineStr">
        <is>
          <t>Föryngringsavverkning</t>
        </is>
      </c>
      <c r="D65" s="1" t="n">
        <v>44412</v>
      </c>
      <c r="E65" s="1" t="n">
        <v>46217</v>
      </c>
      <c r="F65" t="inlineStr">
        <is>
          <t>VÄSTRA GÖTALANDS LÄN</t>
        </is>
      </c>
      <c r="G65" t="inlineStr">
        <is>
          <t>DALS-ED</t>
        </is>
      </c>
      <c r="I65" t="n">
        <v>12.3</v>
      </c>
      <c r="J65" t="n">
        <v>0</v>
      </c>
      <c r="K65" t="n">
        <v>0</v>
      </c>
      <c r="L65" t="n">
        <v>0</v>
      </c>
      <c r="M65" t="n">
        <v>0</v>
      </c>
      <c r="N65" t="n">
        <v>0</v>
      </c>
      <c r="O65" t="n">
        <v>0</v>
      </c>
      <c r="P65" t="n">
        <v>0</v>
      </c>
      <c r="Q65" t="n">
        <v>0</v>
      </c>
      <c r="R65" t="n">
        <v>0</v>
      </c>
      <c r="S65" t="n">
        <v>0</v>
      </c>
      <c r="T65" t="n">
        <v>0</v>
      </c>
      <c r="U65" s="2" t="inlineStr"/>
    </row>
    <row r="66" ht="15" customHeight="1">
      <c r="A66" t="inlineStr">
        <is>
          <t>A 2287-2022</t>
        </is>
      </c>
      <c r="B66" t="inlineStr">
        <is>
          <t>avverkningsanmälan</t>
        </is>
      </c>
      <c r="C66" t="inlineStr">
        <is>
          <t>Föryngringsavverkning</t>
        </is>
      </c>
      <c r="D66" s="1" t="n">
        <v>44578</v>
      </c>
      <c r="E66" s="1" t="n">
        <v>46217</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s="2" t="inlineStr"/>
    </row>
    <row r="67" ht="15" customHeight="1">
      <c r="A67" t="inlineStr">
        <is>
          <t>A 35629-2022</t>
        </is>
      </c>
      <c r="B67" t="inlineStr">
        <is>
          <t>avverkningsanmälan</t>
        </is>
      </c>
      <c r="C67" t="inlineStr">
        <is>
          <t>Föryngringsavverkning</t>
        </is>
      </c>
      <c r="D67" s="1" t="n">
        <v>44799</v>
      </c>
      <c r="E67" s="1" t="n">
        <v>46217</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s="2" t="inlineStr"/>
    </row>
    <row r="68" ht="15" customHeight="1">
      <c r="A68" t="inlineStr">
        <is>
          <t>A 21367-2022</t>
        </is>
      </c>
      <c r="B68" t="inlineStr">
        <is>
          <t>avverkningsanmälan</t>
        </is>
      </c>
      <c r="C68" t="inlineStr">
        <is>
          <t>Föryngringsavverkning</t>
        </is>
      </c>
      <c r="D68" s="1" t="n">
        <v>44705</v>
      </c>
      <c r="E68" s="1" t="n">
        <v>46217</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s="2" t="inlineStr"/>
    </row>
    <row r="69" ht="15" customHeight="1">
      <c r="A69" t="inlineStr">
        <is>
          <t>A 27685-2022</t>
        </is>
      </c>
      <c r="B69" t="inlineStr">
        <is>
          <t>avverkningsanmälan</t>
        </is>
      </c>
      <c r="C69" t="inlineStr">
        <is>
          <t>Föryngringsavverkning</t>
        </is>
      </c>
      <c r="D69" s="1" t="n">
        <v>44743</v>
      </c>
      <c r="E69" s="1" t="n">
        <v>46217</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s="2" t="inlineStr"/>
    </row>
    <row r="70" ht="15" customHeight="1">
      <c r="A70" t="inlineStr">
        <is>
          <t>A 7933-2022</t>
        </is>
      </c>
      <c r="B70" t="inlineStr">
        <is>
          <t>avverkningsanmälan</t>
        </is>
      </c>
      <c r="C70" t="inlineStr">
        <is>
          <t>Föryngringsavverkning</t>
        </is>
      </c>
      <c r="D70" s="1" t="n">
        <v>44608</v>
      </c>
      <c r="E70" s="1" t="n">
        <v>46217</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s="2" t="inlineStr"/>
    </row>
    <row r="71" ht="15" customHeight="1">
      <c r="A71" t="inlineStr">
        <is>
          <t>A 9154-2022</t>
        </is>
      </c>
      <c r="B71" t="inlineStr">
        <is>
          <t>avverkningsanmälan</t>
        </is>
      </c>
      <c r="C71" t="inlineStr">
        <is>
          <t>Föryngringsavverkning</t>
        </is>
      </c>
      <c r="D71" s="1" t="n">
        <v>44615</v>
      </c>
      <c r="E71" s="1" t="n">
        <v>46217</v>
      </c>
      <c r="F71" t="inlineStr">
        <is>
          <t>VÄSTRA GÖTALANDS LÄN</t>
        </is>
      </c>
      <c r="G71" t="inlineStr">
        <is>
          <t>DALS-ED</t>
        </is>
      </c>
      <c r="I71" t="n">
        <v>0.7</v>
      </c>
      <c r="J71" t="n">
        <v>0</v>
      </c>
      <c r="K71" t="n">
        <v>0</v>
      </c>
      <c r="L71" t="n">
        <v>0</v>
      </c>
      <c r="M71" t="n">
        <v>0</v>
      </c>
      <c r="N71" t="n">
        <v>0</v>
      </c>
      <c r="O71" t="n">
        <v>0</v>
      </c>
      <c r="P71" t="n">
        <v>0</v>
      </c>
      <c r="Q71" t="n">
        <v>0</v>
      </c>
      <c r="R71" t="n">
        <v>0</v>
      </c>
      <c r="S71" t="n">
        <v>0</v>
      </c>
      <c r="T71" t="n">
        <v>0</v>
      </c>
      <c r="U71" s="2" t="inlineStr"/>
    </row>
    <row r="72" ht="15" customHeight="1">
      <c r="A72" t="inlineStr">
        <is>
          <t>A 40488-2022</t>
        </is>
      </c>
      <c r="B72" t="inlineStr">
        <is>
          <t>avverkningsanmälan</t>
        </is>
      </c>
      <c r="C72" t="inlineStr">
        <is>
          <t>Avverkning för annat ändamål</t>
        </is>
      </c>
      <c r="D72" s="1" t="n">
        <v>44823</v>
      </c>
      <c r="E72" s="1" t="n">
        <v>46217</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s="2" t="inlineStr"/>
    </row>
    <row r="73" ht="15" customHeight="1">
      <c r="A73" t="inlineStr">
        <is>
          <t>A 43492-2022</t>
        </is>
      </c>
      <c r="B73" t="inlineStr">
        <is>
          <t>avverkningsanmälan</t>
        </is>
      </c>
      <c r="C73" t="inlineStr">
        <is>
          <t>Föryngringsavverkning</t>
        </is>
      </c>
      <c r="D73" s="1" t="n">
        <v>44837</v>
      </c>
      <c r="E73" s="1" t="n">
        <v>46217</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s="2" t="inlineStr"/>
    </row>
    <row r="74" ht="15" customHeight="1">
      <c r="A74" t="inlineStr">
        <is>
          <t>A 14993-2022</t>
        </is>
      </c>
      <c r="B74" t="inlineStr">
        <is>
          <t>avverkningsanmälan</t>
        </is>
      </c>
      <c r="C74" t="inlineStr">
        <is>
          <t>Föryngringsavverkning</t>
        </is>
      </c>
      <c r="D74" s="1" t="n">
        <v>44657</v>
      </c>
      <c r="E74" s="1" t="n">
        <v>46217</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s="2" t="inlineStr"/>
    </row>
    <row r="75" ht="15" customHeight="1">
      <c r="A75" t="inlineStr">
        <is>
          <t>A 18361-2022</t>
        </is>
      </c>
      <c r="B75" t="inlineStr">
        <is>
          <t>avverkningsanmälan</t>
        </is>
      </c>
      <c r="C75" t="inlineStr">
        <is>
          <t>Föryngringsavverkning</t>
        </is>
      </c>
      <c r="D75" s="1" t="n">
        <v>44685</v>
      </c>
      <c r="E75" s="1" t="n">
        <v>46217</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s="2" t="inlineStr"/>
    </row>
    <row r="76" ht="15" customHeight="1">
      <c r="A76" t="inlineStr">
        <is>
          <t>A 18362-2022</t>
        </is>
      </c>
      <c r="B76" t="inlineStr">
        <is>
          <t>avverkningsanmälan</t>
        </is>
      </c>
      <c r="C76" t="inlineStr">
        <is>
          <t>Föryngringsavverkning</t>
        </is>
      </c>
      <c r="D76" s="1" t="n">
        <v>44685</v>
      </c>
      <c r="E76" s="1" t="n">
        <v>46217</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s="2" t="inlineStr"/>
    </row>
    <row r="77" ht="15" customHeight="1">
      <c r="A77" t="inlineStr">
        <is>
          <t>A 21372-2022</t>
        </is>
      </c>
      <c r="B77" t="inlineStr">
        <is>
          <t>avverkningsanmälan</t>
        </is>
      </c>
      <c r="C77" t="inlineStr">
        <is>
          <t>Föryngringsavverkning</t>
        </is>
      </c>
      <c r="D77" s="1" t="n">
        <v>44705</v>
      </c>
      <c r="E77" s="1" t="n">
        <v>46217</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s="2" t="inlineStr"/>
    </row>
    <row r="78" ht="15" customHeight="1">
      <c r="A78" t="inlineStr">
        <is>
          <t>A 21368-2022</t>
        </is>
      </c>
      <c r="B78" t="inlineStr">
        <is>
          <t>avverkningsanmälan</t>
        </is>
      </c>
      <c r="C78" t="inlineStr">
        <is>
          <t>Föryngringsavverkning</t>
        </is>
      </c>
      <c r="D78" s="1" t="n">
        <v>44705</v>
      </c>
      <c r="E78" s="1" t="n">
        <v>46217</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s="2" t="inlineStr"/>
    </row>
    <row r="79" ht="15" customHeight="1">
      <c r="A79" t="inlineStr">
        <is>
          <t>A 41151-2022</t>
        </is>
      </c>
      <c r="B79" t="inlineStr">
        <is>
          <t>avverkningsanmälan</t>
        </is>
      </c>
      <c r="C79" t="inlineStr">
        <is>
          <t>Föryngringsavverkning</t>
        </is>
      </c>
      <c r="D79" s="1" t="n">
        <v>44825</v>
      </c>
      <c r="E79" s="1" t="n">
        <v>46217</v>
      </c>
      <c r="F79" t="inlineStr">
        <is>
          <t>VÄSTRA GÖTALANDS LÄN</t>
        </is>
      </c>
      <c r="G79" t="inlineStr">
        <is>
          <t>DALS-ED</t>
        </is>
      </c>
      <c r="I79" t="n">
        <v>3.4</v>
      </c>
      <c r="J79" t="n">
        <v>0</v>
      </c>
      <c r="K79" t="n">
        <v>0</v>
      </c>
      <c r="L79" t="n">
        <v>0</v>
      </c>
      <c r="M79" t="n">
        <v>0</v>
      </c>
      <c r="N79" t="n">
        <v>0</v>
      </c>
      <c r="O79" t="n">
        <v>0</v>
      </c>
      <c r="P79" t="n">
        <v>0</v>
      </c>
      <c r="Q79" t="n">
        <v>0</v>
      </c>
      <c r="R79" t="n">
        <v>0</v>
      </c>
      <c r="S79" t="n">
        <v>0</v>
      </c>
      <c r="T79" t="n">
        <v>0</v>
      </c>
      <c r="U79" s="2" t="inlineStr"/>
    </row>
    <row r="80" ht="15" customHeight="1">
      <c r="A80" t="inlineStr">
        <is>
          <t>A 7207-2025</t>
        </is>
      </c>
      <c r="B80" t="inlineStr">
        <is>
          <t>avverkningsanmälan</t>
        </is>
      </c>
      <c r="C80" t="inlineStr">
        <is>
          <t>Föryngringsavverkning</t>
        </is>
      </c>
      <c r="D80" s="1" t="n">
        <v>45702</v>
      </c>
      <c r="E80" s="1" t="n">
        <v>46217</v>
      </c>
      <c r="F80" t="inlineStr">
        <is>
          <t>VÄSTRA GÖTALANDS LÄN</t>
        </is>
      </c>
      <c r="G80" t="inlineStr">
        <is>
          <t>DALS-ED</t>
        </is>
      </c>
      <c r="I80" t="n">
        <v>3.3</v>
      </c>
      <c r="J80" t="n">
        <v>0</v>
      </c>
      <c r="K80" t="n">
        <v>0</v>
      </c>
      <c r="L80" t="n">
        <v>0</v>
      </c>
      <c r="M80" t="n">
        <v>0</v>
      </c>
      <c r="N80" t="n">
        <v>0</v>
      </c>
      <c r="O80" t="n">
        <v>0</v>
      </c>
      <c r="P80" t="n">
        <v>0</v>
      </c>
      <c r="Q80" t="n">
        <v>0</v>
      </c>
      <c r="R80" t="n">
        <v>0</v>
      </c>
      <c r="S80" t="n">
        <v>0</v>
      </c>
      <c r="T80" t="n">
        <v>0</v>
      </c>
      <c r="U80" s="2" t="inlineStr"/>
    </row>
    <row r="81" ht="15" customHeight="1">
      <c r="A81" t="inlineStr">
        <is>
          <t>A 59815-2023</t>
        </is>
      </c>
      <c r="B81" t="inlineStr">
        <is>
          <t>avverkningsanmälan</t>
        </is>
      </c>
      <c r="C81" t="inlineStr">
        <is>
          <t>Föryngringsavverkning</t>
        </is>
      </c>
      <c r="D81" s="1" t="n">
        <v>45257</v>
      </c>
      <c r="E81" s="1" t="n">
        <v>46217</v>
      </c>
      <c r="F81" t="inlineStr">
        <is>
          <t>VÄSTRA GÖTALANDS LÄN</t>
        </is>
      </c>
      <c r="G81" t="inlineStr">
        <is>
          <t>DALS-ED</t>
        </is>
      </c>
      <c r="I81" t="n">
        <v>1.1</v>
      </c>
      <c r="J81" t="n">
        <v>0</v>
      </c>
      <c r="K81" t="n">
        <v>0</v>
      </c>
      <c r="L81" t="n">
        <v>0</v>
      </c>
      <c r="M81" t="n">
        <v>0</v>
      </c>
      <c r="N81" t="n">
        <v>0</v>
      </c>
      <c r="O81" t="n">
        <v>0</v>
      </c>
      <c r="P81" t="n">
        <v>0</v>
      </c>
      <c r="Q81" t="n">
        <v>0</v>
      </c>
      <c r="R81" t="n">
        <v>0</v>
      </c>
      <c r="S81" t="n">
        <v>0</v>
      </c>
      <c r="T81" t="n">
        <v>0</v>
      </c>
      <c r="U81" s="2" t="inlineStr"/>
    </row>
    <row r="82" ht="15" customHeight="1">
      <c r="A82" t="inlineStr">
        <is>
          <t>A 17144-2024</t>
        </is>
      </c>
      <c r="B82" t="inlineStr">
        <is>
          <t>avverkningsanmälan</t>
        </is>
      </c>
      <c r="C82" t="inlineStr">
        <is>
          <t>Föryngringsavverkning</t>
        </is>
      </c>
      <c r="D82" s="1" t="n">
        <v>45412</v>
      </c>
      <c r="E82" s="1" t="n">
        <v>46217</v>
      </c>
      <c r="F82" t="inlineStr">
        <is>
          <t>VÄSTRA GÖTALANDS LÄN</t>
        </is>
      </c>
      <c r="G82" t="inlineStr">
        <is>
          <t>DALS-ED</t>
        </is>
      </c>
      <c r="I82" t="n">
        <v>0.4</v>
      </c>
      <c r="J82" t="n">
        <v>0</v>
      </c>
      <c r="K82" t="n">
        <v>0</v>
      </c>
      <c r="L82" t="n">
        <v>0</v>
      </c>
      <c r="M82" t="n">
        <v>0</v>
      </c>
      <c r="N82" t="n">
        <v>0</v>
      </c>
      <c r="O82" t="n">
        <v>0</v>
      </c>
      <c r="P82" t="n">
        <v>0</v>
      </c>
      <c r="Q82" t="n">
        <v>0</v>
      </c>
      <c r="R82" t="n">
        <v>0</v>
      </c>
      <c r="S82" t="n">
        <v>0</v>
      </c>
      <c r="T82" t="n">
        <v>0</v>
      </c>
      <c r="U82" s="2" t="inlineStr"/>
    </row>
    <row r="83" ht="15" customHeight="1">
      <c r="A83" t="inlineStr">
        <is>
          <t>A 14186-2024</t>
        </is>
      </c>
      <c r="B83" t="inlineStr">
        <is>
          <t>avverkningsanmälan</t>
        </is>
      </c>
      <c r="C83" t="inlineStr">
        <is>
          <t>Föryngringsavverkning</t>
        </is>
      </c>
      <c r="D83" s="1" t="n">
        <v>45393</v>
      </c>
      <c r="E83" s="1" t="n">
        <v>46217</v>
      </c>
      <c r="F83" t="inlineStr">
        <is>
          <t>VÄSTRA GÖTALANDS LÄN</t>
        </is>
      </c>
      <c r="G83" t="inlineStr">
        <is>
          <t>DALS-ED</t>
        </is>
      </c>
      <c r="I83" t="n">
        <v>1.4</v>
      </c>
      <c r="J83" t="n">
        <v>0</v>
      </c>
      <c r="K83" t="n">
        <v>0</v>
      </c>
      <c r="L83" t="n">
        <v>0</v>
      </c>
      <c r="M83" t="n">
        <v>0</v>
      </c>
      <c r="N83" t="n">
        <v>0</v>
      </c>
      <c r="O83" t="n">
        <v>0</v>
      </c>
      <c r="P83" t="n">
        <v>0</v>
      </c>
      <c r="Q83" t="n">
        <v>0</v>
      </c>
      <c r="R83" t="n">
        <v>0</v>
      </c>
      <c r="S83" t="n">
        <v>0</v>
      </c>
      <c r="T83" t="n">
        <v>0</v>
      </c>
      <c r="U83" s="2" t="inlineStr"/>
    </row>
    <row r="84" ht="15" customHeight="1">
      <c r="A84" t="inlineStr">
        <is>
          <t>A 9382-2024</t>
        </is>
      </c>
      <c r="B84" t="inlineStr">
        <is>
          <t>avverkningsanmälan</t>
        </is>
      </c>
      <c r="C84" t="inlineStr">
        <is>
          <t>Föryngringsavverkning</t>
        </is>
      </c>
      <c r="D84" s="1" t="n">
        <v>45359</v>
      </c>
      <c r="E84" s="1" t="n">
        <v>46217</v>
      </c>
      <c r="F84" t="inlineStr">
        <is>
          <t>VÄSTRA GÖTALANDS LÄN</t>
        </is>
      </c>
      <c r="G84" t="inlineStr">
        <is>
          <t>DALS-ED</t>
        </is>
      </c>
      <c r="I84" t="n">
        <v>0.9</v>
      </c>
      <c r="J84" t="n">
        <v>0</v>
      </c>
      <c r="K84" t="n">
        <v>0</v>
      </c>
      <c r="L84" t="n">
        <v>0</v>
      </c>
      <c r="M84" t="n">
        <v>0</v>
      </c>
      <c r="N84" t="n">
        <v>0</v>
      </c>
      <c r="O84" t="n">
        <v>0</v>
      </c>
      <c r="P84" t="n">
        <v>0</v>
      </c>
      <c r="Q84" t="n">
        <v>0</v>
      </c>
      <c r="R84" t="n">
        <v>0</v>
      </c>
      <c r="S84" t="n">
        <v>0</v>
      </c>
      <c r="T84" t="n">
        <v>0</v>
      </c>
      <c r="U84" s="2" t="inlineStr"/>
    </row>
    <row r="85" ht="15" customHeight="1">
      <c r="A85" t="inlineStr">
        <is>
          <t>A 17142-2024</t>
        </is>
      </c>
      <c r="B85" t="inlineStr">
        <is>
          <t>avverkningsanmälan</t>
        </is>
      </c>
      <c r="C85" t="inlineStr">
        <is>
          <t>Föryngringsavverkning</t>
        </is>
      </c>
      <c r="D85" s="1" t="n">
        <v>45412</v>
      </c>
      <c r="E85" s="1" t="n">
        <v>46217</v>
      </c>
      <c r="F85" t="inlineStr">
        <is>
          <t>VÄSTRA GÖTALANDS LÄN</t>
        </is>
      </c>
      <c r="G85" t="inlineStr">
        <is>
          <t>DALS-ED</t>
        </is>
      </c>
      <c r="I85" t="n">
        <v>2</v>
      </c>
      <c r="J85" t="n">
        <v>0</v>
      </c>
      <c r="K85" t="n">
        <v>0</v>
      </c>
      <c r="L85" t="n">
        <v>0</v>
      </c>
      <c r="M85" t="n">
        <v>0</v>
      </c>
      <c r="N85" t="n">
        <v>0</v>
      </c>
      <c r="O85" t="n">
        <v>0</v>
      </c>
      <c r="P85" t="n">
        <v>0</v>
      </c>
      <c r="Q85" t="n">
        <v>0</v>
      </c>
      <c r="R85" t="n">
        <v>0</v>
      </c>
      <c r="S85" t="n">
        <v>0</v>
      </c>
      <c r="T85" t="n">
        <v>0</v>
      </c>
      <c r="U85" s="2" t="inlineStr"/>
    </row>
    <row r="86" ht="15" customHeight="1">
      <c r="A86" t="inlineStr">
        <is>
          <t>A 35466-2024</t>
        </is>
      </c>
      <c r="B86" t="inlineStr">
        <is>
          <t>avverkningsanmälan</t>
        </is>
      </c>
      <c r="C86" t="inlineStr">
        <is>
          <t>Föryngringsavverkning</t>
        </is>
      </c>
      <c r="D86" s="1" t="n">
        <v>45531</v>
      </c>
      <c r="E86" s="1" t="n">
        <v>46217</v>
      </c>
      <c r="F86" t="inlineStr">
        <is>
          <t>VÄSTRA GÖTALANDS LÄN</t>
        </is>
      </c>
      <c r="G86" t="inlineStr">
        <is>
          <t>DALS-ED</t>
        </is>
      </c>
      <c r="I86" t="n">
        <v>4.7</v>
      </c>
      <c r="J86" t="n">
        <v>0</v>
      </c>
      <c r="K86" t="n">
        <v>0</v>
      </c>
      <c r="L86" t="n">
        <v>0</v>
      </c>
      <c r="M86" t="n">
        <v>0</v>
      </c>
      <c r="N86" t="n">
        <v>0</v>
      </c>
      <c r="O86" t="n">
        <v>0</v>
      </c>
      <c r="P86" t="n">
        <v>0</v>
      </c>
      <c r="Q86" t="n">
        <v>0</v>
      </c>
      <c r="R86" t="n">
        <v>0</v>
      </c>
      <c r="S86" t="n">
        <v>0</v>
      </c>
      <c r="T86" t="n">
        <v>0</v>
      </c>
      <c r="U86" s="2" t="inlineStr"/>
    </row>
    <row r="87" ht="15" customHeight="1">
      <c r="A87" t="inlineStr">
        <is>
          <t>A 52277-2023</t>
        </is>
      </c>
      <c r="B87" t="inlineStr">
        <is>
          <t>avverkningsanmälan</t>
        </is>
      </c>
      <c r="C87" t="inlineStr">
        <is>
          <t>Föryngringsavverkning</t>
        </is>
      </c>
      <c r="D87" s="1" t="n">
        <v>45217</v>
      </c>
      <c r="E87" s="1" t="n">
        <v>46217</v>
      </c>
      <c r="F87" t="inlineStr">
        <is>
          <t>VÄSTRA GÖTALANDS LÄN</t>
        </is>
      </c>
      <c r="G87" t="inlineStr">
        <is>
          <t>DALS-ED</t>
        </is>
      </c>
      <c r="H87" t="inlineStr">
        <is>
          <t>Kyrkan</t>
        </is>
      </c>
      <c r="I87" t="n">
        <v>1.5</v>
      </c>
      <c r="J87" t="n">
        <v>0</v>
      </c>
      <c r="K87" t="n">
        <v>0</v>
      </c>
      <c r="L87" t="n">
        <v>0</v>
      </c>
      <c r="M87" t="n">
        <v>0</v>
      </c>
      <c r="N87" t="n">
        <v>0</v>
      </c>
      <c r="O87" t="n">
        <v>0</v>
      </c>
      <c r="P87" t="n">
        <v>0</v>
      </c>
      <c r="Q87" t="n">
        <v>0</v>
      </c>
      <c r="R87" t="n">
        <v>0</v>
      </c>
      <c r="S87" t="n">
        <v>0</v>
      </c>
      <c r="T87" t="n">
        <v>0</v>
      </c>
      <c r="U87" s="2" t="inlineStr"/>
    </row>
    <row r="88" ht="15" customHeight="1">
      <c r="A88" t="inlineStr">
        <is>
          <t>A 21140-2024</t>
        </is>
      </c>
      <c r="B88" t="inlineStr">
        <is>
          <t>avverkningsanmälan</t>
        </is>
      </c>
      <c r="C88" t="inlineStr">
        <is>
          <t>Föryngringsavverkning</t>
        </is>
      </c>
      <c r="D88" s="1" t="n">
        <v>45440</v>
      </c>
      <c r="E88" s="1" t="n">
        <v>46217</v>
      </c>
      <c r="F88" t="inlineStr">
        <is>
          <t>VÄSTRA GÖTALANDS LÄN</t>
        </is>
      </c>
      <c r="G88" t="inlineStr">
        <is>
          <t>DALS-ED</t>
        </is>
      </c>
      <c r="I88" t="n">
        <v>0.7</v>
      </c>
      <c r="J88" t="n">
        <v>0</v>
      </c>
      <c r="K88" t="n">
        <v>0</v>
      </c>
      <c r="L88" t="n">
        <v>0</v>
      </c>
      <c r="M88" t="n">
        <v>0</v>
      </c>
      <c r="N88" t="n">
        <v>0</v>
      </c>
      <c r="O88" t="n">
        <v>0</v>
      </c>
      <c r="P88" t="n">
        <v>0</v>
      </c>
      <c r="Q88" t="n">
        <v>0</v>
      </c>
      <c r="R88" t="n">
        <v>0</v>
      </c>
      <c r="S88" t="n">
        <v>0</v>
      </c>
      <c r="T88" t="n">
        <v>0</v>
      </c>
      <c r="U88" s="2" t="inlineStr"/>
    </row>
    <row r="89" ht="15" customHeight="1">
      <c r="A89" t="inlineStr">
        <is>
          <t>A 21148-2024</t>
        </is>
      </c>
      <c r="B89" t="inlineStr">
        <is>
          <t>avverkningsanmälan</t>
        </is>
      </c>
      <c r="C89" t="inlineStr">
        <is>
          <t>Föryngringsavverkning</t>
        </is>
      </c>
      <c r="D89" s="1" t="n">
        <v>45440</v>
      </c>
      <c r="E89" s="1" t="n">
        <v>46217</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s="2" t="inlineStr"/>
    </row>
    <row r="90" ht="15" customHeight="1">
      <c r="A90" t="inlineStr">
        <is>
          <t>A 19171-2024</t>
        </is>
      </c>
      <c r="B90" t="inlineStr">
        <is>
          <t>avverkningsanmälan</t>
        </is>
      </c>
      <c r="C90" t="inlineStr">
        <is>
          <t>Föryngringsavverkning</t>
        </is>
      </c>
      <c r="D90" s="1" t="n">
        <v>45428</v>
      </c>
      <c r="E90" s="1" t="n">
        <v>46217</v>
      </c>
      <c r="F90" t="inlineStr">
        <is>
          <t>VÄSTRA GÖTALANDS LÄN</t>
        </is>
      </c>
      <c r="G90" t="inlineStr">
        <is>
          <t>DALS-ED</t>
        </is>
      </c>
      <c r="I90" t="n">
        <v>0.5</v>
      </c>
      <c r="J90" t="n">
        <v>0</v>
      </c>
      <c r="K90" t="n">
        <v>0</v>
      </c>
      <c r="L90" t="n">
        <v>0</v>
      </c>
      <c r="M90" t="n">
        <v>0</v>
      </c>
      <c r="N90" t="n">
        <v>0</v>
      </c>
      <c r="O90" t="n">
        <v>0</v>
      </c>
      <c r="P90" t="n">
        <v>0</v>
      </c>
      <c r="Q90" t="n">
        <v>0</v>
      </c>
      <c r="R90" t="n">
        <v>0</v>
      </c>
      <c r="S90" t="n">
        <v>0</v>
      </c>
      <c r="T90" t="n">
        <v>0</v>
      </c>
      <c r="U90" s="2" t="inlineStr"/>
    </row>
    <row r="91" ht="15" customHeight="1">
      <c r="A91" t="inlineStr">
        <is>
          <t>A 51701-2021</t>
        </is>
      </c>
      <c r="B91" t="inlineStr">
        <is>
          <t>avverkningsanmälan</t>
        </is>
      </c>
      <c r="C91" t="inlineStr">
        <is>
          <t>Föryngringsavverkning</t>
        </is>
      </c>
      <c r="D91" s="1" t="n">
        <v>44462</v>
      </c>
      <c r="E91" s="1" t="n">
        <v>46217</v>
      </c>
      <c r="F91" t="inlineStr">
        <is>
          <t>VÄSTRA GÖTALANDS LÄN</t>
        </is>
      </c>
      <c r="G91" t="inlineStr">
        <is>
          <t>DALS-ED</t>
        </is>
      </c>
      <c r="I91" t="n">
        <v>3.5</v>
      </c>
      <c r="J91" t="n">
        <v>0</v>
      </c>
      <c r="K91" t="n">
        <v>0</v>
      </c>
      <c r="L91" t="n">
        <v>0</v>
      </c>
      <c r="M91" t="n">
        <v>0</v>
      </c>
      <c r="N91" t="n">
        <v>0</v>
      </c>
      <c r="O91" t="n">
        <v>0</v>
      </c>
      <c r="P91" t="n">
        <v>0</v>
      </c>
      <c r="Q91" t="n">
        <v>0</v>
      </c>
      <c r="R91" t="n">
        <v>0</v>
      </c>
      <c r="S91" t="n">
        <v>0</v>
      </c>
      <c r="T91" t="n">
        <v>0</v>
      </c>
      <c r="U91" s="2" t="inlineStr"/>
    </row>
    <row r="92" ht="15" customHeight="1">
      <c r="A92" t="inlineStr">
        <is>
          <t>A 57262-2022</t>
        </is>
      </c>
      <c r="B92" t="inlineStr">
        <is>
          <t>avverkningsanmälan</t>
        </is>
      </c>
      <c r="C92" t="inlineStr">
        <is>
          <t>Föryngringsavverkning</t>
        </is>
      </c>
      <c r="D92" s="1" t="n">
        <v>44895</v>
      </c>
      <c r="E92" s="1" t="n">
        <v>46217</v>
      </c>
      <c r="F92" t="inlineStr">
        <is>
          <t>VÄSTRA GÖTALANDS LÄN</t>
        </is>
      </c>
      <c r="G92" t="inlineStr">
        <is>
          <t>DALS-ED</t>
        </is>
      </c>
      <c r="H92" t="inlineStr">
        <is>
          <t>Kommuner</t>
        </is>
      </c>
      <c r="I92" t="n">
        <v>0.5</v>
      </c>
      <c r="J92" t="n">
        <v>0</v>
      </c>
      <c r="K92" t="n">
        <v>0</v>
      </c>
      <c r="L92" t="n">
        <v>0</v>
      </c>
      <c r="M92" t="n">
        <v>0</v>
      </c>
      <c r="N92" t="n">
        <v>0</v>
      </c>
      <c r="O92" t="n">
        <v>0</v>
      </c>
      <c r="P92" t="n">
        <v>0</v>
      </c>
      <c r="Q92" t="n">
        <v>0</v>
      </c>
      <c r="R92" t="n">
        <v>0</v>
      </c>
      <c r="S92" t="n">
        <v>0</v>
      </c>
      <c r="T92" t="n">
        <v>0</v>
      </c>
      <c r="U92" s="2" t="inlineStr"/>
    </row>
    <row r="93" ht="15" customHeight="1">
      <c r="A93" t="inlineStr">
        <is>
          <t>A 40354-2022</t>
        </is>
      </c>
      <c r="B93" t="inlineStr">
        <is>
          <t>avverkningsanmälan</t>
        </is>
      </c>
      <c r="C93" t="inlineStr">
        <is>
          <t>Föryngringsavverkning</t>
        </is>
      </c>
      <c r="D93" s="1" t="n">
        <v>44823</v>
      </c>
      <c r="E93" s="1" t="n">
        <v>46217</v>
      </c>
      <c r="F93" t="inlineStr">
        <is>
          <t>VÄSTRA GÖTALANDS LÄN</t>
        </is>
      </c>
      <c r="G93" t="inlineStr">
        <is>
          <t>DALS-ED</t>
        </is>
      </c>
      <c r="I93" t="n">
        <v>4.1</v>
      </c>
      <c r="J93" t="n">
        <v>0</v>
      </c>
      <c r="K93" t="n">
        <v>0</v>
      </c>
      <c r="L93" t="n">
        <v>0</v>
      </c>
      <c r="M93" t="n">
        <v>0</v>
      </c>
      <c r="N93" t="n">
        <v>0</v>
      </c>
      <c r="O93" t="n">
        <v>0</v>
      </c>
      <c r="P93" t="n">
        <v>0</v>
      </c>
      <c r="Q93" t="n">
        <v>0</v>
      </c>
      <c r="R93" t="n">
        <v>0</v>
      </c>
      <c r="S93" t="n">
        <v>0</v>
      </c>
      <c r="T93" t="n">
        <v>0</v>
      </c>
      <c r="U93" s="2" t="inlineStr"/>
    </row>
    <row r="94" ht="15" customHeight="1">
      <c r="A94" t="inlineStr">
        <is>
          <t>A 32082-2023</t>
        </is>
      </c>
      <c r="B94" t="inlineStr">
        <is>
          <t>avverkningsanmälan</t>
        </is>
      </c>
      <c r="C94" t="inlineStr">
        <is>
          <t>Föryngringsavverkning</t>
        </is>
      </c>
      <c r="D94" s="1" t="n">
        <v>45119</v>
      </c>
      <c r="E94" s="1" t="n">
        <v>46217</v>
      </c>
      <c r="F94" t="inlineStr">
        <is>
          <t>VÄSTRA GÖTALANDS LÄN</t>
        </is>
      </c>
      <c r="G94" t="inlineStr">
        <is>
          <t>DALS-ED</t>
        </is>
      </c>
      <c r="I94" t="n">
        <v>0.6</v>
      </c>
      <c r="J94" t="n">
        <v>0</v>
      </c>
      <c r="K94" t="n">
        <v>0</v>
      </c>
      <c r="L94" t="n">
        <v>0</v>
      </c>
      <c r="M94" t="n">
        <v>0</v>
      </c>
      <c r="N94" t="n">
        <v>0</v>
      </c>
      <c r="O94" t="n">
        <v>0</v>
      </c>
      <c r="P94" t="n">
        <v>0</v>
      </c>
      <c r="Q94" t="n">
        <v>0</v>
      </c>
      <c r="R94" t="n">
        <v>0</v>
      </c>
      <c r="S94" t="n">
        <v>0</v>
      </c>
      <c r="T94" t="n">
        <v>0</v>
      </c>
      <c r="U94" s="2" t="inlineStr"/>
    </row>
    <row r="95" ht="15" customHeight="1">
      <c r="A95" t="inlineStr">
        <is>
          <t>A 15363-2024</t>
        </is>
      </c>
      <c r="B95" t="inlineStr">
        <is>
          <t>avverkningsanmälan</t>
        </is>
      </c>
      <c r="C95" t="inlineStr">
        <is>
          <t>Föryngringsavverkning</t>
        </is>
      </c>
      <c r="D95" s="1" t="n">
        <v>45400</v>
      </c>
      <c r="E95" s="1" t="n">
        <v>46217</v>
      </c>
      <c r="F95" t="inlineStr">
        <is>
          <t>VÄSTRA GÖTALANDS LÄN</t>
        </is>
      </c>
      <c r="G95" t="inlineStr">
        <is>
          <t>DALS-ED</t>
        </is>
      </c>
      <c r="I95" t="n">
        <v>1</v>
      </c>
      <c r="J95" t="n">
        <v>0</v>
      </c>
      <c r="K95" t="n">
        <v>0</v>
      </c>
      <c r="L95" t="n">
        <v>0</v>
      </c>
      <c r="M95" t="n">
        <v>0</v>
      </c>
      <c r="N95" t="n">
        <v>0</v>
      </c>
      <c r="O95" t="n">
        <v>0</v>
      </c>
      <c r="P95" t="n">
        <v>0</v>
      </c>
      <c r="Q95" t="n">
        <v>0</v>
      </c>
      <c r="R95" t="n">
        <v>0</v>
      </c>
      <c r="S95" t="n">
        <v>0</v>
      </c>
      <c r="T95" t="n">
        <v>0</v>
      </c>
      <c r="U95" s="2" t="inlineStr"/>
    </row>
    <row r="96" ht="15" customHeight="1">
      <c r="A96" t="inlineStr">
        <is>
          <t>A 43747-2023</t>
        </is>
      </c>
      <c r="B96" t="inlineStr">
        <is>
          <t>avverkningsanmälan</t>
        </is>
      </c>
      <c r="C96" t="inlineStr">
        <is>
          <t>Föryngringsavverkning</t>
        </is>
      </c>
      <c r="D96" s="1" t="n">
        <v>45187</v>
      </c>
      <c r="E96" s="1" t="n">
        <v>46217</v>
      </c>
      <c r="F96" t="inlineStr">
        <is>
          <t>VÄSTRA GÖTALANDS LÄN</t>
        </is>
      </c>
      <c r="G96" t="inlineStr">
        <is>
          <t>DALS-ED</t>
        </is>
      </c>
      <c r="I96" t="n">
        <v>1.6</v>
      </c>
      <c r="J96" t="n">
        <v>0</v>
      </c>
      <c r="K96" t="n">
        <v>0</v>
      </c>
      <c r="L96" t="n">
        <v>0</v>
      </c>
      <c r="M96" t="n">
        <v>0</v>
      </c>
      <c r="N96" t="n">
        <v>0</v>
      </c>
      <c r="O96" t="n">
        <v>0</v>
      </c>
      <c r="P96" t="n">
        <v>0</v>
      </c>
      <c r="Q96" t="n">
        <v>0</v>
      </c>
      <c r="R96" t="n">
        <v>0</v>
      </c>
      <c r="S96" t="n">
        <v>0</v>
      </c>
      <c r="T96" t="n">
        <v>0</v>
      </c>
      <c r="U96" s="2" t="inlineStr"/>
    </row>
    <row r="97" ht="15" customHeight="1">
      <c r="A97" t="inlineStr">
        <is>
          <t>A 64177-2023</t>
        </is>
      </c>
      <c r="B97" t="inlineStr">
        <is>
          <t>avverkningsanmälan</t>
        </is>
      </c>
      <c r="C97" t="inlineStr">
        <is>
          <t>Föryngringsavverkning</t>
        </is>
      </c>
      <c r="D97" s="1" t="n">
        <v>45279</v>
      </c>
      <c r="E97" s="1" t="n">
        <v>46217</v>
      </c>
      <c r="F97" t="inlineStr">
        <is>
          <t>VÄSTRA GÖTALANDS LÄN</t>
        </is>
      </c>
      <c r="G97" t="inlineStr">
        <is>
          <t>DALS-ED</t>
        </is>
      </c>
      <c r="H97" t="inlineStr">
        <is>
          <t>Bergvik skog väst AB</t>
        </is>
      </c>
      <c r="I97" t="n">
        <v>18.6</v>
      </c>
      <c r="J97" t="n">
        <v>0</v>
      </c>
      <c r="K97" t="n">
        <v>0</v>
      </c>
      <c r="L97" t="n">
        <v>0</v>
      </c>
      <c r="M97" t="n">
        <v>0</v>
      </c>
      <c r="N97" t="n">
        <v>0</v>
      </c>
      <c r="O97" t="n">
        <v>0</v>
      </c>
      <c r="P97" t="n">
        <v>0</v>
      </c>
      <c r="Q97" t="n">
        <v>0</v>
      </c>
      <c r="R97" t="n">
        <v>0</v>
      </c>
      <c r="S97" t="n">
        <v>0</v>
      </c>
      <c r="T97" t="n">
        <v>0</v>
      </c>
      <c r="U97" s="2" t="inlineStr"/>
    </row>
    <row r="98" ht="15" customHeight="1">
      <c r="A98" t="inlineStr">
        <is>
          <t>A 28588-2024</t>
        </is>
      </c>
      <c r="B98" t="inlineStr">
        <is>
          <t>avverkningsanmälan</t>
        </is>
      </c>
      <c r="C98" t="inlineStr">
        <is>
          <t>Föryngringsavverkning</t>
        </is>
      </c>
      <c r="D98" s="1" t="n">
        <v>45478</v>
      </c>
      <c r="E98" s="1" t="n">
        <v>46217</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s="2" t="inlineStr"/>
    </row>
    <row r="99" ht="15" customHeight="1">
      <c r="A99" t="inlineStr">
        <is>
          <t>A 47828-2022</t>
        </is>
      </c>
      <c r="B99" t="inlineStr">
        <is>
          <t>avverkningsanmälan</t>
        </is>
      </c>
      <c r="C99" t="inlineStr">
        <is>
          <t>Föryngringsavverkning</t>
        </is>
      </c>
      <c r="D99" s="1" t="n">
        <v>44855</v>
      </c>
      <c r="E99" s="1" t="n">
        <v>46217</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s="2" t="inlineStr"/>
    </row>
    <row r="100" ht="15" customHeight="1">
      <c r="A100" t="inlineStr">
        <is>
          <t>A 2280-2023</t>
        </is>
      </c>
      <c r="B100" t="inlineStr">
        <is>
          <t>avverkningsanmälan</t>
        </is>
      </c>
      <c r="C100" t="inlineStr">
        <is>
          <t>Föryngringsavverkning</t>
        </is>
      </c>
      <c r="D100" s="1" t="n">
        <v>44942</v>
      </c>
      <c r="E100" s="1" t="n">
        <v>46217</v>
      </c>
      <c r="F100" t="inlineStr">
        <is>
          <t>VÄSTRA GÖTALANDS LÄN</t>
        </is>
      </c>
      <c r="G100" t="inlineStr">
        <is>
          <t>DALS-ED</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6817-2024</t>
        </is>
      </c>
      <c r="B101" t="inlineStr">
        <is>
          <t>avverkningsanmälan</t>
        </is>
      </c>
      <c r="C101" t="inlineStr">
        <is>
          <t>Föryngringsavverkning</t>
        </is>
      </c>
      <c r="D101" s="1" t="n">
        <v>45342</v>
      </c>
      <c r="E101" s="1" t="n">
        <v>46217</v>
      </c>
      <c r="F101" t="inlineStr">
        <is>
          <t>VÄSTRA GÖTALANDS LÄN</t>
        </is>
      </c>
      <c r="G101" t="inlineStr">
        <is>
          <t>DALS-ED</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57105-2022</t>
        </is>
      </c>
      <c r="B102" t="inlineStr">
        <is>
          <t>avverkningsanmälan</t>
        </is>
      </c>
      <c r="C102" t="inlineStr">
        <is>
          <t>Föryngringsavverkning</t>
        </is>
      </c>
      <c r="D102" s="1" t="n">
        <v>44895</v>
      </c>
      <c r="E102" s="1" t="n">
        <v>46217</v>
      </c>
      <c r="F102" t="inlineStr">
        <is>
          <t>VÄSTRA GÖTALANDS LÄN</t>
        </is>
      </c>
      <c r="G102" t="inlineStr">
        <is>
          <t>DALS-ED</t>
        </is>
      </c>
      <c r="I102" t="n">
        <v>11.4</v>
      </c>
      <c r="J102" t="n">
        <v>0</v>
      </c>
      <c r="K102" t="n">
        <v>0</v>
      </c>
      <c r="L102" t="n">
        <v>0</v>
      </c>
      <c r="M102" t="n">
        <v>0</v>
      </c>
      <c r="N102" t="n">
        <v>0</v>
      </c>
      <c r="O102" t="n">
        <v>0</v>
      </c>
      <c r="P102" t="n">
        <v>0</v>
      </c>
      <c r="Q102" t="n">
        <v>0</v>
      </c>
      <c r="R102" t="n">
        <v>0</v>
      </c>
      <c r="S102" t="n">
        <v>0</v>
      </c>
      <c r="T102" t="n">
        <v>0</v>
      </c>
      <c r="U102" s="2" t="inlineStr"/>
    </row>
    <row r="103" ht="15" customHeight="1">
      <c r="A103" t="inlineStr">
        <is>
          <t>A 27877-2024</t>
        </is>
      </c>
      <c r="B103" t="inlineStr">
        <is>
          <t>avverkningsanmälan</t>
        </is>
      </c>
      <c r="C103" t="inlineStr">
        <is>
          <t>Föryngringsavverkning</t>
        </is>
      </c>
      <c r="D103" s="1" t="n">
        <v>45475</v>
      </c>
      <c r="E103" s="1" t="n">
        <v>46217</v>
      </c>
      <c r="F103" t="inlineStr">
        <is>
          <t>VÄSTRA GÖTALANDS LÄN</t>
        </is>
      </c>
      <c r="G103" t="inlineStr">
        <is>
          <t>DALS-ED</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52860-2022</t>
        </is>
      </c>
      <c r="B104" t="inlineStr">
        <is>
          <t>avverkningsanmälan</t>
        </is>
      </c>
      <c r="C104" t="inlineStr">
        <is>
          <t>Föryngringsavverkning</t>
        </is>
      </c>
      <c r="D104" s="1" t="n">
        <v>44875</v>
      </c>
      <c r="E104" s="1" t="n">
        <v>46217</v>
      </c>
      <c r="F104" t="inlineStr">
        <is>
          <t>VÄSTRA GÖTALANDS LÄN</t>
        </is>
      </c>
      <c r="G104" t="inlineStr">
        <is>
          <t>DALS-ED</t>
        </is>
      </c>
      <c r="I104" t="n">
        <v>2.8</v>
      </c>
      <c r="J104" t="n">
        <v>0</v>
      </c>
      <c r="K104" t="n">
        <v>0</v>
      </c>
      <c r="L104" t="n">
        <v>0</v>
      </c>
      <c r="M104" t="n">
        <v>0</v>
      </c>
      <c r="N104" t="n">
        <v>0</v>
      </c>
      <c r="O104" t="n">
        <v>0</v>
      </c>
      <c r="P104" t="n">
        <v>0</v>
      </c>
      <c r="Q104" t="n">
        <v>0</v>
      </c>
      <c r="R104" t="n">
        <v>0</v>
      </c>
      <c r="S104" t="n">
        <v>0</v>
      </c>
      <c r="T104" t="n">
        <v>0</v>
      </c>
      <c r="U104" s="2" t="inlineStr"/>
    </row>
    <row r="105" ht="15" customHeight="1">
      <c r="A105" t="inlineStr">
        <is>
          <t>A 60146-2022</t>
        </is>
      </c>
      <c r="B105" t="inlineStr">
        <is>
          <t>avverkningsanmälan</t>
        </is>
      </c>
      <c r="C105" t="inlineStr">
        <is>
          <t>Föryngringsavverkning</t>
        </is>
      </c>
      <c r="D105" s="1" t="n">
        <v>44902</v>
      </c>
      <c r="E105" s="1" t="n">
        <v>46217</v>
      </c>
      <c r="F105" t="inlineStr">
        <is>
          <t>VÄSTRA GÖTALANDS LÄN</t>
        </is>
      </c>
      <c r="G105" t="inlineStr">
        <is>
          <t>DALS-ED</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57701-2023</t>
        </is>
      </c>
      <c r="B106" t="inlineStr">
        <is>
          <t>avverkningsanmälan</t>
        </is>
      </c>
      <c r="C106" t="inlineStr">
        <is>
          <t>Föryngringsavverkning</t>
        </is>
      </c>
      <c r="D106" s="1" t="n">
        <v>45246</v>
      </c>
      <c r="E106" s="1" t="n">
        <v>46217</v>
      </c>
      <c r="F106" t="inlineStr">
        <is>
          <t>VÄSTRA GÖTALANDS LÄN</t>
        </is>
      </c>
      <c r="G106" t="inlineStr">
        <is>
          <t>DALS-ED</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60106-2022</t>
        </is>
      </c>
      <c r="B107" t="inlineStr">
        <is>
          <t>avverkningsanmälan</t>
        </is>
      </c>
      <c r="C107" t="inlineStr">
        <is>
          <t>Föryngringsavverkning</t>
        </is>
      </c>
      <c r="D107" s="1" t="n">
        <v>44909</v>
      </c>
      <c r="E107" s="1" t="n">
        <v>46217</v>
      </c>
      <c r="F107" t="inlineStr">
        <is>
          <t>VÄSTRA GÖTALANDS LÄN</t>
        </is>
      </c>
      <c r="G107" t="inlineStr">
        <is>
          <t>DALS-ED</t>
        </is>
      </c>
      <c r="I107" t="n">
        <v>3.7</v>
      </c>
      <c r="J107" t="n">
        <v>0</v>
      </c>
      <c r="K107" t="n">
        <v>0</v>
      </c>
      <c r="L107" t="n">
        <v>0</v>
      </c>
      <c r="M107" t="n">
        <v>0</v>
      </c>
      <c r="N107" t="n">
        <v>0</v>
      </c>
      <c r="O107" t="n">
        <v>0</v>
      </c>
      <c r="P107" t="n">
        <v>0</v>
      </c>
      <c r="Q107" t="n">
        <v>0</v>
      </c>
      <c r="R107" t="n">
        <v>0</v>
      </c>
      <c r="S107" t="n">
        <v>0</v>
      </c>
      <c r="T107" t="n">
        <v>0</v>
      </c>
      <c r="U107" s="2" t="inlineStr"/>
    </row>
    <row r="108" ht="15" customHeight="1">
      <c r="A108" t="inlineStr">
        <is>
          <t>A 58199-2022</t>
        </is>
      </c>
      <c r="B108" t="inlineStr">
        <is>
          <t>avverkningsanmälan</t>
        </is>
      </c>
      <c r="C108" t="inlineStr">
        <is>
          <t>Föryngringsavverkning</t>
        </is>
      </c>
      <c r="D108" s="1" t="n">
        <v>44901</v>
      </c>
      <c r="E108" s="1" t="n">
        <v>46217</v>
      </c>
      <c r="F108" t="inlineStr">
        <is>
          <t>VÄSTRA GÖTALANDS LÄN</t>
        </is>
      </c>
      <c r="G108" t="inlineStr">
        <is>
          <t>DALS-ED</t>
        </is>
      </c>
      <c r="I108" t="n">
        <v>5.6</v>
      </c>
      <c r="J108" t="n">
        <v>0</v>
      </c>
      <c r="K108" t="n">
        <v>0</v>
      </c>
      <c r="L108" t="n">
        <v>0</v>
      </c>
      <c r="M108" t="n">
        <v>0</v>
      </c>
      <c r="N108" t="n">
        <v>0</v>
      </c>
      <c r="O108" t="n">
        <v>0</v>
      </c>
      <c r="P108" t="n">
        <v>0</v>
      </c>
      <c r="Q108" t="n">
        <v>0</v>
      </c>
      <c r="R108" t="n">
        <v>0</v>
      </c>
      <c r="S108" t="n">
        <v>0</v>
      </c>
      <c r="T108" t="n">
        <v>0</v>
      </c>
      <c r="U108" s="2" t="inlineStr"/>
    </row>
    <row r="109" ht="15" customHeight="1">
      <c r="A109" t="inlineStr">
        <is>
          <t>A 49863-2024</t>
        </is>
      </c>
      <c r="B109" t="inlineStr">
        <is>
          <t>avverkningsanmälan</t>
        </is>
      </c>
      <c r="C109" t="inlineStr">
        <is>
          <t>Föryngringsavverkning</t>
        </is>
      </c>
      <c r="D109" s="1" t="n">
        <v>45597</v>
      </c>
      <c r="E109" s="1" t="n">
        <v>46217</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13581-2022</t>
        </is>
      </c>
      <c r="B110" t="inlineStr">
        <is>
          <t>avverkningsanmälan</t>
        </is>
      </c>
      <c r="C110" t="inlineStr">
        <is>
          <t>Föryngringsavverkning</t>
        </is>
      </c>
      <c r="D110" s="1" t="n">
        <v>44648</v>
      </c>
      <c r="E110" s="1" t="n">
        <v>46217</v>
      </c>
      <c r="F110" t="inlineStr">
        <is>
          <t>VÄSTRA GÖTALANDS LÄN</t>
        </is>
      </c>
      <c r="G110" t="inlineStr">
        <is>
          <t>DALS-ED</t>
        </is>
      </c>
      <c r="I110" t="n">
        <v>3.8</v>
      </c>
      <c r="J110" t="n">
        <v>0</v>
      </c>
      <c r="K110" t="n">
        <v>0</v>
      </c>
      <c r="L110" t="n">
        <v>0</v>
      </c>
      <c r="M110" t="n">
        <v>0</v>
      </c>
      <c r="N110" t="n">
        <v>0</v>
      </c>
      <c r="O110" t="n">
        <v>0</v>
      </c>
      <c r="P110" t="n">
        <v>0</v>
      </c>
      <c r="Q110" t="n">
        <v>0</v>
      </c>
      <c r="R110" t="n">
        <v>0</v>
      </c>
      <c r="S110" t="n">
        <v>0</v>
      </c>
      <c r="T110" t="n">
        <v>0</v>
      </c>
      <c r="U110" s="2" t="inlineStr"/>
    </row>
    <row r="111" ht="15" customHeight="1">
      <c r="A111" t="inlineStr">
        <is>
          <t>A 47311-2023</t>
        </is>
      </c>
      <c r="B111" t="inlineStr">
        <is>
          <t>avverkningsanmälan</t>
        </is>
      </c>
      <c r="C111" t="inlineStr">
        <is>
          <t>Föryngringsavverkning</t>
        </is>
      </c>
      <c r="D111" s="1" t="n">
        <v>45202</v>
      </c>
      <c r="E111" s="1" t="n">
        <v>46217</v>
      </c>
      <c r="F111" t="inlineStr">
        <is>
          <t>VÄSTRA GÖTALANDS LÄN</t>
        </is>
      </c>
      <c r="G111" t="inlineStr">
        <is>
          <t>DALS-ED</t>
        </is>
      </c>
      <c r="I111" t="n">
        <v>2.8</v>
      </c>
      <c r="J111" t="n">
        <v>0</v>
      </c>
      <c r="K111" t="n">
        <v>0</v>
      </c>
      <c r="L111" t="n">
        <v>0</v>
      </c>
      <c r="M111" t="n">
        <v>0</v>
      </c>
      <c r="N111" t="n">
        <v>0</v>
      </c>
      <c r="O111" t="n">
        <v>0</v>
      </c>
      <c r="P111" t="n">
        <v>0</v>
      </c>
      <c r="Q111" t="n">
        <v>0</v>
      </c>
      <c r="R111" t="n">
        <v>0</v>
      </c>
      <c r="S111" t="n">
        <v>0</v>
      </c>
      <c r="T111" t="n">
        <v>0</v>
      </c>
      <c r="U111" s="2" t="inlineStr"/>
    </row>
    <row r="112" ht="15" customHeight="1">
      <c r="A112" t="inlineStr">
        <is>
          <t>A 6570-2022</t>
        </is>
      </c>
      <c r="B112" t="inlineStr">
        <is>
          <t>avverkningsanmälan</t>
        </is>
      </c>
      <c r="C112" t="inlineStr">
        <is>
          <t>Föryngringsavverkning</t>
        </is>
      </c>
      <c r="D112" s="1" t="n">
        <v>44601</v>
      </c>
      <c r="E112" s="1" t="n">
        <v>46217</v>
      </c>
      <c r="F112" t="inlineStr">
        <is>
          <t>VÄSTRA GÖTALANDS LÄN</t>
        </is>
      </c>
      <c r="G112" t="inlineStr">
        <is>
          <t>DALS-ED</t>
        </is>
      </c>
      <c r="I112" t="n">
        <v>2.9</v>
      </c>
      <c r="J112" t="n">
        <v>0</v>
      </c>
      <c r="K112" t="n">
        <v>0</v>
      </c>
      <c r="L112" t="n">
        <v>0</v>
      </c>
      <c r="M112" t="n">
        <v>0</v>
      </c>
      <c r="N112" t="n">
        <v>0</v>
      </c>
      <c r="O112" t="n">
        <v>0</v>
      </c>
      <c r="P112" t="n">
        <v>0</v>
      </c>
      <c r="Q112" t="n">
        <v>0</v>
      </c>
      <c r="R112" t="n">
        <v>0</v>
      </c>
      <c r="S112" t="n">
        <v>0</v>
      </c>
      <c r="T112" t="n">
        <v>0</v>
      </c>
      <c r="U112" s="2" t="inlineStr"/>
    </row>
    <row r="113" ht="15" customHeight="1">
      <c r="A113" t="inlineStr">
        <is>
          <t>A 4114-2023</t>
        </is>
      </c>
      <c r="B113" t="inlineStr">
        <is>
          <t>avverkningsanmälan</t>
        </is>
      </c>
      <c r="C113" t="inlineStr">
        <is>
          <t>Föryngringsavverkning</t>
        </is>
      </c>
      <c r="D113" s="1" t="n">
        <v>44952</v>
      </c>
      <c r="E113" s="1" t="n">
        <v>46217</v>
      </c>
      <c r="F113" t="inlineStr">
        <is>
          <t>VÄSTRA GÖTALANDS LÄN</t>
        </is>
      </c>
      <c r="G113" t="inlineStr">
        <is>
          <t>DALS-ED</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51020-2024</t>
        </is>
      </c>
      <c r="B114" t="inlineStr">
        <is>
          <t>avverkningsanmälan</t>
        </is>
      </c>
      <c r="C114" t="inlineStr">
        <is>
          <t>Föryngringsavverkning</t>
        </is>
      </c>
      <c r="D114" s="1" t="n">
        <v>45603</v>
      </c>
      <c r="E114" s="1" t="n">
        <v>46217</v>
      </c>
      <c r="F114" t="inlineStr">
        <is>
          <t>VÄSTRA GÖTALANDS LÄN</t>
        </is>
      </c>
      <c r="G114" t="inlineStr">
        <is>
          <t>DALS-ED</t>
        </is>
      </c>
      <c r="I114" t="n">
        <v>3.1</v>
      </c>
      <c r="J114" t="n">
        <v>0</v>
      </c>
      <c r="K114" t="n">
        <v>0</v>
      </c>
      <c r="L114" t="n">
        <v>0</v>
      </c>
      <c r="M114" t="n">
        <v>0</v>
      </c>
      <c r="N114" t="n">
        <v>0</v>
      </c>
      <c r="O114" t="n">
        <v>0</v>
      </c>
      <c r="P114" t="n">
        <v>0</v>
      </c>
      <c r="Q114" t="n">
        <v>0</v>
      </c>
      <c r="R114" t="n">
        <v>0</v>
      </c>
      <c r="S114" t="n">
        <v>0</v>
      </c>
      <c r="T114" t="n">
        <v>0</v>
      </c>
      <c r="U114" s="2" t="inlineStr"/>
    </row>
    <row r="115" ht="15" customHeight="1">
      <c r="A115" t="inlineStr">
        <is>
          <t>A 6368-2022</t>
        </is>
      </c>
      <c r="B115" t="inlineStr">
        <is>
          <t>avverkningsanmälan</t>
        </is>
      </c>
      <c r="C115" t="inlineStr">
        <is>
          <t>Föryngringsavverkning</t>
        </is>
      </c>
      <c r="D115" s="1" t="n">
        <v>44600</v>
      </c>
      <c r="E115" s="1" t="n">
        <v>46217</v>
      </c>
      <c r="F115" t="inlineStr">
        <is>
          <t>VÄSTRA GÖTALANDS LÄN</t>
        </is>
      </c>
      <c r="G115" t="inlineStr">
        <is>
          <t>DALS-ED</t>
        </is>
      </c>
      <c r="H115" t="inlineStr">
        <is>
          <t>Kyrkan</t>
        </is>
      </c>
      <c r="I115" t="n">
        <v>7</v>
      </c>
      <c r="J115" t="n">
        <v>0</v>
      </c>
      <c r="K115" t="n">
        <v>0</v>
      </c>
      <c r="L115" t="n">
        <v>0</v>
      </c>
      <c r="M115" t="n">
        <v>0</v>
      </c>
      <c r="N115" t="n">
        <v>0</v>
      </c>
      <c r="O115" t="n">
        <v>0</v>
      </c>
      <c r="P115" t="n">
        <v>0</v>
      </c>
      <c r="Q115" t="n">
        <v>0</v>
      </c>
      <c r="R115" t="n">
        <v>0</v>
      </c>
      <c r="S115" t="n">
        <v>0</v>
      </c>
      <c r="T115" t="n">
        <v>0</v>
      </c>
      <c r="U115" s="2" t="inlineStr"/>
    </row>
    <row r="116" ht="15" customHeight="1">
      <c r="A116" t="inlineStr">
        <is>
          <t>A 31909-2023</t>
        </is>
      </c>
      <c r="B116" t="inlineStr">
        <is>
          <t>avverkningsanmälan</t>
        </is>
      </c>
      <c r="C116" t="inlineStr">
        <is>
          <t>Föryngringsavverkning</t>
        </is>
      </c>
      <c r="D116" s="1" t="n">
        <v>45118</v>
      </c>
      <c r="E116" s="1" t="n">
        <v>46217</v>
      </c>
      <c r="F116" t="inlineStr">
        <is>
          <t>VÄSTRA GÖTALANDS LÄN</t>
        </is>
      </c>
      <c r="G116" t="inlineStr">
        <is>
          <t>DALS-ED</t>
        </is>
      </c>
      <c r="I116" t="n">
        <v>6.1</v>
      </c>
      <c r="J116" t="n">
        <v>0</v>
      </c>
      <c r="K116" t="n">
        <v>0</v>
      </c>
      <c r="L116" t="n">
        <v>0</v>
      </c>
      <c r="M116" t="n">
        <v>0</v>
      </c>
      <c r="N116" t="n">
        <v>0</v>
      </c>
      <c r="O116" t="n">
        <v>0</v>
      </c>
      <c r="P116" t="n">
        <v>0</v>
      </c>
      <c r="Q116" t="n">
        <v>0</v>
      </c>
      <c r="R116" t="n">
        <v>0</v>
      </c>
      <c r="S116" t="n">
        <v>0</v>
      </c>
      <c r="T116" t="n">
        <v>0</v>
      </c>
      <c r="U116" s="2" t="inlineStr"/>
    </row>
    <row r="117" ht="15" customHeight="1">
      <c r="A117" t="inlineStr">
        <is>
          <t>A 46447-2021</t>
        </is>
      </c>
      <c r="B117" t="inlineStr">
        <is>
          <t>avverkningsanmälan</t>
        </is>
      </c>
      <c r="C117" t="inlineStr">
        <is>
          <t>Föryngringsavverkning</t>
        </is>
      </c>
      <c r="D117" s="1" t="n">
        <v>44442</v>
      </c>
      <c r="E117" s="1" t="n">
        <v>46217</v>
      </c>
      <c r="F117" t="inlineStr">
        <is>
          <t>VÄSTRA GÖTALANDS LÄN</t>
        </is>
      </c>
      <c r="G117" t="inlineStr">
        <is>
          <t>DALS-ED</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9292-2024</t>
        </is>
      </c>
      <c r="B118" t="inlineStr">
        <is>
          <t>avverkningsanmälan</t>
        </is>
      </c>
      <c r="C118" t="inlineStr">
        <is>
          <t>Föryngringsavverkning</t>
        </is>
      </c>
      <c r="D118" s="1" t="n">
        <v>45358</v>
      </c>
      <c r="E118" s="1" t="n">
        <v>46217</v>
      </c>
      <c r="F118" t="inlineStr">
        <is>
          <t>VÄSTRA GÖTALANDS LÄN</t>
        </is>
      </c>
      <c r="G118" t="inlineStr">
        <is>
          <t>DALS-ED</t>
        </is>
      </c>
      <c r="H118" t="inlineStr">
        <is>
          <t>Övriga Aktiebolag</t>
        </is>
      </c>
      <c r="I118" t="n">
        <v>26.4</v>
      </c>
      <c r="J118" t="n">
        <v>0</v>
      </c>
      <c r="K118" t="n">
        <v>0</v>
      </c>
      <c r="L118" t="n">
        <v>0</v>
      </c>
      <c r="M118" t="n">
        <v>0</v>
      </c>
      <c r="N118" t="n">
        <v>0</v>
      </c>
      <c r="O118" t="n">
        <v>0</v>
      </c>
      <c r="P118" t="n">
        <v>0</v>
      </c>
      <c r="Q118" t="n">
        <v>0</v>
      </c>
      <c r="R118" t="n">
        <v>0</v>
      </c>
      <c r="S118" t="n">
        <v>0</v>
      </c>
      <c r="T118" t="n">
        <v>0</v>
      </c>
      <c r="U118" s="2" t="inlineStr"/>
    </row>
    <row r="119" ht="15" customHeight="1">
      <c r="A119" t="inlineStr">
        <is>
          <t>A 19049-2023</t>
        </is>
      </c>
      <c r="B119" t="inlineStr">
        <is>
          <t>avverkningsanmälan</t>
        </is>
      </c>
      <c r="C119" t="inlineStr">
        <is>
          <t>Avverkning för annat ändamål</t>
        </is>
      </c>
      <c r="D119" s="1" t="n">
        <v>45047</v>
      </c>
      <c r="E119" s="1" t="n">
        <v>46217</v>
      </c>
      <c r="F119" t="inlineStr">
        <is>
          <t>VÄSTRA GÖTALANDS LÄN</t>
        </is>
      </c>
      <c r="G119" t="inlineStr">
        <is>
          <t>DALS-ED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37526-2024</t>
        </is>
      </c>
      <c r="B120" t="inlineStr">
        <is>
          <t>avverkningsanmälan</t>
        </is>
      </c>
      <c r="C120" t="inlineStr">
        <is>
          <t>Föryngringsavverkning</t>
        </is>
      </c>
      <c r="D120" s="1" t="n">
        <v>45541</v>
      </c>
      <c r="E120" s="1" t="n">
        <v>46217</v>
      </c>
      <c r="F120" t="inlineStr">
        <is>
          <t>VÄSTRA GÖTALANDS LÄN</t>
        </is>
      </c>
      <c r="G120" t="inlineStr">
        <is>
          <t>DALS-ED</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36231-2023</t>
        </is>
      </c>
      <c r="B121" t="inlineStr">
        <is>
          <t>avverkningsanmälan</t>
        </is>
      </c>
      <c r="C121" t="inlineStr">
        <is>
          <t>Föryngringsavverkning</t>
        </is>
      </c>
      <c r="D121" s="1" t="n">
        <v>45150</v>
      </c>
      <c r="E121" s="1" t="n">
        <v>46217</v>
      </c>
      <c r="F121" t="inlineStr">
        <is>
          <t>VÄSTRA GÖTALANDS LÄN</t>
        </is>
      </c>
      <c r="G121" t="inlineStr">
        <is>
          <t>DALS-ED</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49290-2024</t>
        </is>
      </c>
      <c r="B122" t="inlineStr">
        <is>
          <t>avverkningsanmälan</t>
        </is>
      </c>
      <c r="C122" t="inlineStr">
        <is>
          <t>Föryngringsavverkning</t>
        </is>
      </c>
      <c r="D122" s="1" t="n">
        <v>45595</v>
      </c>
      <c r="E122" s="1" t="n">
        <v>46217</v>
      </c>
      <c r="F122" t="inlineStr">
        <is>
          <t>VÄSTRA GÖTALANDS LÄN</t>
        </is>
      </c>
      <c r="G122" t="inlineStr">
        <is>
          <t>DALS-ED</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47650-2024</t>
        </is>
      </c>
      <c r="B123" t="inlineStr">
        <is>
          <t>avverkningsanmälan</t>
        </is>
      </c>
      <c r="C123" t="inlineStr">
        <is>
          <t>Föryngringsavverkning</t>
        </is>
      </c>
      <c r="D123" s="1" t="n">
        <v>45588</v>
      </c>
      <c r="E123" s="1" t="n">
        <v>46217</v>
      </c>
      <c r="F123" t="inlineStr">
        <is>
          <t>VÄSTRA GÖTALANDS LÄN</t>
        </is>
      </c>
      <c r="G123" t="inlineStr">
        <is>
          <t>DALS-ED</t>
        </is>
      </c>
      <c r="I123" t="n">
        <v>3.6</v>
      </c>
      <c r="J123" t="n">
        <v>0</v>
      </c>
      <c r="K123" t="n">
        <v>0</v>
      </c>
      <c r="L123" t="n">
        <v>0</v>
      </c>
      <c r="M123" t="n">
        <v>0</v>
      </c>
      <c r="N123" t="n">
        <v>0</v>
      </c>
      <c r="O123" t="n">
        <v>0</v>
      </c>
      <c r="P123" t="n">
        <v>0</v>
      </c>
      <c r="Q123" t="n">
        <v>0</v>
      </c>
      <c r="R123" t="n">
        <v>0</v>
      </c>
      <c r="S123" t="n">
        <v>0</v>
      </c>
      <c r="T123" t="n">
        <v>0</v>
      </c>
      <c r="U123" s="2" t="inlineStr"/>
    </row>
    <row r="124" ht="15" customHeight="1">
      <c r="A124" t="inlineStr">
        <is>
          <t>A 44653-2023</t>
        </is>
      </c>
      <c r="B124" t="inlineStr">
        <is>
          <t>avverkningsanmälan</t>
        </is>
      </c>
      <c r="C124" t="inlineStr">
        <is>
          <t>Föryngringsavverkning</t>
        </is>
      </c>
      <c r="D124" s="1" t="n">
        <v>45189</v>
      </c>
      <c r="E124" s="1" t="n">
        <v>46217</v>
      </c>
      <c r="F124" t="inlineStr">
        <is>
          <t>VÄSTRA GÖTALANDS LÄN</t>
        </is>
      </c>
      <c r="G124" t="inlineStr">
        <is>
          <t>DALS-ED</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58346-2024</t>
        </is>
      </c>
      <c r="B125" t="inlineStr">
        <is>
          <t>avverkningsanmälan</t>
        </is>
      </c>
      <c r="C125" t="inlineStr">
        <is>
          <t>Föryngringsavverkning</t>
        </is>
      </c>
      <c r="D125" s="1" t="n">
        <v>45632</v>
      </c>
      <c r="E125" s="1" t="n">
        <v>46217</v>
      </c>
      <c r="F125" t="inlineStr">
        <is>
          <t>VÄSTRA GÖTALANDS LÄN</t>
        </is>
      </c>
      <c r="G125" t="inlineStr">
        <is>
          <t>DALS-ED</t>
        </is>
      </c>
      <c r="I125" t="n">
        <v>2.4</v>
      </c>
      <c r="J125" t="n">
        <v>0</v>
      </c>
      <c r="K125" t="n">
        <v>0</v>
      </c>
      <c r="L125" t="n">
        <v>0</v>
      </c>
      <c r="M125" t="n">
        <v>0</v>
      </c>
      <c r="N125" t="n">
        <v>0</v>
      </c>
      <c r="O125" t="n">
        <v>0</v>
      </c>
      <c r="P125" t="n">
        <v>0</v>
      </c>
      <c r="Q125" t="n">
        <v>0</v>
      </c>
      <c r="R125" t="n">
        <v>0</v>
      </c>
      <c r="S125" t="n">
        <v>0</v>
      </c>
      <c r="T125" t="n">
        <v>0</v>
      </c>
      <c r="U125" s="2" t="inlineStr"/>
    </row>
    <row r="126" ht="15" customHeight="1">
      <c r="A126" t="inlineStr">
        <is>
          <t>A 21370-2022</t>
        </is>
      </c>
      <c r="B126" t="inlineStr">
        <is>
          <t>avverkningsanmälan</t>
        </is>
      </c>
      <c r="C126" t="inlineStr">
        <is>
          <t>Föryngringsavverkning</t>
        </is>
      </c>
      <c r="D126" s="1" t="n">
        <v>44705</v>
      </c>
      <c r="E126" s="1" t="n">
        <v>46217</v>
      </c>
      <c r="F126" t="inlineStr">
        <is>
          <t>VÄSTRA GÖTALANDS LÄN</t>
        </is>
      </c>
      <c r="G126" t="inlineStr">
        <is>
          <t>DALS-ED</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38372-2025</t>
        </is>
      </c>
      <c r="B127" t="inlineStr">
        <is>
          <t>avverkningsanmälan</t>
        </is>
      </c>
      <c r="C127" t="inlineStr">
        <is>
          <t>Föryngringsavverkning</t>
        </is>
      </c>
      <c r="D127" s="1" t="n">
        <v>45883</v>
      </c>
      <c r="E127" s="1" t="n">
        <v>46217</v>
      </c>
      <c r="F127" t="inlineStr">
        <is>
          <t>VÄSTRA GÖTALANDS LÄN</t>
        </is>
      </c>
      <c r="G127" t="inlineStr">
        <is>
          <t>DALS-ED</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56341-2024</t>
        </is>
      </c>
      <c r="B128" t="inlineStr">
        <is>
          <t>avverkningsanmälan</t>
        </is>
      </c>
      <c r="C128" t="inlineStr">
        <is>
          <t>Föryngringsavverkning</t>
        </is>
      </c>
      <c r="D128" s="1" t="n">
        <v>45624</v>
      </c>
      <c r="E128" s="1" t="n">
        <v>46217</v>
      </c>
      <c r="F128" t="inlineStr">
        <is>
          <t>VÄSTRA GÖTALANDS LÄN</t>
        </is>
      </c>
      <c r="G128" t="inlineStr">
        <is>
          <t>DALS-ED</t>
        </is>
      </c>
      <c r="I128" t="n">
        <v>3</v>
      </c>
      <c r="J128" t="n">
        <v>0</v>
      </c>
      <c r="K128" t="n">
        <v>0</v>
      </c>
      <c r="L128" t="n">
        <v>0</v>
      </c>
      <c r="M128" t="n">
        <v>0</v>
      </c>
      <c r="N128" t="n">
        <v>0</v>
      </c>
      <c r="O128" t="n">
        <v>0</v>
      </c>
      <c r="P128" t="n">
        <v>0</v>
      </c>
      <c r="Q128" t="n">
        <v>0</v>
      </c>
      <c r="R128" t="n">
        <v>0</v>
      </c>
      <c r="S128" t="n">
        <v>0</v>
      </c>
      <c r="T128" t="n">
        <v>0</v>
      </c>
      <c r="U128" s="2" t="inlineStr"/>
    </row>
    <row r="129" ht="15" customHeight="1">
      <c r="A129" t="inlineStr">
        <is>
          <t>A 38370-2025</t>
        </is>
      </c>
      <c r="B129" t="inlineStr">
        <is>
          <t>avverkningsanmälan</t>
        </is>
      </c>
      <c r="C129" t="inlineStr">
        <is>
          <t>Föryngringsavverkning</t>
        </is>
      </c>
      <c r="D129" s="1" t="n">
        <v>45883</v>
      </c>
      <c r="E129" s="1" t="n">
        <v>46217</v>
      </c>
      <c r="F129" t="inlineStr">
        <is>
          <t>VÄSTRA GÖTALANDS LÄN</t>
        </is>
      </c>
      <c r="G129" t="inlineStr">
        <is>
          <t>DALS-ED</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15364-2022</t>
        </is>
      </c>
      <c r="B130" t="inlineStr">
        <is>
          <t>avverkningsanmälan</t>
        </is>
      </c>
      <c r="C130" t="inlineStr">
        <is>
          <t>Föryngringsavverkning</t>
        </is>
      </c>
      <c r="D130" s="1" t="n">
        <v>44659</v>
      </c>
      <c r="E130" s="1" t="n">
        <v>46217</v>
      </c>
      <c r="F130" t="inlineStr">
        <is>
          <t>VÄSTRA GÖTALANDS LÄN</t>
        </is>
      </c>
      <c r="G130" t="inlineStr">
        <is>
          <t>DALS-ED</t>
        </is>
      </c>
      <c r="I130" t="n">
        <v>6.5</v>
      </c>
      <c r="J130" t="n">
        <v>0</v>
      </c>
      <c r="K130" t="n">
        <v>0</v>
      </c>
      <c r="L130" t="n">
        <v>0</v>
      </c>
      <c r="M130" t="n">
        <v>0</v>
      </c>
      <c r="N130" t="n">
        <v>0</v>
      </c>
      <c r="O130" t="n">
        <v>0</v>
      </c>
      <c r="P130" t="n">
        <v>0</v>
      </c>
      <c r="Q130" t="n">
        <v>0</v>
      </c>
      <c r="R130" t="n">
        <v>0</v>
      </c>
      <c r="S130" t="n">
        <v>0</v>
      </c>
      <c r="T130" t="n">
        <v>0</v>
      </c>
      <c r="U130" s="2" t="inlineStr"/>
    </row>
    <row r="131" ht="15" customHeight="1">
      <c r="A131" t="inlineStr">
        <is>
          <t>A 18456-2025</t>
        </is>
      </c>
      <c r="B131" t="inlineStr">
        <is>
          <t>avverkningsanmälan</t>
        </is>
      </c>
      <c r="C131" t="inlineStr">
        <is>
          <t>Föryngringsavverkning</t>
        </is>
      </c>
      <c r="D131" s="1" t="n">
        <v>45762</v>
      </c>
      <c r="E131" s="1" t="n">
        <v>46217</v>
      </c>
      <c r="F131" t="inlineStr">
        <is>
          <t>VÄSTRA GÖTALANDS LÄN</t>
        </is>
      </c>
      <c r="G131" t="inlineStr">
        <is>
          <t>DALS-ED</t>
        </is>
      </c>
      <c r="I131" t="n">
        <v>3.7</v>
      </c>
      <c r="J131" t="n">
        <v>0</v>
      </c>
      <c r="K131" t="n">
        <v>0</v>
      </c>
      <c r="L131" t="n">
        <v>0</v>
      </c>
      <c r="M131" t="n">
        <v>0</v>
      </c>
      <c r="N131" t="n">
        <v>0</v>
      </c>
      <c r="O131" t="n">
        <v>0</v>
      </c>
      <c r="P131" t="n">
        <v>0</v>
      </c>
      <c r="Q131" t="n">
        <v>0</v>
      </c>
      <c r="R131" t="n">
        <v>0</v>
      </c>
      <c r="S131" t="n">
        <v>0</v>
      </c>
      <c r="T131" t="n">
        <v>0</v>
      </c>
      <c r="U131" s="2" t="inlineStr"/>
    </row>
    <row r="132" ht="15" customHeight="1">
      <c r="A132" t="inlineStr">
        <is>
          <t>A 38044-2025</t>
        </is>
      </c>
      <c r="B132" t="inlineStr">
        <is>
          <t>avverkningsanmälan</t>
        </is>
      </c>
      <c r="C132" t="inlineStr">
        <is>
          <t>Föryngringsavverkning</t>
        </is>
      </c>
      <c r="D132" s="1" t="n">
        <v>45882</v>
      </c>
      <c r="E132" s="1" t="n">
        <v>46217</v>
      </c>
      <c r="F132" t="inlineStr">
        <is>
          <t>VÄSTRA GÖTALANDS LÄN</t>
        </is>
      </c>
      <c r="G132" t="inlineStr">
        <is>
          <t>DALS-ED</t>
        </is>
      </c>
      <c r="H132" t="inlineStr">
        <is>
          <t>Bergvik skog väst AB</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25628-2026</t>
        </is>
      </c>
      <c r="B133" t="inlineStr">
        <is>
          <t>avverkningsanmälan</t>
        </is>
      </c>
      <c r="C133" t="inlineStr">
        <is>
          <t>Föryngringsavverkning</t>
        </is>
      </c>
      <c r="D133" s="1" t="n">
        <v>46177</v>
      </c>
      <c r="E133" s="1" t="n">
        <v>46217</v>
      </c>
      <c r="F133" t="inlineStr">
        <is>
          <t>VÄSTRA GÖTALANDS LÄN</t>
        </is>
      </c>
      <c r="G133" t="inlineStr">
        <is>
          <t>DALS-ED</t>
        </is>
      </c>
      <c r="I133" t="n">
        <v>3.5</v>
      </c>
      <c r="J133" t="n">
        <v>0</v>
      </c>
      <c r="K133" t="n">
        <v>0</v>
      </c>
      <c r="L133" t="n">
        <v>0</v>
      </c>
      <c r="M133" t="n">
        <v>0</v>
      </c>
      <c r="N133" t="n">
        <v>0</v>
      </c>
      <c r="O133" t="n">
        <v>0</v>
      </c>
      <c r="P133" t="n">
        <v>0</v>
      </c>
      <c r="Q133" t="n">
        <v>0</v>
      </c>
      <c r="R133" t="n">
        <v>0</v>
      </c>
      <c r="S133" t="n">
        <v>0</v>
      </c>
      <c r="T133" t="n">
        <v>0</v>
      </c>
      <c r="U133" s="2" t="inlineStr"/>
    </row>
    <row r="134" ht="15" customHeight="1">
      <c r="A134" t="inlineStr">
        <is>
          <t>A 29692-2025</t>
        </is>
      </c>
      <c r="B134" t="inlineStr">
        <is>
          <t>avverkningsanmälan</t>
        </is>
      </c>
      <c r="C134" t="inlineStr">
        <is>
          <t>Föryngringsavverkning</t>
        </is>
      </c>
      <c r="D134" s="1" t="n">
        <v>45825</v>
      </c>
      <c r="E134" s="1" t="n">
        <v>46217</v>
      </c>
      <c r="F134" t="inlineStr">
        <is>
          <t>VÄSTRA GÖTALANDS LÄN</t>
        </is>
      </c>
      <c r="G134" t="inlineStr">
        <is>
          <t>DALS-ED</t>
        </is>
      </c>
      <c r="I134" t="n">
        <v>2.3</v>
      </c>
      <c r="J134" t="n">
        <v>0</v>
      </c>
      <c r="K134" t="n">
        <v>0</v>
      </c>
      <c r="L134" t="n">
        <v>0</v>
      </c>
      <c r="M134" t="n">
        <v>0</v>
      </c>
      <c r="N134" t="n">
        <v>0</v>
      </c>
      <c r="O134" t="n">
        <v>0</v>
      </c>
      <c r="P134" t="n">
        <v>0</v>
      </c>
      <c r="Q134" t="n">
        <v>0</v>
      </c>
      <c r="R134" t="n">
        <v>0</v>
      </c>
      <c r="S134" t="n">
        <v>0</v>
      </c>
      <c r="T134" t="n">
        <v>0</v>
      </c>
      <c r="U134" s="2" t="inlineStr"/>
    </row>
    <row r="135" ht="15" customHeight="1">
      <c r="A135" t="inlineStr">
        <is>
          <t>A 56344-2024</t>
        </is>
      </c>
      <c r="B135" t="inlineStr">
        <is>
          <t>avverkningsanmälan</t>
        </is>
      </c>
      <c r="C135" t="inlineStr">
        <is>
          <t>Föryngringsavverkning</t>
        </is>
      </c>
      <c r="D135" s="1" t="n">
        <v>45624</v>
      </c>
      <c r="E135" s="1" t="n">
        <v>46217</v>
      </c>
      <c r="F135" t="inlineStr">
        <is>
          <t>VÄSTRA GÖTALANDS LÄN</t>
        </is>
      </c>
      <c r="G135" t="inlineStr">
        <is>
          <t>DALS-ED</t>
        </is>
      </c>
      <c r="I135" t="n">
        <v>1.7</v>
      </c>
      <c r="J135" t="n">
        <v>0</v>
      </c>
      <c r="K135" t="n">
        <v>0</v>
      </c>
      <c r="L135" t="n">
        <v>0</v>
      </c>
      <c r="M135" t="n">
        <v>0</v>
      </c>
      <c r="N135" t="n">
        <v>0</v>
      </c>
      <c r="O135" t="n">
        <v>0</v>
      </c>
      <c r="P135" t="n">
        <v>0</v>
      </c>
      <c r="Q135" t="n">
        <v>0</v>
      </c>
      <c r="R135" t="n">
        <v>0</v>
      </c>
      <c r="S135" t="n">
        <v>0</v>
      </c>
      <c r="T135" t="n">
        <v>0</v>
      </c>
      <c r="U135" s="2" t="inlineStr"/>
    </row>
    <row r="136" ht="15" customHeight="1">
      <c r="A136" t="inlineStr">
        <is>
          <t>A 38810-2025</t>
        </is>
      </c>
      <c r="B136" t="inlineStr">
        <is>
          <t>avverkningsanmälan</t>
        </is>
      </c>
      <c r="C136" t="inlineStr">
        <is>
          <t>Föryngringsavverkning</t>
        </is>
      </c>
      <c r="D136" s="1" t="n">
        <v>45887</v>
      </c>
      <c r="E136" s="1" t="n">
        <v>46217</v>
      </c>
      <c r="F136" t="inlineStr">
        <is>
          <t>VÄSTRA GÖTALANDS LÄN</t>
        </is>
      </c>
      <c r="G136" t="inlineStr">
        <is>
          <t>DALS-ED</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20265-2025</t>
        </is>
      </c>
      <c r="B137" t="inlineStr">
        <is>
          <t>avverkningsanmälan</t>
        </is>
      </c>
      <c r="C137" t="inlineStr">
        <is>
          <t>Föryngringsavverkning</t>
        </is>
      </c>
      <c r="D137" s="1" t="n">
        <v>45773</v>
      </c>
      <c r="E137" s="1" t="n">
        <v>46217</v>
      </c>
      <c r="F137" t="inlineStr">
        <is>
          <t>VÄSTRA GÖTALANDS LÄN</t>
        </is>
      </c>
      <c r="G137" t="inlineStr">
        <is>
          <t>DALS-ED</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13537-2023</t>
        </is>
      </c>
      <c r="B138" t="inlineStr">
        <is>
          <t>avverkningsanmälan</t>
        </is>
      </c>
      <c r="C138" t="inlineStr">
        <is>
          <t>Föryngringsavverkning</t>
        </is>
      </c>
      <c r="D138" s="1" t="n">
        <v>45006</v>
      </c>
      <c r="E138" s="1" t="n">
        <v>46217</v>
      </c>
      <c r="F138" t="inlineStr">
        <is>
          <t>VÄSTRA GÖTALANDS LÄN</t>
        </is>
      </c>
      <c r="G138" t="inlineStr">
        <is>
          <t>DALS-ED</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17800-2023</t>
        </is>
      </c>
      <c r="B139" t="inlineStr">
        <is>
          <t>avverkningsanmälan</t>
        </is>
      </c>
      <c r="C139" t="inlineStr">
        <is>
          <t>Föryngringsavverkning</t>
        </is>
      </c>
      <c r="D139" s="1" t="n">
        <v>45037</v>
      </c>
      <c r="E139" s="1" t="n">
        <v>46217</v>
      </c>
      <c r="F139" t="inlineStr">
        <is>
          <t>VÄSTRA GÖTALANDS LÄN</t>
        </is>
      </c>
      <c r="G139" t="inlineStr">
        <is>
          <t>DALS-ED</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25626-2026</t>
        </is>
      </c>
      <c r="B140" t="inlineStr">
        <is>
          <t>avverkningsanmälan</t>
        </is>
      </c>
      <c r="C140" t="inlineStr">
        <is>
          <t>Föryngringsavverkning</t>
        </is>
      </c>
      <c r="D140" s="1" t="n">
        <v>46177</v>
      </c>
      <c r="E140" s="1" t="n">
        <v>46217</v>
      </c>
      <c r="F140" t="inlineStr">
        <is>
          <t>VÄSTRA GÖTALANDS LÄN</t>
        </is>
      </c>
      <c r="G140" t="inlineStr">
        <is>
          <t>DALS-ED</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4043-2023</t>
        </is>
      </c>
      <c r="B141" t="inlineStr">
        <is>
          <t>avverkningsanmälan</t>
        </is>
      </c>
      <c r="C141" t="inlineStr">
        <is>
          <t>Föryngringsavverkning</t>
        </is>
      </c>
      <c r="D141" s="1" t="n">
        <v>44952</v>
      </c>
      <c r="E141" s="1" t="n">
        <v>46217</v>
      </c>
      <c r="F141" t="inlineStr">
        <is>
          <t>VÄSTRA GÖTALANDS LÄN</t>
        </is>
      </c>
      <c r="G141" t="inlineStr">
        <is>
          <t>DALS-ED</t>
        </is>
      </c>
      <c r="I141" t="n">
        <v>1.2</v>
      </c>
      <c r="J141" t="n">
        <v>0</v>
      </c>
      <c r="K141" t="n">
        <v>0</v>
      </c>
      <c r="L141" t="n">
        <v>0</v>
      </c>
      <c r="M141" t="n">
        <v>0</v>
      </c>
      <c r="N141" t="n">
        <v>0</v>
      </c>
      <c r="O141" t="n">
        <v>0</v>
      </c>
      <c r="P141" t="n">
        <v>0</v>
      </c>
      <c r="Q141" t="n">
        <v>0</v>
      </c>
      <c r="R141" t="n">
        <v>0</v>
      </c>
      <c r="S141" t="n">
        <v>0</v>
      </c>
      <c r="T141" t="n">
        <v>0</v>
      </c>
      <c r="U141" s="2" t="inlineStr"/>
    </row>
    <row r="142" ht="15" customHeight="1">
      <c r="A142" t="inlineStr">
        <is>
          <t>A 5117-2023</t>
        </is>
      </c>
      <c r="B142" t="inlineStr">
        <is>
          <t>avverkningsanmälan</t>
        </is>
      </c>
      <c r="C142" t="inlineStr">
        <is>
          <t>Föryngringsavverkning</t>
        </is>
      </c>
      <c r="D142" s="1" t="n">
        <v>44958</v>
      </c>
      <c r="E142" s="1" t="n">
        <v>46217</v>
      </c>
      <c r="F142" t="inlineStr">
        <is>
          <t>VÄSTRA GÖTALANDS LÄN</t>
        </is>
      </c>
      <c r="G142" t="inlineStr">
        <is>
          <t>DALS-ED</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25630-2026</t>
        </is>
      </c>
      <c r="B143" t="inlineStr">
        <is>
          <t>avverkningsanmälan</t>
        </is>
      </c>
      <c r="C143" t="inlineStr">
        <is>
          <t>Föryngringsavverkning</t>
        </is>
      </c>
      <c r="D143" s="1" t="n">
        <v>46177</v>
      </c>
      <c r="E143" s="1" t="n">
        <v>46217</v>
      </c>
      <c r="F143" t="inlineStr">
        <is>
          <t>VÄSTRA GÖTALANDS LÄN</t>
        </is>
      </c>
      <c r="G143" t="inlineStr">
        <is>
          <t>DALS-ED</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4115-2023</t>
        </is>
      </c>
      <c r="B144" t="inlineStr">
        <is>
          <t>avverkningsanmälan</t>
        </is>
      </c>
      <c r="C144" t="inlineStr">
        <is>
          <t>Föryngringsavverkning</t>
        </is>
      </c>
      <c r="D144" s="1" t="n">
        <v>44952</v>
      </c>
      <c r="E144" s="1" t="n">
        <v>46217</v>
      </c>
      <c r="F144" t="inlineStr">
        <is>
          <t>VÄSTRA GÖTALANDS LÄN</t>
        </is>
      </c>
      <c r="G144" t="inlineStr">
        <is>
          <t>DALS-ED</t>
        </is>
      </c>
      <c r="I144" t="n">
        <v>4.2</v>
      </c>
      <c r="J144" t="n">
        <v>0</v>
      </c>
      <c r="K144" t="n">
        <v>0</v>
      </c>
      <c r="L144" t="n">
        <v>0</v>
      </c>
      <c r="M144" t="n">
        <v>0</v>
      </c>
      <c r="N144" t="n">
        <v>0</v>
      </c>
      <c r="O144" t="n">
        <v>0</v>
      </c>
      <c r="P144" t="n">
        <v>0</v>
      </c>
      <c r="Q144" t="n">
        <v>0</v>
      </c>
      <c r="R144" t="n">
        <v>0</v>
      </c>
      <c r="S144" t="n">
        <v>0</v>
      </c>
      <c r="T144" t="n">
        <v>0</v>
      </c>
      <c r="U144" s="2" t="inlineStr"/>
    </row>
    <row r="145" ht="15" customHeight="1">
      <c r="A145" t="inlineStr">
        <is>
          <t>A 40457-2025</t>
        </is>
      </c>
      <c r="B145" t="inlineStr">
        <is>
          <t>avverkningsanmälan</t>
        </is>
      </c>
      <c r="C145" t="inlineStr">
        <is>
          <t>Föryngringsavverkning</t>
        </is>
      </c>
      <c r="D145" s="1" t="n">
        <v>45895</v>
      </c>
      <c r="E145" s="1" t="n">
        <v>46217</v>
      </c>
      <c r="F145" t="inlineStr">
        <is>
          <t>VÄSTRA GÖTALANDS LÄN</t>
        </is>
      </c>
      <c r="G145" t="inlineStr">
        <is>
          <t>DALS-ED</t>
        </is>
      </c>
      <c r="I145" t="n">
        <v>5.6</v>
      </c>
      <c r="J145" t="n">
        <v>0</v>
      </c>
      <c r="K145" t="n">
        <v>0</v>
      </c>
      <c r="L145" t="n">
        <v>0</v>
      </c>
      <c r="M145" t="n">
        <v>0</v>
      </c>
      <c r="N145" t="n">
        <v>0</v>
      </c>
      <c r="O145" t="n">
        <v>0</v>
      </c>
      <c r="P145" t="n">
        <v>0</v>
      </c>
      <c r="Q145" t="n">
        <v>0</v>
      </c>
      <c r="R145" t="n">
        <v>0</v>
      </c>
      <c r="S145" t="n">
        <v>0</v>
      </c>
      <c r="T145" t="n">
        <v>0</v>
      </c>
      <c r="U145" s="2" t="inlineStr"/>
    </row>
    <row r="146" ht="15" customHeight="1">
      <c r="A146" t="inlineStr">
        <is>
          <t>A 31259-2025</t>
        </is>
      </c>
      <c r="B146" t="inlineStr">
        <is>
          <t>avverkningsanmälan</t>
        </is>
      </c>
      <c r="C146" t="inlineStr">
        <is>
          <t>Föryngringsavverkning</t>
        </is>
      </c>
      <c r="D146" s="1" t="n">
        <v>45833</v>
      </c>
      <c r="E146" s="1" t="n">
        <v>46217</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58584-2024</t>
        </is>
      </c>
      <c r="B147" t="inlineStr">
        <is>
          <t>avverkningsanmälan</t>
        </is>
      </c>
      <c r="C147" t="inlineStr">
        <is>
          <t>Föryngringsavverkning</t>
        </is>
      </c>
      <c r="D147" s="1" t="n">
        <v>45632</v>
      </c>
      <c r="E147" s="1" t="n">
        <v>46217</v>
      </c>
      <c r="F147" t="inlineStr">
        <is>
          <t>VÄSTRA GÖTALANDS LÄN</t>
        </is>
      </c>
      <c r="G147" t="inlineStr">
        <is>
          <t>DALS-ED</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18228-2025</t>
        </is>
      </c>
      <c r="B148" t="inlineStr">
        <is>
          <t>avverkningsanmälan</t>
        </is>
      </c>
      <c r="C148" t="inlineStr">
        <is>
          <t>Föryngringsavverkning</t>
        </is>
      </c>
      <c r="D148" s="1" t="n">
        <v>45761</v>
      </c>
      <c r="E148" s="1" t="n">
        <v>46217</v>
      </c>
      <c r="F148" t="inlineStr">
        <is>
          <t>VÄSTRA GÖTALANDS LÄN</t>
        </is>
      </c>
      <c r="G148" t="inlineStr">
        <is>
          <t>DALS-ED</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41709-2025</t>
        </is>
      </c>
      <c r="B149" t="inlineStr">
        <is>
          <t>avverkningsanmälan</t>
        </is>
      </c>
      <c r="C149" t="inlineStr">
        <is>
          <t>Föryngringsavverkning</t>
        </is>
      </c>
      <c r="D149" s="1" t="n">
        <v>45902</v>
      </c>
      <c r="E149" s="1" t="n">
        <v>46217</v>
      </c>
      <c r="F149" t="inlineStr">
        <is>
          <t>VÄSTRA GÖTALANDS LÄN</t>
        </is>
      </c>
      <c r="G149" t="inlineStr">
        <is>
          <t>DALS-ED</t>
        </is>
      </c>
      <c r="I149" t="n">
        <v>4.1</v>
      </c>
      <c r="J149" t="n">
        <v>0</v>
      </c>
      <c r="K149" t="n">
        <v>0</v>
      </c>
      <c r="L149" t="n">
        <v>0</v>
      </c>
      <c r="M149" t="n">
        <v>0</v>
      </c>
      <c r="N149" t="n">
        <v>0</v>
      </c>
      <c r="O149" t="n">
        <v>0</v>
      </c>
      <c r="P149" t="n">
        <v>0</v>
      </c>
      <c r="Q149" t="n">
        <v>0</v>
      </c>
      <c r="R149" t="n">
        <v>0</v>
      </c>
      <c r="S149" t="n">
        <v>0</v>
      </c>
      <c r="T149" t="n">
        <v>0</v>
      </c>
      <c r="U149" s="2" t="inlineStr"/>
    </row>
    <row r="150" ht="15" customHeight="1">
      <c r="A150" t="inlineStr">
        <is>
          <t>A 38347-2023</t>
        </is>
      </c>
      <c r="B150" t="inlineStr">
        <is>
          <t>avverkningsanmälan</t>
        </is>
      </c>
      <c r="C150" t="inlineStr">
        <is>
          <t>Föryngringsavverkning</t>
        </is>
      </c>
      <c r="D150" s="1" t="n">
        <v>45161</v>
      </c>
      <c r="E150" s="1" t="n">
        <v>46217</v>
      </c>
      <c r="F150" t="inlineStr">
        <is>
          <t>VÄSTRA GÖTALANDS LÄN</t>
        </is>
      </c>
      <c r="G150" t="inlineStr">
        <is>
          <t>DALS-ED</t>
        </is>
      </c>
      <c r="H150" t="inlineStr">
        <is>
          <t>Kommuner</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41859-2025</t>
        </is>
      </c>
      <c r="B151" t="inlineStr">
        <is>
          <t>avverkningsanmälan</t>
        </is>
      </c>
      <c r="C151" t="inlineStr">
        <is>
          <t>Avverkning för annat ändamål</t>
        </is>
      </c>
      <c r="D151" s="1" t="n">
        <v>45903</v>
      </c>
      <c r="E151" s="1" t="n">
        <v>46217</v>
      </c>
      <c r="F151" t="inlineStr">
        <is>
          <t>VÄSTRA GÖTALANDS LÄN</t>
        </is>
      </c>
      <c r="G151" t="inlineStr">
        <is>
          <t>DALS-ED</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38548-2023</t>
        </is>
      </c>
      <c r="B152" t="inlineStr">
        <is>
          <t>avverkningsanmälan</t>
        </is>
      </c>
      <c r="C152" t="inlineStr">
        <is>
          <t>Föryngringsavverkning</t>
        </is>
      </c>
      <c r="D152" s="1" t="n">
        <v>45162</v>
      </c>
      <c r="E152" s="1" t="n">
        <v>46217</v>
      </c>
      <c r="F152" t="inlineStr">
        <is>
          <t>VÄSTRA GÖTALANDS LÄN</t>
        </is>
      </c>
      <c r="G152" t="inlineStr">
        <is>
          <t>DALS-ED</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42314-2025</t>
        </is>
      </c>
      <c r="B153" t="inlineStr">
        <is>
          <t>avverkningsanmälan</t>
        </is>
      </c>
      <c r="C153" t="inlineStr">
        <is>
          <t>Föryngringsavverkning</t>
        </is>
      </c>
      <c r="D153" s="1" t="n">
        <v>45904</v>
      </c>
      <c r="E153" s="1" t="n">
        <v>46217</v>
      </c>
      <c r="F153" t="inlineStr">
        <is>
          <t>VÄSTRA GÖTALANDS LÄN</t>
        </is>
      </c>
      <c r="G153" t="inlineStr">
        <is>
          <t>DALS-ED</t>
        </is>
      </c>
      <c r="I153" t="n">
        <v>5.5</v>
      </c>
      <c r="J153" t="n">
        <v>0</v>
      </c>
      <c r="K153" t="n">
        <v>0</v>
      </c>
      <c r="L153" t="n">
        <v>0</v>
      </c>
      <c r="M153" t="n">
        <v>0</v>
      </c>
      <c r="N153" t="n">
        <v>0</v>
      </c>
      <c r="O153" t="n">
        <v>0</v>
      </c>
      <c r="P153" t="n">
        <v>0</v>
      </c>
      <c r="Q153" t="n">
        <v>0</v>
      </c>
      <c r="R153" t="n">
        <v>0</v>
      </c>
      <c r="S153" t="n">
        <v>0</v>
      </c>
      <c r="T153" t="n">
        <v>0</v>
      </c>
      <c r="U153" s="2" t="inlineStr"/>
    </row>
    <row r="154" ht="15" customHeight="1">
      <c r="A154" t="inlineStr">
        <is>
          <t>A 42190-2025</t>
        </is>
      </c>
      <c r="B154" t="inlineStr">
        <is>
          <t>avverkningsanmälan</t>
        </is>
      </c>
      <c r="C154" t="inlineStr">
        <is>
          <t>Föryngringsavverkning</t>
        </is>
      </c>
      <c r="D154" s="1" t="n">
        <v>45904</v>
      </c>
      <c r="E154" s="1" t="n">
        <v>46217</v>
      </c>
      <c r="F154" t="inlineStr">
        <is>
          <t>VÄSTRA GÖTALANDS LÄN</t>
        </is>
      </c>
      <c r="G154" t="inlineStr">
        <is>
          <t>DALS-ED</t>
        </is>
      </c>
      <c r="I154" t="n">
        <v>6.3</v>
      </c>
      <c r="J154" t="n">
        <v>0</v>
      </c>
      <c r="K154" t="n">
        <v>0</v>
      </c>
      <c r="L154" t="n">
        <v>0</v>
      </c>
      <c r="M154" t="n">
        <v>0</v>
      </c>
      <c r="N154" t="n">
        <v>0</v>
      </c>
      <c r="O154" t="n">
        <v>0</v>
      </c>
      <c r="P154" t="n">
        <v>0</v>
      </c>
      <c r="Q154" t="n">
        <v>0</v>
      </c>
      <c r="R154" t="n">
        <v>0</v>
      </c>
      <c r="S154" t="n">
        <v>0</v>
      </c>
      <c r="T154" t="n">
        <v>0</v>
      </c>
      <c r="U154" s="2" t="inlineStr"/>
    </row>
    <row r="155" ht="15" customHeight="1">
      <c r="A155" t="inlineStr">
        <is>
          <t>A 42306-2025</t>
        </is>
      </c>
      <c r="B155" t="inlineStr">
        <is>
          <t>avverkningsanmälan</t>
        </is>
      </c>
      <c r="C155" t="inlineStr">
        <is>
          <t>Föryngringsavverkning</t>
        </is>
      </c>
      <c r="D155" s="1" t="n">
        <v>45904</v>
      </c>
      <c r="E155" s="1" t="n">
        <v>46217</v>
      </c>
      <c r="F155" t="inlineStr">
        <is>
          <t>VÄSTRA GÖTALANDS LÄN</t>
        </is>
      </c>
      <c r="G155" t="inlineStr">
        <is>
          <t>DALS-ED</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41853-2025</t>
        </is>
      </c>
      <c r="B156" t="inlineStr">
        <is>
          <t>avverkningsanmälan</t>
        </is>
      </c>
      <c r="C156" t="inlineStr">
        <is>
          <t>Föryngringsavverkning</t>
        </is>
      </c>
      <c r="D156" s="1" t="n">
        <v>45902</v>
      </c>
      <c r="E156" s="1" t="n">
        <v>46217</v>
      </c>
      <c r="F156" t="inlineStr">
        <is>
          <t>VÄSTRA GÖTALANDS LÄN</t>
        </is>
      </c>
      <c r="G156" t="inlineStr">
        <is>
          <t>DALS-ED</t>
        </is>
      </c>
      <c r="I156" t="n">
        <v>5.6</v>
      </c>
      <c r="J156" t="n">
        <v>0</v>
      </c>
      <c r="K156" t="n">
        <v>0</v>
      </c>
      <c r="L156" t="n">
        <v>0</v>
      </c>
      <c r="M156" t="n">
        <v>0</v>
      </c>
      <c r="N156" t="n">
        <v>0</v>
      </c>
      <c r="O156" t="n">
        <v>0</v>
      </c>
      <c r="P156" t="n">
        <v>0</v>
      </c>
      <c r="Q156" t="n">
        <v>0</v>
      </c>
      <c r="R156" t="n">
        <v>0</v>
      </c>
      <c r="S156" t="n">
        <v>0</v>
      </c>
      <c r="T156" t="n">
        <v>0</v>
      </c>
      <c r="U156" s="2" t="inlineStr"/>
    </row>
    <row r="157" ht="15" customHeight="1">
      <c r="A157" t="inlineStr">
        <is>
          <t>A 42781-2025</t>
        </is>
      </c>
      <c r="B157" t="inlineStr">
        <is>
          <t>avverkningsanmälan</t>
        </is>
      </c>
      <c r="C157" t="inlineStr">
        <is>
          <t>Föryngringsavverkning</t>
        </is>
      </c>
      <c r="D157" s="1" t="n">
        <v>45908</v>
      </c>
      <c r="E157" s="1" t="n">
        <v>46217</v>
      </c>
      <c r="F157" t="inlineStr">
        <is>
          <t>VÄSTRA GÖTALANDS LÄN</t>
        </is>
      </c>
      <c r="G157" t="inlineStr">
        <is>
          <t>DALS-ED</t>
        </is>
      </c>
      <c r="H157" t="inlineStr">
        <is>
          <t>Kyrkan</t>
        </is>
      </c>
      <c r="I157" t="n">
        <v>2.9</v>
      </c>
      <c r="J157" t="n">
        <v>0</v>
      </c>
      <c r="K157" t="n">
        <v>0</v>
      </c>
      <c r="L157" t="n">
        <v>0</v>
      </c>
      <c r="M157" t="n">
        <v>0</v>
      </c>
      <c r="N157" t="n">
        <v>0</v>
      </c>
      <c r="O157" t="n">
        <v>0</v>
      </c>
      <c r="P157" t="n">
        <v>0</v>
      </c>
      <c r="Q157" t="n">
        <v>0</v>
      </c>
      <c r="R157" t="n">
        <v>0</v>
      </c>
      <c r="S157" t="n">
        <v>0</v>
      </c>
      <c r="T157" t="n">
        <v>0</v>
      </c>
      <c r="U157" s="2" t="inlineStr"/>
    </row>
    <row r="158" ht="15" customHeight="1">
      <c r="A158" t="inlineStr">
        <is>
          <t>A 6268-2025</t>
        </is>
      </c>
      <c r="B158" t="inlineStr">
        <is>
          <t>avverkningsanmälan</t>
        </is>
      </c>
      <c r="C158" t="inlineStr">
        <is>
          <t>Föryngringsavverkning</t>
        </is>
      </c>
      <c r="D158" s="1" t="n">
        <v>45698</v>
      </c>
      <c r="E158" s="1" t="n">
        <v>46217</v>
      </c>
      <c r="F158" t="inlineStr">
        <is>
          <t>VÄSTRA GÖTALANDS LÄN</t>
        </is>
      </c>
      <c r="G158" t="inlineStr">
        <is>
          <t>DALS-ED</t>
        </is>
      </c>
      <c r="I158" t="n">
        <v>6.3</v>
      </c>
      <c r="J158" t="n">
        <v>0</v>
      </c>
      <c r="K158" t="n">
        <v>0</v>
      </c>
      <c r="L158" t="n">
        <v>0</v>
      </c>
      <c r="M158" t="n">
        <v>0</v>
      </c>
      <c r="N158" t="n">
        <v>0</v>
      </c>
      <c r="O158" t="n">
        <v>0</v>
      </c>
      <c r="P158" t="n">
        <v>0</v>
      </c>
      <c r="Q158" t="n">
        <v>0</v>
      </c>
      <c r="R158" t="n">
        <v>0</v>
      </c>
      <c r="S158" t="n">
        <v>0</v>
      </c>
      <c r="T158" t="n">
        <v>0</v>
      </c>
      <c r="U158" s="2" t="inlineStr"/>
    </row>
    <row r="159" ht="15" customHeight="1">
      <c r="A159" t="inlineStr">
        <is>
          <t>A 61497-2024</t>
        </is>
      </c>
      <c r="B159" t="inlineStr">
        <is>
          <t>avverkningsanmälan</t>
        </is>
      </c>
      <c r="C159" t="inlineStr">
        <is>
          <t>Föryngringsavverkning</t>
        </is>
      </c>
      <c r="D159" s="1" t="n">
        <v>45646</v>
      </c>
      <c r="E159" s="1" t="n">
        <v>46217</v>
      </c>
      <c r="F159" t="inlineStr">
        <is>
          <t>VÄSTRA GÖTALANDS LÄN</t>
        </is>
      </c>
      <c r="G159" t="inlineStr">
        <is>
          <t>DALS-ED</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42703-2025</t>
        </is>
      </c>
      <c r="B160" t="inlineStr">
        <is>
          <t>avverkningsanmälan</t>
        </is>
      </c>
      <c r="C160" t="inlineStr">
        <is>
          <t>Föryngringsavverkning</t>
        </is>
      </c>
      <c r="D160" s="1" t="n">
        <v>45908</v>
      </c>
      <c r="E160" s="1" t="n">
        <v>46217</v>
      </c>
      <c r="F160" t="inlineStr">
        <is>
          <t>VÄSTRA GÖTALANDS LÄN</t>
        </is>
      </c>
      <c r="G160" t="inlineStr">
        <is>
          <t>DALS-ED</t>
        </is>
      </c>
      <c r="H160" t="inlineStr">
        <is>
          <t>Kyrkan</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48344-2024</t>
        </is>
      </c>
      <c r="B161" t="inlineStr">
        <is>
          <t>avverkningsanmälan</t>
        </is>
      </c>
      <c r="C161" t="inlineStr">
        <is>
          <t>Föryngringsavverkning</t>
        </is>
      </c>
      <c r="D161" s="1" t="n">
        <v>45590</v>
      </c>
      <c r="E161" s="1" t="n">
        <v>46217</v>
      </c>
      <c r="F161" t="inlineStr">
        <is>
          <t>VÄSTRA GÖTALANDS LÄN</t>
        </is>
      </c>
      <c r="G161" t="inlineStr">
        <is>
          <t>DALS-ED</t>
        </is>
      </c>
      <c r="I161" t="n">
        <v>2.3</v>
      </c>
      <c r="J161" t="n">
        <v>0</v>
      </c>
      <c r="K161" t="n">
        <v>0</v>
      </c>
      <c r="L161" t="n">
        <v>0</v>
      </c>
      <c r="M161" t="n">
        <v>0</v>
      </c>
      <c r="N161" t="n">
        <v>0</v>
      </c>
      <c r="O161" t="n">
        <v>0</v>
      </c>
      <c r="P161" t="n">
        <v>0</v>
      </c>
      <c r="Q161" t="n">
        <v>0</v>
      </c>
      <c r="R161" t="n">
        <v>0</v>
      </c>
      <c r="S161" t="n">
        <v>0</v>
      </c>
      <c r="T161" t="n">
        <v>0</v>
      </c>
      <c r="U161" s="2" t="inlineStr"/>
    </row>
    <row r="162" ht="15" customHeight="1">
      <c r="A162" t="inlineStr">
        <is>
          <t>A 43086-2025</t>
        </is>
      </c>
      <c r="B162" t="inlineStr">
        <is>
          <t>avverkningsanmälan</t>
        </is>
      </c>
      <c r="C162" t="inlineStr">
        <is>
          <t>Avverkning för annat ändamål</t>
        </is>
      </c>
      <c r="D162" s="1" t="n">
        <v>45909</v>
      </c>
      <c r="E162" s="1" t="n">
        <v>46217</v>
      </c>
      <c r="F162" t="inlineStr">
        <is>
          <t>VÄSTRA GÖTALANDS LÄN</t>
        </is>
      </c>
      <c r="G162" t="inlineStr">
        <is>
          <t>DALS-ED</t>
        </is>
      </c>
      <c r="I162" t="n">
        <v>0.1</v>
      </c>
      <c r="J162" t="n">
        <v>0</v>
      </c>
      <c r="K162" t="n">
        <v>0</v>
      </c>
      <c r="L162" t="n">
        <v>0</v>
      </c>
      <c r="M162" t="n">
        <v>0</v>
      </c>
      <c r="N162" t="n">
        <v>0</v>
      </c>
      <c r="O162" t="n">
        <v>0</v>
      </c>
      <c r="P162" t="n">
        <v>0</v>
      </c>
      <c r="Q162" t="n">
        <v>0</v>
      </c>
      <c r="R162" t="n">
        <v>0</v>
      </c>
      <c r="S162" t="n">
        <v>0</v>
      </c>
      <c r="T162" t="n">
        <v>0</v>
      </c>
      <c r="U162" s="2" t="inlineStr"/>
    </row>
    <row r="163" ht="15" customHeight="1">
      <c r="A163" t="inlineStr">
        <is>
          <t>A 42953-2025</t>
        </is>
      </c>
      <c r="B163" t="inlineStr">
        <is>
          <t>avverkningsanmälan</t>
        </is>
      </c>
      <c r="C163" t="inlineStr">
        <is>
          <t>Föryngringsavverkning</t>
        </is>
      </c>
      <c r="D163" s="1" t="n">
        <v>45909</v>
      </c>
      <c r="E163" s="1" t="n">
        <v>46217</v>
      </c>
      <c r="F163" t="inlineStr">
        <is>
          <t>VÄSTRA GÖTALANDS LÄN</t>
        </is>
      </c>
      <c r="G163" t="inlineStr">
        <is>
          <t>DALS-ED</t>
        </is>
      </c>
      <c r="H163" t="inlineStr">
        <is>
          <t>Kyrkan</t>
        </is>
      </c>
      <c r="I163" t="n">
        <v>3.5</v>
      </c>
      <c r="J163" t="n">
        <v>0</v>
      </c>
      <c r="K163" t="n">
        <v>0</v>
      </c>
      <c r="L163" t="n">
        <v>0</v>
      </c>
      <c r="M163" t="n">
        <v>0</v>
      </c>
      <c r="N163" t="n">
        <v>0</v>
      </c>
      <c r="O163" t="n">
        <v>0</v>
      </c>
      <c r="P163" t="n">
        <v>0</v>
      </c>
      <c r="Q163" t="n">
        <v>0</v>
      </c>
      <c r="R163" t="n">
        <v>0</v>
      </c>
      <c r="S163" t="n">
        <v>0</v>
      </c>
      <c r="T163" t="n">
        <v>0</v>
      </c>
      <c r="U163" s="2" t="inlineStr"/>
    </row>
    <row r="164" ht="15" customHeight="1">
      <c r="A164" t="inlineStr">
        <is>
          <t>A 53910-2024</t>
        </is>
      </c>
      <c r="B164" t="inlineStr">
        <is>
          <t>avverkningsanmälan</t>
        </is>
      </c>
      <c r="C164" t="inlineStr">
        <is>
          <t>Föryngringsavverkning</t>
        </is>
      </c>
      <c r="D164" s="1" t="n">
        <v>45615</v>
      </c>
      <c r="E164" s="1" t="n">
        <v>46217</v>
      </c>
      <c r="F164" t="inlineStr">
        <is>
          <t>VÄSTRA GÖTALANDS LÄN</t>
        </is>
      </c>
      <c r="G164" t="inlineStr">
        <is>
          <t>DALS-ED</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13026-2023</t>
        </is>
      </c>
      <c r="B165" t="inlineStr">
        <is>
          <t>avverkningsanmälan</t>
        </is>
      </c>
      <c r="C165" t="inlineStr">
        <is>
          <t>Föryngringsavverkning</t>
        </is>
      </c>
      <c r="D165" s="1" t="n">
        <v>45002</v>
      </c>
      <c r="E165" s="1" t="n">
        <v>46217</v>
      </c>
      <c r="F165" t="inlineStr">
        <is>
          <t>VÄSTRA GÖTALANDS LÄN</t>
        </is>
      </c>
      <c r="G165" t="inlineStr">
        <is>
          <t>DALS-ED</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44124-2025</t>
        </is>
      </c>
      <c r="B166" t="inlineStr">
        <is>
          <t>avverkningsanmälan</t>
        </is>
      </c>
      <c r="C166" t="inlineStr">
        <is>
          <t>Föryngringsavverkning</t>
        </is>
      </c>
      <c r="D166" s="1" t="n">
        <v>45915</v>
      </c>
      <c r="E166" s="1" t="n">
        <v>46217</v>
      </c>
      <c r="F166" t="inlineStr">
        <is>
          <t>VÄSTRA GÖTALANDS LÄN</t>
        </is>
      </c>
      <c r="G166" t="inlineStr">
        <is>
          <t>DALS-ED</t>
        </is>
      </c>
      <c r="I166" t="n">
        <v>4.7</v>
      </c>
      <c r="J166" t="n">
        <v>0</v>
      </c>
      <c r="K166" t="n">
        <v>0</v>
      </c>
      <c r="L166" t="n">
        <v>0</v>
      </c>
      <c r="M166" t="n">
        <v>0</v>
      </c>
      <c r="N166" t="n">
        <v>0</v>
      </c>
      <c r="O166" t="n">
        <v>0</v>
      </c>
      <c r="P166" t="n">
        <v>0</v>
      </c>
      <c r="Q166" t="n">
        <v>0</v>
      </c>
      <c r="R166" t="n">
        <v>0</v>
      </c>
      <c r="S166" t="n">
        <v>0</v>
      </c>
      <c r="T166" t="n">
        <v>0</v>
      </c>
      <c r="U166" s="2" t="inlineStr"/>
    </row>
    <row r="167" ht="15" customHeight="1">
      <c r="A167" t="inlineStr">
        <is>
          <t>A 39093-2021</t>
        </is>
      </c>
      <c r="B167" t="inlineStr">
        <is>
          <t>avverkningsanmälan</t>
        </is>
      </c>
      <c r="C167" t="inlineStr">
        <is>
          <t>Föryngringsavverkning</t>
        </is>
      </c>
      <c r="D167" s="1" t="n">
        <v>44412</v>
      </c>
      <c r="E167" s="1" t="n">
        <v>46217</v>
      </c>
      <c r="F167" t="inlineStr">
        <is>
          <t>VÄSTRA GÖTALANDS LÄN</t>
        </is>
      </c>
      <c r="G167" t="inlineStr">
        <is>
          <t>DALS-ED</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55077-2024</t>
        </is>
      </c>
      <c r="B168" t="inlineStr">
        <is>
          <t>avverkningsanmälan</t>
        </is>
      </c>
      <c r="C168" t="inlineStr">
        <is>
          <t>Föryngringsavverkning</t>
        </is>
      </c>
      <c r="D168" s="1" t="n">
        <v>45621</v>
      </c>
      <c r="E168" s="1" t="n">
        <v>46217</v>
      </c>
      <c r="F168" t="inlineStr">
        <is>
          <t>VÄSTRA GÖTALANDS LÄN</t>
        </is>
      </c>
      <c r="G168" t="inlineStr">
        <is>
          <t>DALS-ED</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45494-2025</t>
        </is>
      </c>
      <c r="B169" t="inlineStr">
        <is>
          <t>avverkningsanmälan</t>
        </is>
      </c>
      <c r="C169" t="inlineStr">
        <is>
          <t>Föryngringsavverkning</t>
        </is>
      </c>
      <c r="D169" s="1" t="n">
        <v>45922</v>
      </c>
      <c r="E169" s="1" t="n">
        <v>46217</v>
      </c>
      <c r="F169" t="inlineStr">
        <is>
          <t>VÄSTRA GÖTALANDS LÄN</t>
        </is>
      </c>
      <c r="G169" t="inlineStr">
        <is>
          <t>DALS-ED</t>
        </is>
      </c>
      <c r="I169" t="n">
        <v>2.8</v>
      </c>
      <c r="J169" t="n">
        <v>0</v>
      </c>
      <c r="K169" t="n">
        <v>0</v>
      </c>
      <c r="L169" t="n">
        <v>0</v>
      </c>
      <c r="M169" t="n">
        <v>0</v>
      </c>
      <c r="N169" t="n">
        <v>0</v>
      </c>
      <c r="O169" t="n">
        <v>0</v>
      </c>
      <c r="P169" t="n">
        <v>0</v>
      </c>
      <c r="Q169" t="n">
        <v>0</v>
      </c>
      <c r="R169" t="n">
        <v>0</v>
      </c>
      <c r="S169" t="n">
        <v>0</v>
      </c>
      <c r="T169" t="n">
        <v>0</v>
      </c>
      <c r="U169" s="2" t="inlineStr"/>
    </row>
    <row r="170" ht="15" customHeight="1">
      <c r="A170" t="inlineStr">
        <is>
          <t>A 48341-2024</t>
        </is>
      </c>
      <c r="B170" t="inlineStr">
        <is>
          <t>avverkningsanmälan</t>
        </is>
      </c>
      <c r="C170" t="inlineStr">
        <is>
          <t>Föryngringsavverkning</t>
        </is>
      </c>
      <c r="D170" s="1" t="n">
        <v>45590</v>
      </c>
      <c r="E170" s="1" t="n">
        <v>46217</v>
      </c>
      <c r="F170" t="inlineStr">
        <is>
          <t>VÄSTRA GÖTALANDS LÄN</t>
        </is>
      </c>
      <c r="G170" t="inlineStr">
        <is>
          <t>DALS-ED</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21290-2023</t>
        </is>
      </c>
      <c r="B171" t="inlineStr">
        <is>
          <t>avverkningsanmälan</t>
        </is>
      </c>
      <c r="C171" t="inlineStr">
        <is>
          <t>Föryngringsavverkning</t>
        </is>
      </c>
      <c r="D171" s="1" t="n">
        <v>45062</v>
      </c>
      <c r="E171" s="1" t="n">
        <v>46217</v>
      </c>
      <c r="F171" t="inlineStr">
        <is>
          <t>VÄSTRA GÖTALANDS LÄN</t>
        </is>
      </c>
      <c r="G171" t="inlineStr">
        <is>
          <t>DALS-ED</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31150-2025</t>
        </is>
      </c>
      <c r="B172" t="inlineStr">
        <is>
          <t>avverkningsanmälan</t>
        </is>
      </c>
      <c r="C172" t="inlineStr">
        <is>
          <t>Föryngringsavverkning</t>
        </is>
      </c>
      <c r="D172" s="1" t="n">
        <v>45832</v>
      </c>
      <c r="E172" s="1" t="n">
        <v>46217</v>
      </c>
      <c r="F172" t="inlineStr">
        <is>
          <t>VÄSTRA GÖTALANDS LÄN</t>
        </is>
      </c>
      <c r="G172" t="inlineStr">
        <is>
          <t>DALS-ED</t>
        </is>
      </c>
      <c r="H172" t="inlineStr">
        <is>
          <t>Övriga Aktiebolag</t>
        </is>
      </c>
      <c r="I172" t="n">
        <v>3.4</v>
      </c>
      <c r="J172" t="n">
        <v>0</v>
      </c>
      <c r="K172" t="n">
        <v>0</v>
      </c>
      <c r="L172" t="n">
        <v>0</v>
      </c>
      <c r="M172" t="n">
        <v>0</v>
      </c>
      <c r="N172" t="n">
        <v>0</v>
      </c>
      <c r="O172" t="n">
        <v>0</v>
      </c>
      <c r="P172" t="n">
        <v>0</v>
      </c>
      <c r="Q172" t="n">
        <v>0</v>
      </c>
      <c r="R172" t="n">
        <v>0</v>
      </c>
      <c r="S172" t="n">
        <v>0</v>
      </c>
      <c r="T172" t="n">
        <v>0</v>
      </c>
      <c r="U172" s="2" t="inlineStr"/>
    </row>
    <row r="173" ht="15" customHeight="1">
      <c r="A173" t="inlineStr">
        <is>
          <t>A 46434-2025</t>
        </is>
      </c>
      <c r="B173" t="inlineStr">
        <is>
          <t>avverkningsanmälan</t>
        </is>
      </c>
      <c r="C173" t="inlineStr">
        <is>
          <t>Föryngringsavverkning</t>
        </is>
      </c>
      <c r="D173" s="1" t="n">
        <v>45925</v>
      </c>
      <c r="E173" s="1" t="n">
        <v>46217</v>
      </c>
      <c r="F173" t="inlineStr">
        <is>
          <t>VÄSTRA GÖTALANDS LÄN</t>
        </is>
      </c>
      <c r="G173" t="inlineStr">
        <is>
          <t>DALS-ED</t>
        </is>
      </c>
      <c r="I173" t="n">
        <v>11.6</v>
      </c>
      <c r="J173" t="n">
        <v>0</v>
      </c>
      <c r="K173" t="n">
        <v>0</v>
      </c>
      <c r="L173" t="n">
        <v>0</v>
      </c>
      <c r="M173" t="n">
        <v>0</v>
      </c>
      <c r="N173" t="n">
        <v>0</v>
      </c>
      <c r="O173" t="n">
        <v>0</v>
      </c>
      <c r="P173" t="n">
        <v>0</v>
      </c>
      <c r="Q173" t="n">
        <v>0</v>
      </c>
      <c r="R173" t="n">
        <v>0</v>
      </c>
      <c r="S173" t="n">
        <v>0</v>
      </c>
      <c r="T173" t="n">
        <v>0</v>
      </c>
      <c r="U173" s="2" t="inlineStr"/>
    </row>
    <row r="174" ht="15" customHeight="1">
      <c r="A174" t="inlineStr">
        <is>
          <t>A 46977-2025</t>
        </is>
      </c>
      <c r="B174" t="inlineStr">
        <is>
          <t>avverkningsanmälan</t>
        </is>
      </c>
      <c r="C174" t="inlineStr">
        <is>
          <t>Föryngringsavverkning</t>
        </is>
      </c>
      <c r="D174" s="1" t="n">
        <v>45929</v>
      </c>
      <c r="E174" s="1" t="n">
        <v>46217</v>
      </c>
      <c r="F174" t="inlineStr">
        <is>
          <t>VÄSTRA GÖTALANDS LÄN</t>
        </is>
      </c>
      <c r="G174" t="inlineStr">
        <is>
          <t>DALS-ED</t>
        </is>
      </c>
      <c r="I174" t="n">
        <v>3.5</v>
      </c>
      <c r="J174" t="n">
        <v>0</v>
      </c>
      <c r="K174" t="n">
        <v>0</v>
      </c>
      <c r="L174" t="n">
        <v>0</v>
      </c>
      <c r="M174" t="n">
        <v>0</v>
      </c>
      <c r="N174" t="n">
        <v>0</v>
      </c>
      <c r="O174" t="n">
        <v>0</v>
      </c>
      <c r="P174" t="n">
        <v>0</v>
      </c>
      <c r="Q174" t="n">
        <v>0</v>
      </c>
      <c r="R174" t="n">
        <v>0</v>
      </c>
      <c r="S174" t="n">
        <v>0</v>
      </c>
      <c r="T174" t="n">
        <v>0</v>
      </c>
      <c r="U174" s="2" t="inlineStr"/>
    </row>
    <row r="175" ht="15" customHeight="1">
      <c r="A175" t="inlineStr">
        <is>
          <t>A 46240-2025</t>
        </is>
      </c>
      <c r="B175" t="inlineStr">
        <is>
          <t>avverkningsanmälan</t>
        </is>
      </c>
      <c r="C175" t="inlineStr">
        <is>
          <t>Föryngringsavverkning</t>
        </is>
      </c>
      <c r="D175" s="1" t="n">
        <v>45925</v>
      </c>
      <c r="E175" s="1" t="n">
        <v>46217</v>
      </c>
      <c r="F175" t="inlineStr">
        <is>
          <t>VÄSTRA GÖTALANDS LÄN</t>
        </is>
      </c>
      <c r="G175" t="inlineStr">
        <is>
          <t>DALS-ED</t>
        </is>
      </c>
      <c r="I175" t="n">
        <v>19.8</v>
      </c>
      <c r="J175" t="n">
        <v>0</v>
      </c>
      <c r="K175" t="n">
        <v>0</v>
      </c>
      <c r="L175" t="n">
        <v>0</v>
      </c>
      <c r="M175" t="n">
        <v>0</v>
      </c>
      <c r="N175" t="n">
        <v>0</v>
      </c>
      <c r="O175" t="n">
        <v>0</v>
      </c>
      <c r="P175" t="n">
        <v>0</v>
      </c>
      <c r="Q175" t="n">
        <v>0</v>
      </c>
      <c r="R175" t="n">
        <v>0</v>
      </c>
      <c r="S175" t="n">
        <v>0</v>
      </c>
      <c r="T175" t="n">
        <v>0</v>
      </c>
      <c r="U175" s="2" t="inlineStr"/>
    </row>
    <row r="176" ht="15" customHeight="1">
      <c r="A176" t="inlineStr">
        <is>
          <t>A 46383-2025</t>
        </is>
      </c>
      <c r="B176" t="inlineStr">
        <is>
          <t>avverkningsanmälan</t>
        </is>
      </c>
      <c r="C176" t="inlineStr">
        <is>
          <t>Föryngringsavverkning</t>
        </is>
      </c>
      <c r="D176" s="1" t="n">
        <v>45925</v>
      </c>
      <c r="E176" s="1" t="n">
        <v>46217</v>
      </c>
      <c r="F176" t="inlineStr">
        <is>
          <t>VÄSTRA GÖTALANDS LÄN</t>
        </is>
      </c>
      <c r="G176" t="inlineStr">
        <is>
          <t>DALS-ED</t>
        </is>
      </c>
      <c r="H176" t="inlineStr">
        <is>
          <t>Kyrkan</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5662-2025</t>
        </is>
      </c>
      <c r="B177" t="inlineStr">
        <is>
          <t>avverkningsanmälan</t>
        </is>
      </c>
      <c r="C177" t="inlineStr">
        <is>
          <t>Föryngringsavverkning</t>
        </is>
      </c>
      <c r="D177" s="1" t="n">
        <v>45693</v>
      </c>
      <c r="E177" s="1" t="n">
        <v>46217</v>
      </c>
      <c r="F177" t="inlineStr">
        <is>
          <t>VÄSTRA GÖTALANDS LÄN</t>
        </is>
      </c>
      <c r="G177" t="inlineStr">
        <is>
          <t>DALS-ED</t>
        </is>
      </c>
      <c r="I177" t="n">
        <v>8.1</v>
      </c>
      <c r="J177" t="n">
        <v>0</v>
      </c>
      <c r="K177" t="n">
        <v>0</v>
      </c>
      <c r="L177" t="n">
        <v>0</v>
      </c>
      <c r="M177" t="n">
        <v>0</v>
      </c>
      <c r="N177" t="n">
        <v>0</v>
      </c>
      <c r="O177" t="n">
        <v>0</v>
      </c>
      <c r="P177" t="n">
        <v>0</v>
      </c>
      <c r="Q177" t="n">
        <v>0</v>
      </c>
      <c r="R177" t="n">
        <v>0</v>
      </c>
      <c r="S177" t="n">
        <v>0</v>
      </c>
      <c r="T177" t="n">
        <v>0</v>
      </c>
      <c r="U177" s="2" t="inlineStr"/>
    </row>
    <row r="178" ht="15" customHeight="1">
      <c r="A178" t="inlineStr">
        <is>
          <t>A 44465-2023</t>
        </is>
      </c>
      <c r="B178" t="inlineStr">
        <is>
          <t>avverkningsanmälan</t>
        </is>
      </c>
      <c r="C178" t="inlineStr">
        <is>
          <t>Föryngringsavverkning</t>
        </is>
      </c>
      <c r="D178" s="1" t="n">
        <v>45189</v>
      </c>
      <c r="E178" s="1" t="n">
        <v>46217</v>
      </c>
      <c r="F178" t="inlineStr">
        <is>
          <t>VÄSTRA GÖTALANDS LÄN</t>
        </is>
      </c>
      <c r="G178" t="inlineStr">
        <is>
          <t>DALS-ED</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47123-2025</t>
        </is>
      </c>
      <c r="B179" t="inlineStr">
        <is>
          <t>avverkningsanmälan</t>
        </is>
      </c>
      <c r="C179" t="inlineStr">
        <is>
          <t>Föryngringsavverkning</t>
        </is>
      </c>
      <c r="D179" s="1" t="n">
        <v>45929</v>
      </c>
      <c r="E179" s="1" t="n">
        <v>46217</v>
      </c>
      <c r="F179" t="inlineStr">
        <is>
          <t>VÄSTRA GÖTALANDS LÄN</t>
        </is>
      </c>
      <c r="G179" t="inlineStr">
        <is>
          <t>DALS-ED</t>
        </is>
      </c>
      <c r="I179" t="n">
        <v>4.2</v>
      </c>
      <c r="J179" t="n">
        <v>0</v>
      </c>
      <c r="K179" t="n">
        <v>0</v>
      </c>
      <c r="L179" t="n">
        <v>0</v>
      </c>
      <c r="M179" t="n">
        <v>0</v>
      </c>
      <c r="N179" t="n">
        <v>0</v>
      </c>
      <c r="O179" t="n">
        <v>0</v>
      </c>
      <c r="P179" t="n">
        <v>0</v>
      </c>
      <c r="Q179" t="n">
        <v>0</v>
      </c>
      <c r="R179" t="n">
        <v>0</v>
      </c>
      <c r="S179" t="n">
        <v>0</v>
      </c>
      <c r="T179" t="n">
        <v>0</v>
      </c>
      <c r="U179" s="2" t="inlineStr"/>
    </row>
    <row r="180" ht="15" customHeight="1">
      <c r="A180" t="inlineStr">
        <is>
          <t>A 46979-2025</t>
        </is>
      </c>
      <c r="B180" t="inlineStr">
        <is>
          <t>avverkningsanmälan</t>
        </is>
      </c>
      <c r="C180" t="inlineStr">
        <is>
          <t>Föryngringsavverkning</t>
        </is>
      </c>
      <c r="D180" s="1" t="n">
        <v>45929</v>
      </c>
      <c r="E180" s="1" t="n">
        <v>46217</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41696-2021</t>
        </is>
      </c>
      <c r="B181" t="inlineStr">
        <is>
          <t>avverkningsanmälan</t>
        </is>
      </c>
      <c r="C181" t="inlineStr">
        <is>
          <t>Föryngringsavverkning</t>
        </is>
      </c>
      <c r="D181" s="1" t="n">
        <v>44425</v>
      </c>
      <c r="E181" s="1" t="n">
        <v>46217</v>
      </c>
      <c r="F181" t="inlineStr">
        <is>
          <t>VÄSTRA GÖTALANDS LÄN</t>
        </is>
      </c>
      <c r="G181" t="inlineStr">
        <is>
          <t>DALS-ED</t>
        </is>
      </c>
      <c r="I181" t="n">
        <v>6</v>
      </c>
      <c r="J181" t="n">
        <v>0</v>
      </c>
      <c r="K181" t="n">
        <v>0</v>
      </c>
      <c r="L181" t="n">
        <v>0</v>
      </c>
      <c r="M181" t="n">
        <v>0</v>
      </c>
      <c r="N181" t="n">
        <v>0</v>
      </c>
      <c r="O181" t="n">
        <v>0</v>
      </c>
      <c r="P181" t="n">
        <v>0</v>
      </c>
      <c r="Q181" t="n">
        <v>0</v>
      </c>
      <c r="R181" t="n">
        <v>0</v>
      </c>
      <c r="S181" t="n">
        <v>0</v>
      </c>
      <c r="T181" t="n">
        <v>0</v>
      </c>
      <c r="U181" s="2" t="inlineStr"/>
    </row>
    <row r="182" ht="15" customHeight="1">
      <c r="A182" t="inlineStr">
        <is>
          <t>A 23317-2022</t>
        </is>
      </c>
      <c r="B182" t="inlineStr">
        <is>
          <t>avverkningsanmälan</t>
        </is>
      </c>
      <c r="C182" t="inlineStr">
        <is>
          <t>Föryngringsavverkning</t>
        </is>
      </c>
      <c r="D182" s="1" t="n">
        <v>44720</v>
      </c>
      <c r="E182" s="1" t="n">
        <v>46217</v>
      </c>
      <c r="F182" t="inlineStr">
        <is>
          <t>VÄSTRA GÖTALANDS LÄN</t>
        </is>
      </c>
      <c r="G182" t="inlineStr">
        <is>
          <t>DALS-ED</t>
        </is>
      </c>
      <c r="I182" t="n">
        <v>6.9</v>
      </c>
      <c r="J182" t="n">
        <v>0</v>
      </c>
      <c r="K182" t="n">
        <v>0</v>
      </c>
      <c r="L182" t="n">
        <v>0</v>
      </c>
      <c r="M182" t="n">
        <v>0</v>
      </c>
      <c r="N182" t="n">
        <v>0</v>
      </c>
      <c r="O182" t="n">
        <v>0</v>
      </c>
      <c r="P182" t="n">
        <v>0</v>
      </c>
      <c r="Q182" t="n">
        <v>0</v>
      </c>
      <c r="R182" t="n">
        <v>0</v>
      </c>
      <c r="S182" t="n">
        <v>0</v>
      </c>
      <c r="T182" t="n">
        <v>0</v>
      </c>
      <c r="U182" s="2" t="inlineStr"/>
    </row>
    <row r="183" ht="15" customHeight="1">
      <c r="A183" t="inlineStr">
        <is>
          <t>A 42781-2023</t>
        </is>
      </c>
      <c r="B183" t="inlineStr">
        <is>
          <t>avverkningsanmälan</t>
        </is>
      </c>
      <c r="C183" t="inlineStr">
        <is>
          <t>Föryngringsavverkning</t>
        </is>
      </c>
      <c r="D183" s="1" t="n">
        <v>45181</v>
      </c>
      <c r="E183" s="1" t="n">
        <v>46217</v>
      </c>
      <c r="F183" t="inlineStr">
        <is>
          <t>VÄSTRA GÖTALANDS LÄN</t>
        </is>
      </c>
      <c r="G183" t="inlineStr">
        <is>
          <t>DALS-ED</t>
        </is>
      </c>
      <c r="I183" t="n">
        <v>2.9</v>
      </c>
      <c r="J183" t="n">
        <v>0</v>
      </c>
      <c r="K183" t="n">
        <v>0</v>
      </c>
      <c r="L183" t="n">
        <v>0</v>
      </c>
      <c r="M183" t="n">
        <v>0</v>
      </c>
      <c r="N183" t="n">
        <v>0</v>
      </c>
      <c r="O183" t="n">
        <v>0</v>
      </c>
      <c r="P183" t="n">
        <v>0</v>
      </c>
      <c r="Q183" t="n">
        <v>0</v>
      </c>
      <c r="R183" t="n">
        <v>0</v>
      </c>
      <c r="S183" t="n">
        <v>0</v>
      </c>
      <c r="T183" t="n">
        <v>0</v>
      </c>
      <c r="U183" s="2" t="inlineStr"/>
    </row>
    <row r="184" ht="15" customHeight="1">
      <c r="A184" t="inlineStr">
        <is>
          <t>A 36232-2023</t>
        </is>
      </c>
      <c r="B184" t="inlineStr">
        <is>
          <t>avverkningsanmälan</t>
        </is>
      </c>
      <c r="C184" t="inlineStr">
        <is>
          <t>Föryngringsavverkning</t>
        </is>
      </c>
      <c r="D184" s="1" t="n">
        <v>45150</v>
      </c>
      <c r="E184" s="1" t="n">
        <v>46217</v>
      </c>
      <c r="F184" t="inlineStr">
        <is>
          <t>VÄSTRA GÖTALANDS LÄN</t>
        </is>
      </c>
      <c r="G184" t="inlineStr">
        <is>
          <t>DALS-ED</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48032-2025</t>
        </is>
      </c>
      <c r="B185" t="inlineStr">
        <is>
          <t>avverkningsanmälan</t>
        </is>
      </c>
      <c r="C185" t="inlineStr">
        <is>
          <t>Föryngringsavverkning</t>
        </is>
      </c>
      <c r="D185" s="1" t="n">
        <v>45932</v>
      </c>
      <c r="E185" s="1" t="n">
        <v>46217</v>
      </c>
      <c r="F185" t="inlineStr">
        <is>
          <t>VÄSTRA GÖTALANDS LÄN</t>
        </is>
      </c>
      <c r="G185" t="inlineStr">
        <is>
          <t>DALS-ED</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48025-2025</t>
        </is>
      </c>
      <c r="B186" t="inlineStr">
        <is>
          <t>avverkningsanmälan</t>
        </is>
      </c>
      <c r="C186" t="inlineStr">
        <is>
          <t>Föryngringsavverkning</t>
        </is>
      </c>
      <c r="D186" s="1" t="n">
        <v>45932</v>
      </c>
      <c r="E186" s="1" t="n">
        <v>46217</v>
      </c>
      <c r="F186" t="inlineStr">
        <is>
          <t>VÄSTRA GÖTALANDS LÄN</t>
        </is>
      </c>
      <c r="G186" t="inlineStr">
        <is>
          <t>DALS-ED</t>
        </is>
      </c>
      <c r="I186" t="n">
        <v>4.3</v>
      </c>
      <c r="J186" t="n">
        <v>0</v>
      </c>
      <c r="K186" t="n">
        <v>0</v>
      </c>
      <c r="L186" t="n">
        <v>0</v>
      </c>
      <c r="M186" t="n">
        <v>0</v>
      </c>
      <c r="N186" t="n">
        <v>0</v>
      </c>
      <c r="O186" t="n">
        <v>0</v>
      </c>
      <c r="P186" t="n">
        <v>0</v>
      </c>
      <c r="Q186" t="n">
        <v>0</v>
      </c>
      <c r="R186" t="n">
        <v>0</v>
      </c>
      <c r="S186" t="n">
        <v>0</v>
      </c>
      <c r="T186" t="n">
        <v>0</v>
      </c>
      <c r="U186" s="2" t="inlineStr"/>
    </row>
    <row r="187" ht="15" customHeight="1">
      <c r="A187" t="inlineStr">
        <is>
          <t>A 40574-2025</t>
        </is>
      </c>
      <c r="B187" t="inlineStr">
        <is>
          <t>avverkningsanmälan</t>
        </is>
      </c>
      <c r="C187" t="inlineStr">
        <is>
          <t>Föryngringsavverkning</t>
        </is>
      </c>
      <c r="D187" s="1" t="n">
        <v>45896</v>
      </c>
      <c r="E187" s="1" t="n">
        <v>46217</v>
      </c>
      <c r="F187" t="inlineStr">
        <is>
          <t>VÄSTRA GÖTALANDS LÄN</t>
        </is>
      </c>
      <c r="G187" t="inlineStr">
        <is>
          <t>DALS-ED</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35295-2024</t>
        </is>
      </c>
      <c r="B188" t="inlineStr">
        <is>
          <t>avverkningsanmälan</t>
        </is>
      </c>
      <c r="C188" t="inlineStr">
        <is>
          <t>Avverkning för annat ändamål</t>
        </is>
      </c>
      <c r="D188" s="1" t="n">
        <v>45530</v>
      </c>
      <c r="E188" s="1" t="n">
        <v>46217</v>
      </c>
      <c r="F188" t="inlineStr">
        <is>
          <t>VÄSTRA GÖTALANDS LÄN</t>
        </is>
      </c>
      <c r="G188" t="inlineStr">
        <is>
          <t>DALS-ED</t>
        </is>
      </c>
      <c r="I188" t="n">
        <v>0.3</v>
      </c>
      <c r="J188" t="n">
        <v>0</v>
      </c>
      <c r="K188" t="n">
        <v>0</v>
      </c>
      <c r="L188" t="n">
        <v>0</v>
      </c>
      <c r="M188" t="n">
        <v>0</v>
      </c>
      <c r="N188" t="n">
        <v>0</v>
      </c>
      <c r="O188" t="n">
        <v>0</v>
      </c>
      <c r="P188" t="n">
        <v>0</v>
      </c>
      <c r="Q188" t="n">
        <v>0</v>
      </c>
      <c r="R188" t="n">
        <v>0</v>
      </c>
      <c r="S188" t="n">
        <v>0</v>
      </c>
      <c r="T188" t="n">
        <v>0</v>
      </c>
      <c r="U188" s="2" t="inlineStr"/>
    </row>
    <row r="189" ht="15" customHeight="1">
      <c r="A189" t="inlineStr">
        <is>
          <t>A 29827-2025</t>
        </is>
      </c>
      <c r="B189" t="inlineStr">
        <is>
          <t>avverkningsanmälan</t>
        </is>
      </c>
      <c r="C189" t="inlineStr">
        <is>
          <t>Föryngringsavverkning</t>
        </is>
      </c>
      <c r="D189" s="1" t="n">
        <v>45825</v>
      </c>
      <c r="E189" s="1" t="n">
        <v>46217</v>
      </c>
      <c r="F189" t="inlineStr">
        <is>
          <t>VÄSTRA GÖTALANDS LÄN</t>
        </is>
      </c>
      <c r="G189" t="inlineStr">
        <is>
          <t>DALS-ED</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52254-2023</t>
        </is>
      </c>
      <c r="B190" t="inlineStr">
        <is>
          <t>avverkningsanmälan</t>
        </is>
      </c>
      <c r="C190" t="inlineStr">
        <is>
          <t>Föryngringsavverkning</t>
        </is>
      </c>
      <c r="D190" s="1" t="n">
        <v>45217</v>
      </c>
      <c r="E190" s="1" t="n">
        <v>46217</v>
      </c>
      <c r="F190" t="inlineStr">
        <is>
          <t>VÄSTRA GÖTALANDS LÄN</t>
        </is>
      </c>
      <c r="G190" t="inlineStr">
        <is>
          <t>DALS-ED</t>
        </is>
      </c>
      <c r="H190" t="inlineStr">
        <is>
          <t>Kyrkan</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49903-2025</t>
        </is>
      </c>
      <c r="B191" t="inlineStr">
        <is>
          <t>avverkningsanmälan</t>
        </is>
      </c>
      <c r="C191" t="inlineStr">
        <is>
          <t>Föryngringsavverkning</t>
        </is>
      </c>
      <c r="D191" s="1" t="n">
        <v>45940</v>
      </c>
      <c r="E191" s="1" t="n">
        <v>46217</v>
      </c>
      <c r="F191" t="inlineStr">
        <is>
          <t>VÄSTRA GÖTALANDS LÄN</t>
        </is>
      </c>
      <c r="G191" t="inlineStr">
        <is>
          <t>DALS-ED</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46435-2023</t>
        </is>
      </c>
      <c r="B192" t="inlineStr">
        <is>
          <t>avverkningsanmälan</t>
        </is>
      </c>
      <c r="C192" t="inlineStr">
        <is>
          <t>Föryngringsavverkning</t>
        </is>
      </c>
      <c r="D192" s="1" t="n">
        <v>45197</v>
      </c>
      <c r="E192" s="1" t="n">
        <v>46217</v>
      </c>
      <c r="F192" t="inlineStr">
        <is>
          <t>VÄSTRA GÖTALANDS LÄN</t>
        </is>
      </c>
      <c r="G192" t="inlineStr">
        <is>
          <t>DALS-ED</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60197-2025</t>
        </is>
      </c>
      <c r="B193" t="inlineStr">
        <is>
          <t>avverkningsanmälan</t>
        </is>
      </c>
      <c r="C193" t="inlineStr">
        <is>
          <t>Föryngringsavverkning</t>
        </is>
      </c>
      <c r="D193" s="1" t="n">
        <v>45994</v>
      </c>
      <c r="E193" s="1" t="n">
        <v>46217</v>
      </c>
      <c r="F193" t="inlineStr">
        <is>
          <t>VÄSTRA GÖTALANDS LÄN</t>
        </is>
      </c>
      <c r="G193" t="inlineStr">
        <is>
          <t>DALS-ED</t>
        </is>
      </c>
      <c r="I193" t="n">
        <v>7.5</v>
      </c>
      <c r="J193" t="n">
        <v>0</v>
      </c>
      <c r="K193" t="n">
        <v>0</v>
      </c>
      <c r="L193" t="n">
        <v>0</v>
      </c>
      <c r="M193" t="n">
        <v>0</v>
      </c>
      <c r="N193" t="n">
        <v>0</v>
      </c>
      <c r="O193" t="n">
        <v>0</v>
      </c>
      <c r="P193" t="n">
        <v>0</v>
      </c>
      <c r="Q193" t="n">
        <v>0</v>
      </c>
      <c r="R193" t="n">
        <v>0</v>
      </c>
      <c r="S193" t="n">
        <v>0</v>
      </c>
      <c r="T193" t="n">
        <v>0</v>
      </c>
      <c r="U193" s="2" t="inlineStr"/>
    </row>
    <row r="194" ht="15" customHeight="1">
      <c r="A194" t="inlineStr">
        <is>
          <t>A 38671-2024</t>
        </is>
      </c>
      <c r="B194" t="inlineStr">
        <is>
          <t>avverkningsanmälan</t>
        </is>
      </c>
      <c r="C194" t="inlineStr">
        <is>
          <t>Föryngringsavverkning</t>
        </is>
      </c>
      <c r="D194" s="1" t="n">
        <v>45547</v>
      </c>
      <c r="E194" s="1" t="n">
        <v>46217</v>
      </c>
      <c r="F194" t="inlineStr">
        <is>
          <t>VÄSTRA GÖTALANDS LÄN</t>
        </is>
      </c>
      <c r="G194" t="inlineStr">
        <is>
          <t>DALS-ED</t>
        </is>
      </c>
      <c r="I194" t="n">
        <v>4.9</v>
      </c>
      <c r="J194" t="n">
        <v>0</v>
      </c>
      <c r="K194" t="n">
        <v>0</v>
      </c>
      <c r="L194" t="n">
        <v>0</v>
      </c>
      <c r="M194" t="n">
        <v>0</v>
      </c>
      <c r="N194" t="n">
        <v>0</v>
      </c>
      <c r="O194" t="n">
        <v>0</v>
      </c>
      <c r="P194" t="n">
        <v>0</v>
      </c>
      <c r="Q194" t="n">
        <v>0</v>
      </c>
      <c r="R194" t="n">
        <v>0</v>
      </c>
      <c r="S194" t="n">
        <v>0</v>
      </c>
      <c r="T194" t="n">
        <v>0</v>
      </c>
      <c r="U194" s="2" t="inlineStr"/>
    </row>
    <row r="195" ht="15" customHeight="1">
      <c r="A195" t="inlineStr">
        <is>
          <t>A 7522-2024</t>
        </is>
      </c>
      <c r="B195" t="inlineStr">
        <is>
          <t>avverkningsanmälan</t>
        </is>
      </c>
      <c r="C195" t="inlineStr">
        <is>
          <t>Föryngringsavverkning</t>
        </is>
      </c>
      <c r="D195" s="1" t="n">
        <v>45348</v>
      </c>
      <c r="E195" s="1" t="n">
        <v>46217</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54688-2025</t>
        </is>
      </c>
      <c r="B196" t="inlineStr">
        <is>
          <t>avverkningsanmälan</t>
        </is>
      </c>
      <c r="C196" t="inlineStr">
        <is>
          <t>Föryngringsavverkning</t>
        </is>
      </c>
      <c r="D196" s="1" t="n">
        <v>45966</v>
      </c>
      <c r="E196" s="1" t="n">
        <v>46217</v>
      </c>
      <c r="F196" t="inlineStr">
        <is>
          <t>VÄSTRA GÖTALANDS LÄN</t>
        </is>
      </c>
      <c r="G196" t="inlineStr">
        <is>
          <t>DALS-ED</t>
        </is>
      </c>
      <c r="I196" t="n">
        <v>5.2</v>
      </c>
      <c r="J196" t="n">
        <v>0</v>
      </c>
      <c r="K196" t="n">
        <v>0</v>
      </c>
      <c r="L196" t="n">
        <v>0</v>
      </c>
      <c r="M196" t="n">
        <v>0</v>
      </c>
      <c r="N196" t="n">
        <v>0</v>
      </c>
      <c r="O196" t="n">
        <v>0</v>
      </c>
      <c r="P196" t="n">
        <v>0</v>
      </c>
      <c r="Q196" t="n">
        <v>0</v>
      </c>
      <c r="R196" t="n">
        <v>0</v>
      </c>
      <c r="S196" t="n">
        <v>0</v>
      </c>
      <c r="T196" t="n">
        <v>0</v>
      </c>
      <c r="U196" s="2" t="inlineStr"/>
    </row>
    <row r="197" ht="15" customHeight="1">
      <c r="A197" t="inlineStr">
        <is>
          <t>A 21864-2024</t>
        </is>
      </c>
      <c r="B197" t="inlineStr">
        <is>
          <t>avverkningsanmälan</t>
        </is>
      </c>
      <c r="C197" t="inlineStr">
        <is>
          <t>Avverkning för att bevara och utveckla /försöksver</t>
        </is>
      </c>
      <c r="D197" s="1" t="n">
        <v>45443</v>
      </c>
      <c r="E197" s="1" t="n">
        <v>46217</v>
      </c>
      <c r="F197" t="inlineStr">
        <is>
          <t>VÄSTRA GÖTALANDS LÄN</t>
        </is>
      </c>
      <c r="G197" t="inlineStr">
        <is>
          <t>DALS-ED</t>
        </is>
      </c>
      <c r="H197" t="inlineStr">
        <is>
          <t>Kyrkan</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50735-2025</t>
        </is>
      </c>
      <c r="B198" t="inlineStr">
        <is>
          <t>avverkningsanmälan</t>
        </is>
      </c>
      <c r="C198" t="inlineStr">
        <is>
          <t>Föryngringsavverkning</t>
        </is>
      </c>
      <c r="D198" s="1" t="n">
        <v>45946</v>
      </c>
      <c r="E198" s="1" t="n">
        <v>46217</v>
      </c>
      <c r="F198" t="inlineStr">
        <is>
          <t>VÄSTRA GÖTALANDS LÄN</t>
        </is>
      </c>
      <c r="G198" t="inlineStr">
        <is>
          <t>DALS-ED</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42351-2025</t>
        </is>
      </c>
      <c r="B199" t="inlineStr">
        <is>
          <t>avverkningsanmälan</t>
        </is>
      </c>
      <c r="C199" t="inlineStr">
        <is>
          <t>Föryngringsavverkning</t>
        </is>
      </c>
      <c r="D199" s="1" t="n">
        <v>45904</v>
      </c>
      <c r="E199" s="1" t="n">
        <v>46217</v>
      </c>
      <c r="F199" t="inlineStr">
        <is>
          <t>VÄSTRA GÖTALANDS LÄN</t>
        </is>
      </c>
      <c r="G199" t="inlineStr">
        <is>
          <t>DALS-ED</t>
        </is>
      </c>
      <c r="H199" t="inlineStr">
        <is>
          <t>Övriga Aktiebolag</t>
        </is>
      </c>
      <c r="I199" t="n">
        <v>5.2</v>
      </c>
      <c r="J199" t="n">
        <v>0</v>
      </c>
      <c r="K199" t="n">
        <v>0</v>
      </c>
      <c r="L199" t="n">
        <v>0</v>
      </c>
      <c r="M199" t="n">
        <v>0</v>
      </c>
      <c r="N199" t="n">
        <v>0</v>
      </c>
      <c r="O199" t="n">
        <v>0</v>
      </c>
      <c r="P199" t="n">
        <v>0</v>
      </c>
      <c r="Q199" t="n">
        <v>0</v>
      </c>
      <c r="R199" t="n">
        <v>0</v>
      </c>
      <c r="S199" t="n">
        <v>0</v>
      </c>
      <c r="T199" t="n">
        <v>0</v>
      </c>
      <c r="U199" s="2" t="inlineStr"/>
    </row>
    <row r="200" ht="15" customHeight="1">
      <c r="A200" t="inlineStr">
        <is>
          <t>A 34026-2025</t>
        </is>
      </c>
      <c r="B200" t="inlineStr">
        <is>
          <t>avverkningsanmälan</t>
        </is>
      </c>
      <c r="C200" t="inlineStr">
        <is>
          <t>Föryngringsavverkning</t>
        </is>
      </c>
      <c r="D200" s="1" t="n">
        <v>45845</v>
      </c>
      <c r="E200" s="1" t="n">
        <v>46217</v>
      </c>
      <c r="F200" t="inlineStr">
        <is>
          <t>VÄSTRA GÖTALANDS LÄN</t>
        </is>
      </c>
      <c r="G200" t="inlineStr">
        <is>
          <t>DALS-ED</t>
        </is>
      </c>
      <c r="I200" t="n">
        <v>3.1</v>
      </c>
      <c r="J200" t="n">
        <v>0</v>
      </c>
      <c r="K200" t="n">
        <v>0</v>
      </c>
      <c r="L200" t="n">
        <v>0</v>
      </c>
      <c r="M200" t="n">
        <v>0</v>
      </c>
      <c r="N200" t="n">
        <v>0</v>
      </c>
      <c r="O200" t="n">
        <v>0</v>
      </c>
      <c r="P200" t="n">
        <v>0</v>
      </c>
      <c r="Q200" t="n">
        <v>0</v>
      </c>
      <c r="R200" t="n">
        <v>0</v>
      </c>
      <c r="S200" t="n">
        <v>0</v>
      </c>
      <c r="T200" t="n">
        <v>0</v>
      </c>
      <c r="U200" s="2" t="inlineStr"/>
    </row>
    <row r="201" ht="15" customHeight="1">
      <c r="A201" t="inlineStr">
        <is>
          <t>A 51817-2025</t>
        </is>
      </c>
      <c r="B201" t="inlineStr">
        <is>
          <t>avverkningsanmälan</t>
        </is>
      </c>
      <c r="C201" t="inlineStr">
        <is>
          <t>Föryngringsavverkning</t>
        </is>
      </c>
      <c r="D201" s="1" t="n">
        <v>45951</v>
      </c>
      <c r="E201" s="1" t="n">
        <v>46217</v>
      </c>
      <c r="F201" t="inlineStr">
        <is>
          <t>VÄSTRA GÖTALANDS LÄN</t>
        </is>
      </c>
      <c r="G201" t="inlineStr">
        <is>
          <t>DALS-ED</t>
        </is>
      </c>
      <c r="I201" t="n">
        <v>7.6</v>
      </c>
      <c r="J201" t="n">
        <v>0</v>
      </c>
      <c r="K201" t="n">
        <v>0</v>
      </c>
      <c r="L201" t="n">
        <v>0</v>
      </c>
      <c r="M201" t="n">
        <v>0</v>
      </c>
      <c r="N201" t="n">
        <v>0</v>
      </c>
      <c r="O201" t="n">
        <v>0</v>
      </c>
      <c r="P201" t="n">
        <v>0</v>
      </c>
      <c r="Q201" t="n">
        <v>0</v>
      </c>
      <c r="R201" t="n">
        <v>0</v>
      </c>
      <c r="S201" t="n">
        <v>0</v>
      </c>
      <c r="T201" t="n">
        <v>0</v>
      </c>
      <c r="U201" s="2" t="inlineStr"/>
    </row>
    <row r="202" ht="15" customHeight="1">
      <c r="A202" t="inlineStr">
        <is>
          <t>A 51821-2025</t>
        </is>
      </c>
      <c r="B202" t="inlineStr">
        <is>
          <t>avverkningsanmälan</t>
        </is>
      </c>
      <c r="C202" t="inlineStr">
        <is>
          <t>Föryngringsavverkning</t>
        </is>
      </c>
      <c r="D202" s="1" t="n">
        <v>45951</v>
      </c>
      <c r="E202" s="1" t="n">
        <v>46217</v>
      </c>
      <c r="F202" t="inlineStr">
        <is>
          <t>VÄSTRA GÖTALANDS LÄN</t>
        </is>
      </c>
      <c r="G202" t="inlineStr">
        <is>
          <t>DALS-ED</t>
        </is>
      </c>
      <c r="H202" t="inlineStr">
        <is>
          <t>Kyrkan</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17643-2024</t>
        </is>
      </c>
      <c r="B203" t="inlineStr">
        <is>
          <t>avverkningsanmälan</t>
        </is>
      </c>
      <c r="C203" t="inlineStr">
        <is>
          <t>Föryngringsavverkning</t>
        </is>
      </c>
      <c r="D203" s="1" t="n">
        <v>45418</v>
      </c>
      <c r="E203" s="1" t="n">
        <v>46217</v>
      </c>
      <c r="F203" t="inlineStr">
        <is>
          <t>VÄSTRA GÖTALANDS LÄN</t>
        </is>
      </c>
      <c r="G203" t="inlineStr">
        <is>
          <t>DALS-ED</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51818-2025</t>
        </is>
      </c>
      <c r="B204" t="inlineStr">
        <is>
          <t>avverkningsanmälan</t>
        </is>
      </c>
      <c r="C204" t="inlineStr">
        <is>
          <t>Föryngringsavverkning</t>
        </is>
      </c>
      <c r="D204" s="1" t="n">
        <v>45951</v>
      </c>
      <c r="E204" s="1" t="n">
        <v>46217</v>
      </c>
      <c r="F204" t="inlineStr">
        <is>
          <t>VÄSTRA GÖTALANDS LÄN</t>
        </is>
      </c>
      <c r="G204" t="inlineStr">
        <is>
          <t>DALS-ED</t>
        </is>
      </c>
      <c r="H204" t="inlineStr">
        <is>
          <t>Kyrkan</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51554-2025</t>
        </is>
      </c>
      <c r="B205" t="inlineStr">
        <is>
          <t>avverkningsanmälan</t>
        </is>
      </c>
      <c r="C205" t="inlineStr">
        <is>
          <t>Föryngringsavverkning</t>
        </is>
      </c>
      <c r="D205" s="1" t="n">
        <v>45950</v>
      </c>
      <c r="E205" s="1" t="n">
        <v>46217</v>
      </c>
      <c r="F205" t="inlineStr">
        <is>
          <t>VÄSTRA GÖTALANDS LÄN</t>
        </is>
      </c>
      <c r="G205" t="inlineStr">
        <is>
          <t>DALS-ED</t>
        </is>
      </c>
      <c r="H205" t="inlineStr">
        <is>
          <t>Kyrkan</t>
        </is>
      </c>
      <c r="I205" t="n">
        <v>5.3</v>
      </c>
      <c r="J205" t="n">
        <v>0</v>
      </c>
      <c r="K205" t="n">
        <v>0</v>
      </c>
      <c r="L205" t="n">
        <v>0</v>
      </c>
      <c r="M205" t="n">
        <v>0</v>
      </c>
      <c r="N205" t="n">
        <v>0</v>
      </c>
      <c r="O205" t="n">
        <v>0</v>
      </c>
      <c r="P205" t="n">
        <v>0</v>
      </c>
      <c r="Q205" t="n">
        <v>0</v>
      </c>
      <c r="R205" t="n">
        <v>0</v>
      </c>
      <c r="S205" t="n">
        <v>0</v>
      </c>
      <c r="T205" t="n">
        <v>0</v>
      </c>
      <c r="U205" s="2" t="inlineStr"/>
    </row>
    <row r="206" ht="15" customHeight="1">
      <c r="A206" t="inlineStr">
        <is>
          <t>A 12996-2025</t>
        </is>
      </c>
      <c r="B206" t="inlineStr">
        <is>
          <t>avverkningsanmälan</t>
        </is>
      </c>
      <c r="C206" t="inlineStr">
        <is>
          <t>Föryngringsavverkning</t>
        </is>
      </c>
      <c r="D206" s="1" t="n">
        <v>45734</v>
      </c>
      <c r="E206" s="1" t="n">
        <v>46217</v>
      </c>
      <c r="F206" t="inlineStr">
        <is>
          <t>VÄSTRA GÖTALANDS LÄN</t>
        </is>
      </c>
      <c r="G206" t="inlineStr">
        <is>
          <t>DALS-ED</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31871-2025</t>
        </is>
      </c>
      <c r="B207" t="inlineStr">
        <is>
          <t>avverkningsanmälan</t>
        </is>
      </c>
      <c r="C207" t="inlineStr">
        <is>
          <t>Föryngringsavverkning</t>
        </is>
      </c>
      <c r="D207" s="1" t="n">
        <v>45834</v>
      </c>
      <c r="E207" s="1" t="n">
        <v>46217</v>
      </c>
      <c r="F207" t="inlineStr">
        <is>
          <t>VÄSTRA GÖTALANDS LÄN</t>
        </is>
      </c>
      <c r="G207" t="inlineStr">
        <is>
          <t>DALS-ED</t>
        </is>
      </c>
      <c r="I207" t="n">
        <v>7.1</v>
      </c>
      <c r="J207" t="n">
        <v>0</v>
      </c>
      <c r="K207" t="n">
        <v>0</v>
      </c>
      <c r="L207" t="n">
        <v>0</v>
      </c>
      <c r="M207" t="n">
        <v>0</v>
      </c>
      <c r="N207" t="n">
        <v>0</v>
      </c>
      <c r="O207" t="n">
        <v>0</v>
      </c>
      <c r="P207" t="n">
        <v>0</v>
      </c>
      <c r="Q207" t="n">
        <v>0</v>
      </c>
      <c r="R207" t="n">
        <v>0</v>
      </c>
      <c r="S207" t="n">
        <v>0</v>
      </c>
      <c r="T207" t="n">
        <v>0</v>
      </c>
      <c r="U207" s="2" t="inlineStr"/>
    </row>
    <row r="208" ht="15" customHeight="1">
      <c r="A208" t="inlineStr">
        <is>
          <t>A 53053-2025</t>
        </is>
      </c>
      <c r="B208" t="inlineStr">
        <is>
          <t>avverkningsanmälan</t>
        </is>
      </c>
      <c r="C208" t="inlineStr">
        <is>
          <t>Föryngringsavverkning</t>
        </is>
      </c>
      <c r="D208" s="1" t="n">
        <v>45958</v>
      </c>
      <c r="E208" s="1" t="n">
        <v>46217</v>
      </c>
      <c r="F208" t="inlineStr">
        <is>
          <t>VÄSTRA GÖTALANDS LÄN</t>
        </is>
      </c>
      <c r="G208" t="inlineStr">
        <is>
          <t>DALS-ED</t>
        </is>
      </c>
      <c r="I208" t="n">
        <v>0.3</v>
      </c>
      <c r="J208" t="n">
        <v>0</v>
      </c>
      <c r="K208" t="n">
        <v>0</v>
      </c>
      <c r="L208" t="n">
        <v>0</v>
      </c>
      <c r="M208" t="n">
        <v>0</v>
      </c>
      <c r="N208" t="n">
        <v>0</v>
      </c>
      <c r="O208" t="n">
        <v>0</v>
      </c>
      <c r="P208" t="n">
        <v>0</v>
      </c>
      <c r="Q208" t="n">
        <v>0</v>
      </c>
      <c r="R208" t="n">
        <v>0</v>
      </c>
      <c r="S208" t="n">
        <v>0</v>
      </c>
      <c r="T208" t="n">
        <v>0</v>
      </c>
      <c r="U208" s="2" t="inlineStr"/>
    </row>
    <row r="209" ht="15" customHeight="1">
      <c r="A209" t="inlineStr">
        <is>
          <t>A 29556-2025</t>
        </is>
      </c>
      <c r="B209" t="inlineStr">
        <is>
          <t>avverkningsanmälan</t>
        </is>
      </c>
      <c r="C209" t="inlineStr">
        <is>
          <t>Föryngringsavverkning</t>
        </is>
      </c>
      <c r="D209" s="1" t="n">
        <v>45825</v>
      </c>
      <c r="E209" s="1" t="n">
        <v>46217</v>
      </c>
      <c r="F209" t="inlineStr">
        <is>
          <t>VÄSTRA GÖTALANDS LÄN</t>
        </is>
      </c>
      <c r="G209" t="inlineStr">
        <is>
          <t>DALS-ED</t>
        </is>
      </c>
      <c r="I209" t="n">
        <v>5.9</v>
      </c>
      <c r="J209" t="n">
        <v>0</v>
      </c>
      <c r="K209" t="n">
        <v>0</v>
      </c>
      <c r="L209" t="n">
        <v>0</v>
      </c>
      <c r="M209" t="n">
        <v>0</v>
      </c>
      <c r="N209" t="n">
        <v>0</v>
      </c>
      <c r="O209" t="n">
        <v>0</v>
      </c>
      <c r="P209" t="n">
        <v>0</v>
      </c>
      <c r="Q209" t="n">
        <v>0</v>
      </c>
      <c r="R209" t="n">
        <v>0</v>
      </c>
      <c r="S209" t="n">
        <v>0</v>
      </c>
      <c r="T209" t="n">
        <v>0</v>
      </c>
      <c r="U209" s="2" t="inlineStr"/>
    </row>
    <row r="210" ht="15" customHeight="1">
      <c r="A210" t="inlineStr">
        <is>
          <t>A 18453-2024</t>
        </is>
      </c>
      <c r="B210" t="inlineStr">
        <is>
          <t>avverkningsanmälan</t>
        </is>
      </c>
      <c r="C210" t="inlineStr">
        <is>
          <t>Föryngringsavverkning</t>
        </is>
      </c>
      <c r="D210" s="1" t="n">
        <v>45425</v>
      </c>
      <c r="E210" s="1" t="n">
        <v>46217</v>
      </c>
      <c r="F210" t="inlineStr">
        <is>
          <t>VÄSTRA GÖTALANDS LÄN</t>
        </is>
      </c>
      <c r="G210" t="inlineStr">
        <is>
          <t>DALS-ED</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19370-2023</t>
        </is>
      </c>
      <c r="B211" t="inlineStr">
        <is>
          <t>avverkningsanmälan</t>
        </is>
      </c>
      <c r="C211" t="inlineStr">
        <is>
          <t>Föryngringsavverkning</t>
        </is>
      </c>
      <c r="D211" s="1" t="n">
        <v>45049</v>
      </c>
      <c r="E211" s="1" t="n">
        <v>46217</v>
      </c>
      <c r="F211" t="inlineStr">
        <is>
          <t>VÄSTRA GÖTALANDS LÄN</t>
        </is>
      </c>
      <c r="G211" t="inlineStr">
        <is>
          <t>DALS-ED</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19373-2023</t>
        </is>
      </c>
      <c r="B212" t="inlineStr">
        <is>
          <t>avverkningsanmälan</t>
        </is>
      </c>
      <c r="C212" t="inlineStr">
        <is>
          <t>Föryngringsavverkning</t>
        </is>
      </c>
      <c r="D212" s="1" t="n">
        <v>45049</v>
      </c>
      <c r="E212" s="1" t="n">
        <v>46217</v>
      </c>
      <c r="F212" t="inlineStr">
        <is>
          <t>VÄSTRA GÖTALANDS LÄN</t>
        </is>
      </c>
      <c r="G212" t="inlineStr">
        <is>
          <t>DALS-ED</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50732-2024</t>
        </is>
      </c>
      <c r="B213" t="inlineStr">
        <is>
          <t>avverkningsanmälan</t>
        </is>
      </c>
      <c r="C213" t="inlineStr">
        <is>
          <t>Föryngringsavverkning</t>
        </is>
      </c>
      <c r="D213" s="1" t="n">
        <v>45602</v>
      </c>
      <c r="E213" s="1" t="n">
        <v>46217</v>
      </c>
      <c r="F213" t="inlineStr">
        <is>
          <t>VÄSTRA GÖTALANDS LÄN</t>
        </is>
      </c>
      <c r="G213" t="inlineStr">
        <is>
          <t>DALS-ED</t>
        </is>
      </c>
      <c r="I213" t="n">
        <v>3.8</v>
      </c>
      <c r="J213" t="n">
        <v>0</v>
      </c>
      <c r="K213" t="n">
        <v>0</v>
      </c>
      <c r="L213" t="n">
        <v>0</v>
      </c>
      <c r="M213" t="n">
        <v>0</v>
      </c>
      <c r="N213" t="n">
        <v>0</v>
      </c>
      <c r="O213" t="n">
        <v>0</v>
      </c>
      <c r="P213" t="n">
        <v>0</v>
      </c>
      <c r="Q213" t="n">
        <v>0</v>
      </c>
      <c r="R213" t="n">
        <v>0</v>
      </c>
      <c r="S213" t="n">
        <v>0</v>
      </c>
      <c r="T213" t="n">
        <v>0</v>
      </c>
      <c r="U213" s="2" t="inlineStr"/>
    </row>
    <row r="214" ht="15" customHeight="1">
      <c r="A214" t="inlineStr">
        <is>
          <t>A 11264-2026</t>
        </is>
      </c>
      <c r="B214" t="inlineStr">
        <is>
          <t>avverkningsanmälan</t>
        </is>
      </c>
      <c r="C214" t="inlineStr">
        <is>
          <t>Föryngringsavverkning</t>
        </is>
      </c>
      <c r="D214" s="1" t="n">
        <v>46080</v>
      </c>
      <c r="E214" s="1" t="n">
        <v>46217</v>
      </c>
      <c r="F214" t="inlineStr">
        <is>
          <t>VÄSTRA GÖTALANDS LÄN</t>
        </is>
      </c>
      <c r="G214" t="inlineStr">
        <is>
          <t>DALS-ED</t>
        </is>
      </c>
      <c r="H214" t="inlineStr">
        <is>
          <t>Övriga Aktiebolag</t>
        </is>
      </c>
      <c r="I214" t="n">
        <v>2.8</v>
      </c>
      <c r="J214" t="n">
        <v>0</v>
      </c>
      <c r="K214" t="n">
        <v>0</v>
      </c>
      <c r="L214" t="n">
        <v>0</v>
      </c>
      <c r="M214" t="n">
        <v>0</v>
      </c>
      <c r="N214" t="n">
        <v>0</v>
      </c>
      <c r="O214" t="n">
        <v>0</v>
      </c>
      <c r="P214" t="n">
        <v>0</v>
      </c>
      <c r="Q214" t="n">
        <v>0</v>
      </c>
      <c r="R214" t="n">
        <v>0</v>
      </c>
      <c r="S214" t="n">
        <v>0</v>
      </c>
      <c r="T214" t="n">
        <v>0</v>
      </c>
      <c r="U214" s="2" t="inlineStr"/>
    </row>
    <row r="215" ht="15" customHeight="1">
      <c r="A215" t="inlineStr">
        <is>
          <t>A 25924-2024</t>
        </is>
      </c>
      <c r="B215" t="inlineStr">
        <is>
          <t>avverkningsanmälan</t>
        </is>
      </c>
      <c r="C215" t="inlineStr">
        <is>
          <t>Föryngringsavverkning</t>
        </is>
      </c>
      <c r="D215" s="1" t="n">
        <v>45467</v>
      </c>
      <c r="E215" s="1" t="n">
        <v>46217</v>
      </c>
      <c r="F215" t="inlineStr">
        <is>
          <t>VÄSTRA GÖTALANDS LÄN</t>
        </is>
      </c>
      <c r="G215" t="inlineStr">
        <is>
          <t>DALS-ED</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62985-2023</t>
        </is>
      </c>
      <c r="B216" t="inlineStr">
        <is>
          <t>avverkningsanmälan</t>
        </is>
      </c>
      <c r="C216" t="inlineStr">
        <is>
          <t>Föryngringsavverkning</t>
        </is>
      </c>
      <c r="D216" s="1" t="n">
        <v>45272</v>
      </c>
      <c r="E216" s="1" t="n">
        <v>46217</v>
      </c>
      <c r="F216" t="inlineStr">
        <is>
          <t>VÄSTRA GÖTALANDS LÄN</t>
        </is>
      </c>
      <c r="G216" t="inlineStr">
        <is>
          <t>DALS-ED</t>
        </is>
      </c>
      <c r="I216" t="n">
        <v>8.300000000000001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48281-2022</t>
        </is>
      </c>
      <c r="B217" t="inlineStr">
        <is>
          <t>avverkningsanmälan</t>
        </is>
      </c>
      <c r="C217" t="inlineStr">
        <is>
          <t>Föryngringsavverkning</t>
        </is>
      </c>
      <c r="D217" s="1" t="n">
        <v>44858</v>
      </c>
      <c r="E217" s="1" t="n">
        <v>46217</v>
      </c>
      <c r="F217" t="inlineStr">
        <is>
          <t>VÄSTRA GÖTALANDS LÄN</t>
        </is>
      </c>
      <c r="G217" t="inlineStr">
        <is>
          <t>DALS-ED</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56239-2025</t>
        </is>
      </c>
      <c r="B218" t="inlineStr">
        <is>
          <t>avverkningsanmälan</t>
        </is>
      </c>
      <c r="C218" t="inlineStr">
        <is>
          <t>Föryngringsavverkning</t>
        </is>
      </c>
      <c r="D218" s="1" t="n">
        <v>45974</v>
      </c>
      <c r="E218" s="1" t="n">
        <v>46217</v>
      </c>
      <c r="F218" t="inlineStr">
        <is>
          <t>VÄSTRA GÖTALANDS LÄN</t>
        </is>
      </c>
      <c r="G218" t="inlineStr">
        <is>
          <t>DALS-ED</t>
        </is>
      </c>
      <c r="H218" t="inlineStr">
        <is>
          <t>Övriga Aktiebolag</t>
        </is>
      </c>
      <c r="I218" t="n">
        <v>5.9</v>
      </c>
      <c r="J218" t="n">
        <v>0</v>
      </c>
      <c r="K218" t="n">
        <v>0</v>
      </c>
      <c r="L218" t="n">
        <v>0</v>
      </c>
      <c r="M218" t="n">
        <v>0</v>
      </c>
      <c r="N218" t="n">
        <v>0</v>
      </c>
      <c r="O218" t="n">
        <v>0</v>
      </c>
      <c r="P218" t="n">
        <v>0</v>
      </c>
      <c r="Q218" t="n">
        <v>0</v>
      </c>
      <c r="R218" t="n">
        <v>0</v>
      </c>
      <c r="S218" t="n">
        <v>0</v>
      </c>
      <c r="T218" t="n">
        <v>0</v>
      </c>
      <c r="U218" s="2" t="inlineStr"/>
    </row>
    <row r="219" ht="15" customHeight="1">
      <c r="A219" t="inlineStr">
        <is>
          <t>A 56084-2025</t>
        </is>
      </c>
      <c r="B219" t="inlineStr">
        <is>
          <t>avverkningsanmälan</t>
        </is>
      </c>
      <c r="C219" t="inlineStr">
        <is>
          <t>Föryngringsavverkning</t>
        </is>
      </c>
      <c r="D219" s="1" t="n">
        <v>45973</v>
      </c>
      <c r="E219" s="1" t="n">
        <v>46217</v>
      </c>
      <c r="F219" t="inlineStr">
        <is>
          <t>VÄSTRA GÖTALANDS LÄN</t>
        </is>
      </c>
      <c r="G219" t="inlineStr">
        <is>
          <t>DALS-ED</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26534-2023</t>
        </is>
      </c>
      <c r="B220" t="inlineStr">
        <is>
          <t>avverkningsanmälan</t>
        </is>
      </c>
      <c r="C220" t="inlineStr">
        <is>
          <t>Föryngringsavverkning</t>
        </is>
      </c>
      <c r="D220" s="1" t="n">
        <v>45092</v>
      </c>
      <c r="E220" s="1" t="n">
        <v>46217</v>
      </c>
      <c r="F220" t="inlineStr">
        <is>
          <t>VÄSTRA GÖTALANDS LÄN</t>
        </is>
      </c>
      <c r="G220" t="inlineStr">
        <is>
          <t>DALS-ED</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64338-2021</t>
        </is>
      </c>
      <c r="B221" t="inlineStr">
        <is>
          <t>avverkningsanmälan</t>
        </is>
      </c>
      <c r="C221" t="inlineStr">
        <is>
          <t>Föryngringsavverkning</t>
        </is>
      </c>
      <c r="D221" s="1" t="n">
        <v>44511</v>
      </c>
      <c r="E221" s="1" t="n">
        <v>46217</v>
      </c>
      <c r="F221" t="inlineStr">
        <is>
          <t>VÄSTRA GÖTALANDS LÄN</t>
        </is>
      </c>
      <c r="G221" t="inlineStr">
        <is>
          <t>DALS-ED</t>
        </is>
      </c>
      <c r="I221" t="n">
        <v>5.6</v>
      </c>
      <c r="J221" t="n">
        <v>0</v>
      </c>
      <c r="K221" t="n">
        <v>0</v>
      </c>
      <c r="L221" t="n">
        <v>0</v>
      </c>
      <c r="M221" t="n">
        <v>0</v>
      </c>
      <c r="N221" t="n">
        <v>0</v>
      </c>
      <c r="O221" t="n">
        <v>0</v>
      </c>
      <c r="P221" t="n">
        <v>0</v>
      </c>
      <c r="Q221" t="n">
        <v>0</v>
      </c>
      <c r="R221" t="n">
        <v>0</v>
      </c>
      <c r="S221" t="n">
        <v>0</v>
      </c>
      <c r="T221" t="n">
        <v>0</v>
      </c>
      <c r="U221" s="2" t="inlineStr"/>
    </row>
    <row r="222" ht="15" customHeight="1">
      <c r="A222" t="inlineStr">
        <is>
          <t>A 56169-2025</t>
        </is>
      </c>
      <c r="B222" t="inlineStr">
        <is>
          <t>avverkningsanmälan</t>
        </is>
      </c>
      <c r="C222" t="inlineStr">
        <is>
          <t>Föryngringsavverkning</t>
        </is>
      </c>
      <c r="D222" s="1" t="n">
        <v>45974</v>
      </c>
      <c r="E222" s="1" t="n">
        <v>46217</v>
      </c>
      <c r="F222" t="inlineStr">
        <is>
          <t>VÄSTRA GÖTALANDS LÄN</t>
        </is>
      </c>
      <c r="G222" t="inlineStr">
        <is>
          <t>DALS-ED</t>
        </is>
      </c>
      <c r="I222" t="n">
        <v>2.4</v>
      </c>
      <c r="J222" t="n">
        <v>0</v>
      </c>
      <c r="K222" t="n">
        <v>0</v>
      </c>
      <c r="L222" t="n">
        <v>0</v>
      </c>
      <c r="M222" t="n">
        <v>0</v>
      </c>
      <c r="N222" t="n">
        <v>0</v>
      </c>
      <c r="O222" t="n">
        <v>0</v>
      </c>
      <c r="P222" t="n">
        <v>0</v>
      </c>
      <c r="Q222" t="n">
        <v>0</v>
      </c>
      <c r="R222" t="n">
        <v>0</v>
      </c>
      <c r="S222" t="n">
        <v>0</v>
      </c>
      <c r="T222" t="n">
        <v>0</v>
      </c>
      <c r="U222" s="2" t="inlineStr"/>
    </row>
    <row r="223" ht="15" customHeight="1">
      <c r="A223" t="inlineStr">
        <is>
          <t>A 56171-2025</t>
        </is>
      </c>
      <c r="B223" t="inlineStr">
        <is>
          <t>avverkningsanmälan</t>
        </is>
      </c>
      <c r="C223" t="inlineStr">
        <is>
          <t>Föryngringsavverkning</t>
        </is>
      </c>
      <c r="D223" s="1" t="n">
        <v>45974</v>
      </c>
      <c r="E223" s="1" t="n">
        <v>46217</v>
      </c>
      <c r="F223" t="inlineStr">
        <is>
          <t>VÄSTRA GÖTALANDS LÄN</t>
        </is>
      </c>
      <c r="G223" t="inlineStr">
        <is>
          <t>DALS-ED</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26688-2026</t>
        </is>
      </c>
      <c r="B224" t="inlineStr">
        <is>
          <t>avverkningsanmälan</t>
        </is>
      </c>
      <c r="C224" t="inlineStr">
        <is>
          <t>Föryngringsavverkning</t>
        </is>
      </c>
      <c r="D224" s="1" t="n">
        <v>46184</v>
      </c>
      <c r="E224" s="1" t="n">
        <v>46217</v>
      </c>
      <c r="F224" t="inlineStr">
        <is>
          <t>VÄSTRA GÖTALANDS LÄN</t>
        </is>
      </c>
      <c r="G224" t="inlineStr">
        <is>
          <t>DALS-ED</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56050-2025</t>
        </is>
      </c>
      <c r="B225" t="inlineStr">
        <is>
          <t>avverkningsanmälan</t>
        </is>
      </c>
      <c r="C225" t="inlineStr">
        <is>
          <t>Föryngringsavverkning</t>
        </is>
      </c>
      <c r="D225" s="1" t="n">
        <v>45973</v>
      </c>
      <c r="E225" s="1" t="n">
        <v>46217</v>
      </c>
      <c r="F225" t="inlineStr">
        <is>
          <t>VÄSTRA GÖTALANDS LÄN</t>
        </is>
      </c>
      <c r="G225" t="inlineStr">
        <is>
          <t>DALS-ED</t>
        </is>
      </c>
      <c r="I225" t="n">
        <v>2.5</v>
      </c>
      <c r="J225" t="n">
        <v>0</v>
      </c>
      <c r="K225" t="n">
        <v>0</v>
      </c>
      <c r="L225" t="n">
        <v>0</v>
      </c>
      <c r="M225" t="n">
        <v>0</v>
      </c>
      <c r="N225" t="n">
        <v>0</v>
      </c>
      <c r="O225" t="n">
        <v>0</v>
      </c>
      <c r="P225" t="n">
        <v>0</v>
      </c>
      <c r="Q225" t="n">
        <v>0</v>
      </c>
      <c r="R225" t="n">
        <v>0</v>
      </c>
      <c r="S225" t="n">
        <v>0</v>
      </c>
      <c r="T225" t="n">
        <v>0</v>
      </c>
      <c r="U225" s="2" t="inlineStr"/>
    </row>
    <row r="226" ht="15" customHeight="1">
      <c r="A226" t="inlineStr">
        <is>
          <t>A 56282-2025</t>
        </is>
      </c>
      <c r="B226" t="inlineStr">
        <is>
          <t>avverkningsanmälan</t>
        </is>
      </c>
      <c r="C226" t="inlineStr">
        <is>
          <t>Föryngringsavverkning</t>
        </is>
      </c>
      <c r="D226" s="1" t="n">
        <v>45974</v>
      </c>
      <c r="E226" s="1" t="n">
        <v>46217</v>
      </c>
      <c r="F226" t="inlineStr">
        <is>
          <t>VÄSTRA GÖTALANDS LÄN</t>
        </is>
      </c>
      <c r="G226" t="inlineStr">
        <is>
          <t>DALS-ED</t>
        </is>
      </c>
      <c r="I226" t="n">
        <v>2.5</v>
      </c>
      <c r="J226" t="n">
        <v>0</v>
      </c>
      <c r="K226" t="n">
        <v>0</v>
      </c>
      <c r="L226" t="n">
        <v>0</v>
      </c>
      <c r="M226" t="n">
        <v>0</v>
      </c>
      <c r="N226" t="n">
        <v>0</v>
      </c>
      <c r="O226" t="n">
        <v>0</v>
      </c>
      <c r="P226" t="n">
        <v>0</v>
      </c>
      <c r="Q226" t="n">
        <v>0</v>
      </c>
      <c r="R226" t="n">
        <v>0</v>
      </c>
      <c r="S226" t="n">
        <v>0</v>
      </c>
      <c r="T226" t="n">
        <v>0</v>
      </c>
      <c r="U226" s="2" t="inlineStr"/>
    </row>
    <row r="227" ht="15" customHeight="1">
      <c r="A227" t="inlineStr">
        <is>
          <t>A 54018-2021</t>
        </is>
      </c>
      <c r="B227" t="inlineStr">
        <is>
          <t>avverkningsanmälan</t>
        </is>
      </c>
      <c r="C227" t="inlineStr">
        <is>
          <t>Föryngringsavverkning</t>
        </is>
      </c>
      <c r="D227" s="1" t="n">
        <v>44468</v>
      </c>
      <c r="E227" s="1" t="n">
        <v>46217</v>
      </c>
      <c r="F227" t="inlineStr">
        <is>
          <t>VÄSTRA GÖTALANDS LÄN</t>
        </is>
      </c>
      <c r="G227" t="inlineStr">
        <is>
          <t>DALS-ED</t>
        </is>
      </c>
      <c r="I227" t="n">
        <v>6</v>
      </c>
      <c r="J227" t="n">
        <v>0</v>
      </c>
      <c r="K227" t="n">
        <v>0</v>
      </c>
      <c r="L227" t="n">
        <v>0</v>
      </c>
      <c r="M227" t="n">
        <v>0</v>
      </c>
      <c r="N227" t="n">
        <v>0</v>
      </c>
      <c r="O227" t="n">
        <v>0</v>
      </c>
      <c r="P227" t="n">
        <v>0</v>
      </c>
      <c r="Q227" t="n">
        <v>0</v>
      </c>
      <c r="R227" t="n">
        <v>0</v>
      </c>
      <c r="S227" t="n">
        <v>0</v>
      </c>
      <c r="T227" t="n">
        <v>0</v>
      </c>
      <c r="U227" s="2" t="inlineStr"/>
    </row>
    <row r="228" ht="15" customHeight="1">
      <c r="A228" t="inlineStr">
        <is>
          <t>A 63162-2023</t>
        </is>
      </c>
      <c r="B228" t="inlineStr">
        <is>
          <t>avverkningsanmälan</t>
        </is>
      </c>
      <c r="C228" t="inlineStr">
        <is>
          <t>Föryngringsavverkning</t>
        </is>
      </c>
      <c r="D228" s="1" t="n">
        <v>45273</v>
      </c>
      <c r="E228" s="1" t="n">
        <v>46217</v>
      </c>
      <c r="F228" t="inlineStr">
        <is>
          <t>VÄSTRA GÖTALANDS LÄN</t>
        </is>
      </c>
      <c r="G228" t="inlineStr">
        <is>
          <t>DALS-ED</t>
        </is>
      </c>
      <c r="I228" t="n">
        <v>11.8</v>
      </c>
      <c r="J228" t="n">
        <v>0</v>
      </c>
      <c r="K228" t="n">
        <v>0</v>
      </c>
      <c r="L228" t="n">
        <v>0</v>
      </c>
      <c r="M228" t="n">
        <v>0</v>
      </c>
      <c r="N228" t="n">
        <v>0</v>
      </c>
      <c r="O228" t="n">
        <v>0</v>
      </c>
      <c r="P228" t="n">
        <v>0</v>
      </c>
      <c r="Q228" t="n">
        <v>0</v>
      </c>
      <c r="R228" t="n">
        <v>0</v>
      </c>
      <c r="S228" t="n">
        <v>0</v>
      </c>
      <c r="T228" t="n">
        <v>0</v>
      </c>
      <c r="U228" s="2" t="inlineStr"/>
    </row>
    <row r="229" ht="15" customHeight="1">
      <c r="A229" t="inlineStr">
        <is>
          <t>A 56951-2025</t>
        </is>
      </c>
      <c r="B229" t="inlineStr">
        <is>
          <t>avverkningsanmälan</t>
        </is>
      </c>
      <c r="C229" t="inlineStr">
        <is>
          <t>Föryngringsavverkning</t>
        </is>
      </c>
      <c r="D229" s="1" t="n">
        <v>45978</v>
      </c>
      <c r="E229" s="1" t="n">
        <v>46217</v>
      </c>
      <c r="F229" t="inlineStr">
        <is>
          <t>VÄSTRA GÖTALANDS LÄN</t>
        </is>
      </c>
      <c r="G229" t="inlineStr">
        <is>
          <t>DALS-ED</t>
        </is>
      </c>
      <c r="I229" t="n">
        <v>5.1</v>
      </c>
      <c r="J229" t="n">
        <v>0</v>
      </c>
      <c r="K229" t="n">
        <v>0</v>
      </c>
      <c r="L229" t="n">
        <v>0</v>
      </c>
      <c r="M229" t="n">
        <v>0</v>
      </c>
      <c r="N229" t="n">
        <v>0</v>
      </c>
      <c r="O229" t="n">
        <v>0</v>
      </c>
      <c r="P229" t="n">
        <v>0</v>
      </c>
      <c r="Q229" t="n">
        <v>0</v>
      </c>
      <c r="R229" t="n">
        <v>0</v>
      </c>
      <c r="S229" t="n">
        <v>0</v>
      </c>
      <c r="T229" t="n">
        <v>0</v>
      </c>
      <c r="U229" s="2" t="inlineStr"/>
    </row>
    <row r="230" ht="15" customHeight="1">
      <c r="A230" t="inlineStr">
        <is>
          <t>A 56880-2025</t>
        </is>
      </c>
      <c r="B230" t="inlineStr">
        <is>
          <t>avverkningsanmälan</t>
        </is>
      </c>
      <c r="C230" t="inlineStr">
        <is>
          <t>Föryngringsavverkning</t>
        </is>
      </c>
      <c r="D230" s="1" t="n">
        <v>45978</v>
      </c>
      <c r="E230" s="1" t="n">
        <v>46217</v>
      </c>
      <c r="F230" t="inlineStr">
        <is>
          <t>VÄSTRA GÖTALANDS LÄN</t>
        </is>
      </c>
      <c r="G230" t="inlineStr">
        <is>
          <t>DALS-ED</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57768-2025</t>
        </is>
      </c>
      <c r="B231" t="inlineStr">
        <is>
          <t>avverkningsanmälan</t>
        </is>
      </c>
      <c r="C231" t="inlineStr">
        <is>
          <t>Föryngringsavverkning</t>
        </is>
      </c>
      <c r="D231" s="1" t="n">
        <v>45981</v>
      </c>
      <c r="E231" s="1" t="n">
        <v>46217</v>
      </c>
      <c r="F231" t="inlineStr">
        <is>
          <t>VÄSTRA GÖTALANDS LÄN</t>
        </is>
      </c>
      <c r="G231" t="inlineStr">
        <is>
          <t>DALS-ED</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15009-2023</t>
        </is>
      </c>
      <c r="B232" t="inlineStr">
        <is>
          <t>avverkningsanmälan</t>
        </is>
      </c>
      <c r="C232" t="inlineStr">
        <is>
          <t>Föryngringsavverkning</t>
        </is>
      </c>
      <c r="D232" s="1" t="n">
        <v>45015</v>
      </c>
      <c r="E232" s="1" t="n">
        <v>46217</v>
      </c>
      <c r="F232" t="inlineStr">
        <is>
          <t>VÄSTRA GÖTALANDS LÄN</t>
        </is>
      </c>
      <c r="G232" t="inlineStr">
        <is>
          <t>DALS-ED</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5312-2023</t>
        </is>
      </c>
      <c r="B233" t="inlineStr">
        <is>
          <t>avverkningsanmälan</t>
        </is>
      </c>
      <c r="C233" t="inlineStr">
        <is>
          <t>Föryngringsavverkning</t>
        </is>
      </c>
      <c r="D233" s="1" t="n">
        <v>44959</v>
      </c>
      <c r="E233" s="1" t="n">
        <v>46217</v>
      </c>
      <c r="F233" t="inlineStr">
        <is>
          <t>VÄSTRA GÖTALANDS LÄN</t>
        </is>
      </c>
      <c r="G233" t="inlineStr">
        <is>
          <t>DALS-ED</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43376-2025</t>
        </is>
      </c>
      <c r="B234" t="inlineStr">
        <is>
          <t>avverkningsanmälan</t>
        </is>
      </c>
      <c r="C234" t="inlineStr">
        <is>
          <t>Föryngringsavverkning</t>
        </is>
      </c>
      <c r="D234" s="1" t="n">
        <v>45911</v>
      </c>
      <c r="E234" s="1" t="n">
        <v>46217</v>
      </c>
      <c r="F234" t="inlineStr">
        <is>
          <t>VÄSTRA GÖTALANDS LÄN</t>
        </is>
      </c>
      <c r="G234" t="inlineStr">
        <is>
          <t>DALS-ED</t>
        </is>
      </c>
      <c r="I234" t="n">
        <v>5.3</v>
      </c>
      <c r="J234" t="n">
        <v>0</v>
      </c>
      <c r="K234" t="n">
        <v>0</v>
      </c>
      <c r="L234" t="n">
        <v>0</v>
      </c>
      <c r="M234" t="n">
        <v>0</v>
      </c>
      <c r="N234" t="n">
        <v>0</v>
      </c>
      <c r="O234" t="n">
        <v>0</v>
      </c>
      <c r="P234" t="n">
        <v>0</v>
      </c>
      <c r="Q234" t="n">
        <v>0</v>
      </c>
      <c r="R234" t="n">
        <v>0</v>
      </c>
      <c r="S234" t="n">
        <v>0</v>
      </c>
      <c r="T234" t="n">
        <v>0</v>
      </c>
      <c r="U234" s="2" t="inlineStr"/>
    </row>
    <row r="235" ht="15" customHeight="1">
      <c r="A235" t="inlineStr">
        <is>
          <t>A 60139-2022</t>
        </is>
      </c>
      <c r="B235" t="inlineStr">
        <is>
          <t>avverkningsanmälan</t>
        </is>
      </c>
      <c r="C235" t="inlineStr">
        <is>
          <t>Föryngringsavverkning</t>
        </is>
      </c>
      <c r="D235" s="1" t="n">
        <v>44902</v>
      </c>
      <c r="E235" s="1" t="n">
        <v>46217</v>
      </c>
      <c r="F235" t="inlineStr">
        <is>
          <t>VÄSTRA GÖTALANDS LÄN</t>
        </is>
      </c>
      <c r="G235" t="inlineStr">
        <is>
          <t>DALS-ED</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5388-2023</t>
        </is>
      </c>
      <c r="B236" t="inlineStr">
        <is>
          <t>avverkningsanmälan</t>
        </is>
      </c>
      <c r="C236" t="inlineStr">
        <is>
          <t>Föryngringsavverkning</t>
        </is>
      </c>
      <c r="D236" s="1" t="n">
        <v>44959</v>
      </c>
      <c r="E236" s="1" t="n">
        <v>46217</v>
      </c>
      <c r="F236" t="inlineStr">
        <is>
          <t>VÄSTRA GÖTALANDS LÄN</t>
        </is>
      </c>
      <c r="G236" t="inlineStr">
        <is>
          <t>DALS-ED</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60590-2024</t>
        </is>
      </c>
      <c r="B237" t="inlineStr">
        <is>
          <t>avverkningsanmälan</t>
        </is>
      </c>
      <c r="C237" t="inlineStr">
        <is>
          <t>Föryngringsavverkning</t>
        </is>
      </c>
      <c r="D237" s="1" t="n">
        <v>45644</v>
      </c>
      <c r="E237" s="1" t="n">
        <v>46217</v>
      </c>
      <c r="F237" t="inlineStr">
        <is>
          <t>VÄSTRA GÖTALANDS LÄN</t>
        </is>
      </c>
      <c r="G237" t="inlineStr">
        <is>
          <t>DALS-ED</t>
        </is>
      </c>
      <c r="I237" t="n">
        <v>2.2</v>
      </c>
      <c r="J237" t="n">
        <v>0</v>
      </c>
      <c r="K237" t="n">
        <v>0</v>
      </c>
      <c r="L237" t="n">
        <v>0</v>
      </c>
      <c r="M237" t="n">
        <v>0</v>
      </c>
      <c r="N237" t="n">
        <v>0</v>
      </c>
      <c r="O237" t="n">
        <v>0</v>
      </c>
      <c r="P237" t="n">
        <v>0</v>
      </c>
      <c r="Q237" t="n">
        <v>0</v>
      </c>
      <c r="R237" t="n">
        <v>0</v>
      </c>
      <c r="S237" t="n">
        <v>0</v>
      </c>
      <c r="T237" t="n">
        <v>0</v>
      </c>
      <c r="U237" s="2" t="inlineStr"/>
    </row>
    <row r="238" ht="15" customHeight="1">
      <c r="A238" t="inlineStr">
        <is>
          <t>A 26698-2026</t>
        </is>
      </c>
      <c r="B238" t="inlineStr">
        <is>
          <t>avverkningsanmälan</t>
        </is>
      </c>
      <c r="C238" t="inlineStr">
        <is>
          <t>Föryngringsavverkning</t>
        </is>
      </c>
      <c r="D238" s="1" t="n">
        <v>46184</v>
      </c>
      <c r="E238" s="1" t="n">
        <v>46217</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58590-2025</t>
        </is>
      </c>
      <c r="B239" t="inlineStr">
        <is>
          <t>avverkningsanmälan</t>
        </is>
      </c>
      <c r="C239" t="inlineStr">
        <is>
          <t>Föryngringsavverkning</t>
        </is>
      </c>
      <c r="D239" s="1" t="n">
        <v>45986</v>
      </c>
      <c r="E239" s="1" t="n">
        <v>46217</v>
      </c>
      <c r="F239" t="inlineStr">
        <is>
          <t>VÄSTRA GÖTALANDS LÄN</t>
        </is>
      </c>
      <c r="G239" t="inlineStr">
        <is>
          <t>DALS-ED</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28449-2023</t>
        </is>
      </c>
      <c r="B240" t="inlineStr">
        <is>
          <t>avverkningsanmälan</t>
        </is>
      </c>
      <c r="C240" t="inlineStr">
        <is>
          <t>Föryngringsavverkning</t>
        </is>
      </c>
      <c r="D240" s="1" t="n">
        <v>45103</v>
      </c>
      <c r="E240" s="1" t="n">
        <v>46217</v>
      </c>
      <c r="F240" t="inlineStr">
        <is>
          <t>VÄSTRA GÖTALANDS LÄN</t>
        </is>
      </c>
      <c r="G240" t="inlineStr">
        <is>
          <t>DALS-ED</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27672-2026</t>
        </is>
      </c>
      <c r="B241" t="inlineStr">
        <is>
          <t>avverkningsanmälan</t>
        </is>
      </c>
      <c r="C241" t="inlineStr">
        <is>
          <t>Föryngringsavverkning</t>
        </is>
      </c>
      <c r="D241" s="1" t="n">
        <v>46188</v>
      </c>
      <c r="E241" s="1" t="n">
        <v>46217</v>
      </c>
      <c r="F241" t="inlineStr">
        <is>
          <t>VÄSTRA GÖTALANDS LÄN</t>
        </is>
      </c>
      <c r="G241" t="inlineStr">
        <is>
          <t>DALS-ED</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58182-2025</t>
        </is>
      </c>
      <c r="B242" t="inlineStr">
        <is>
          <t>avverkningsanmälan</t>
        </is>
      </c>
      <c r="C242" t="inlineStr">
        <is>
          <t>Föryngringsavverkning</t>
        </is>
      </c>
      <c r="D242" s="1" t="n">
        <v>45982</v>
      </c>
      <c r="E242" s="1" t="n">
        <v>46217</v>
      </c>
      <c r="F242" t="inlineStr">
        <is>
          <t>VÄSTRA GÖTALANDS LÄN</t>
        </is>
      </c>
      <c r="G242" t="inlineStr">
        <is>
          <t>DALS-ED</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21488-2026</t>
        </is>
      </c>
      <c r="B243" t="inlineStr">
        <is>
          <t>avverkningsanmälan</t>
        </is>
      </c>
      <c r="C243" t="inlineStr">
        <is>
          <t>Föryngringsavverkning</t>
        </is>
      </c>
      <c r="D243" s="1" t="n">
        <v>46148</v>
      </c>
      <c r="E243" s="1" t="n">
        <v>46217</v>
      </c>
      <c r="F243" t="inlineStr">
        <is>
          <t>VÄSTRA GÖTALANDS LÄN</t>
        </is>
      </c>
      <c r="G243" t="inlineStr">
        <is>
          <t>DALS-ED</t>
        </is>
      </c>
      <c r="I243" t="n">
        <v>5</v>
      </c>
      <c r="J243" t="n">
        <v>0</v>
      </c>
      <c r="K243" t="n">
        <v>0</v>
      </c>
      <c r="L243" t="n">
        <v>0</v>
      </c>
      <c r="M243" t="n">
        <v>0</v>
      </c>
      <c r="N243" t="n">
        <v>0</v>
      </c>
      <c r="O243" t="n">
        <v>0</v>
      </c>
      <c r="P243" t="n">
        <v>0</v>
      </c>
      <c r="Q243" t="n">
        <v>0</v>
      </c>
      <c r="R243" t="n">
        <v>0</v>
      </c>
      <c r="S243" t="n">
        <v>0</v>
      </c>
      <c r="T243" t="n">
        <v>0</v>
      </c>
      <c r="U243" s="2" t="inlineStr"/>
    </row>
    <row r="244" ht="15" customHeight="1">
      <c r="A244" t="inlineStr">
        <is>
          <t>A 32672-2023</t>
        </is>
      </c>
      <c r="B244" t="inlineStr">
        <is>
          <t>avverkningsanmälan</t>
        </is>
      </c>
      <c r="C244" t="inlineStr">
        <is>
          <t>Föryngringsavverkning</t>
        </is>
      </c>
      <c r="D244" s="1" t="n">
        <v>45121</v>
      </c>
      <c r="E244" s="1" t="n">
        <v>46217</v>
      </c>
      <c r="F244" t="inlineStr">
        <is>
          <t>VÄSTRA GÖTALANDS LÄN</t>
        </is>
      </c>
      <c r="G244" t="inlineStr">
        <is>
          <t>DALS-ED</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22135-2026</t>
        </is>
      </c>
      <c r="B245" t="inlineStr">
        <is>
          <t>avverkningsanmälan</t>
        </is>
      </c>
      <c r="C245" t="inlineStr">
        <is>
          <t>Föryngringsavverkning</t>
        </is>
      </c>
      <c r="D245" s="1" t="n">
        <v>46153</v>
      </c>
      <c r="E245" s="1" t="n">
        <v>46217</v>
      </c>
      <c r="F245" t="inlineStr">
        <is>
          <t>VÄSTRA GÖTALANDS LÄN</t>
        </is>
      </c>
      <c r="G245" t="inlineStr">
        <is>
          <t>DALS-ED</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72456-2021</t>
        </is>
      </c>
      <c r="B246" t="inlineStr">
        <is>
          <t>avverkningsanmälan</t>
        </is>
      </c>
      <c r="C246" t="inlineStr">
        <is>
          <t>Föryngringsavverkning</t>
        </is>
      </c>
      <c r="D246" s="1" t="n">
        <v>44545</v>
      </c>
      <c r="E246" s="1" t="n">
        <v>46217</v>
      </c>
      <c r="F246" t="inlineStr">
        <is>
          <t>VÄSTRA GÖTALANDS LÄN</t>
        </is>
      </c>
      <c r="G246" t="inlineStr">
        <is>
          <t>DALS-ED</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23859-2023</t>
        </is>
      </c>
      <c r="B247" t="inlineStr">
        <is>
          <t>avverkningsanmälan</t>
        </is>
      </c>
      <c r="C247" t="inlineStr">
        <is>
          <t>Avverkning för annat ändamål</t>
        </is>
      </c>
      <c r="D247" s="1" t="n">
        <v>45075</v>
      </c>
      <c r="E247" s="1" t="n">
        <v>46217</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8621-2024</t>
        </is>
      </c>
      <c r="B248" t="inlineStr">
        <is>
          <t>avverkningsanmälan</t>
        </is>
      </c>
      <c r="C248" t="inlineStr">
        <is>
          <t>Föryngringsavverkning</t>
        </is>
      </c>
      <c r="D248" s="1" t="n">
        <v>45355</v>
      </c>
      <c r="E248" s="1" t="n">
        <v>46217</v>
      </c>
      <c r="F248" t="inlineStr">
        <is>
          <t>VÄSTRA GÖTALANDS LÄN</t>
        </is>
      </c>
      <c r="G248" t="inlineStr">
        <is>
          <t>DALS-ED</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3398-2023</t>
        </is>
      </c>
      <c r="B249" t="inlineStr">
        <is>
          <t>avverkningsanmälan</t>
        </is>
      </c>
      <c r="C249" t="inlineStr">
        <is>
          <t>Föryngringsavverkning</t>
        </is>
      </c>
      <c r="D249" s="1" t="n">
        <v>44949</v>
      </c>
      <c r="E249" s="1" t="n">
        <v>46217</v>
      </c>
      <c r="F249" t="inlineStr">
        <is>
          <t>VÄSTRA GÖTALANDS LÄN</t>
        </is>
      </c>
      <c r="G249" t="inlineStr">
        <is>
          <t>DALS-ED</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60177-2025</t>
        </is>
      </c>
      <c r="B250" t="inlineStr">
        <is>
          <t>avverkningsanmälan</t>
        </is>
      </c>
      <c r="C250" t="inlineStr">
        <is>
          <t>Föryngringsavverkning</t>
        </is>
      </c>
      <c r="D250" s="1" t="n">
        <v>45994</v>
      </c>
      <c r="E250" s="1" t="n">
        <v>46217</v>
      </c>
      <c r="F250" t="inlineStr">
        <is>
          <t>VÄSTRA GÖTALANDS LÄN</t>
        </is>
      </c>
      <c r="G250" t="inlineStr">
        <is>
          <t>DALS-ED</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59514-2023</t>
        </is>
      </c>
      <c r="B251" t="inlineStr">
        <is>
          <t>avverkningsanmälan</t>
        </is>
      </c>
      <c r="C251" t="inlineStr">
        <is>
          <t>Föryngringsavverkning</t>
        </is>
      </c>
      <c r="D251" s="1" t="n">
        <v>45254</v>
      </c>
      <c r="E251" s="1" t="n">
        <v>46217</v>
      </c>
      <c r="F251" t="inlineStr">
        <is>
          <t>VÄSTRA GÖTALANDS LÄN</t>
        </is>
      </c>
      <c r="G251" t="inlineStr">
        <is>
          <t>DALS-ED</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60543-2025</t>
        </is>
      </c>
      <c r="B252" t="inlineStr">
        <is>
          <t>avverkningsanmälan</t>
        </is>
      </c>
      <c r="C252" t="inlineStr">
        <is>
          <t>Föryngringsavverkning</t>
        </is>
      </c>
      <c r="D252" s="1" t="n">
        <v>45995</v>
      </c>
      <c r="E252" s="1" t="n">
        <v>46217</v>
      </c>
      <c r="F252" t="inlineStr">
        <is>
          <t>VÄSTRA GÖTALANDS LÄN</t>
        </is>
      </c>
      <c r="G252" t="inlineStr">
        <is>
          <t>DALS-ED</t>
        </is>
      </c>
      <c r="I252" t="n">
        <v>3.2</v>
      </c>
      <c r="J252" t="n">
        <v>0</v>
      </c>
      <c r="K252" t="n">
        <v>0</v>
      </c>
      <c r="L252" t="n">
        <v>0</v>
      </c>
      <c r="M252" t="n">
        <v>0</v>
      </c>
      <c r="N252" t="n">
        <v>0</v>
      </c>
      <c r="O252" t="n">
        <v>0</v>
      </c>
      <c r="P252" t="n">
        <v>0</v>
      </c>
      <c r="Q252" t="n">
        <v>0</v>
      </c>
      <c r="R252" t="n">
        <v>0</v>
      </c>
      <c r="S252" t="n">
        <v>0</v>
      </c>
      <c r="T252" t="n">
        <v>0</v>
      </c>
      <c r="U252" s="2" t="inlineStr"/>
    </row>
    <row r="253" ht="15" customHeight="1">
      <c r="A253" t="inlineStr">
        <is>
          <t>A 10095-2022</t>
        </is>
      </c>
      <c r="B253" t="inlineStr">
        <is>
          <t>avverkningsanmälan</t>
        </is>
      </c>
      <c r="C253" t="inlineStr">
        <is>
          <t>Föryngringsavverkning</t>
        </is>
      </c>
      <c r="D253" s="1" t="n">
        <v>44621</v>
      </c>
      <c r="E253" s="1" t="n">
        <v>46217</v>
      </c>
      <c r="F253" t="inlineStr">
        <is>
          <t>VÄSTRA GÖTALANDS LÄN</t>
        </is>
      </c>
      <c r="G253" t="inlineStr">
        <is>
          <t>DALS-ED</t>
        </is>
      </c>
      <c r="H253" t="inlineStr">
        <is>
          <t>Övriga Aktiebolag</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60538-2025</t>
        </is>
      </c>
      <c r="B254" t="inlineStr">
        <is>
          <t>avverkningsanmälan</t>
        </is>
      </c>
      <c r="C254" t="inlineStr">
        <is>
          <t>Föryngringsavverkning</t>
        </is>
      </c>
      <c r="D254" s="1" t="n">
        <v>45995</v>
      </c>
      <c r="E254" s="1" t="n">
        <v>46217</v>
      </c>
      <c r="F254" t="inlineStr">
        <is>
          <t>VÄSTRA GÖTALANDS LÄN</t>
        </is>
      </c>
      <c r="G254" t="inlineStr">
        <is>
          <t>DALS-ED</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60542-2025</t>
        </is>
      </c>
      <c r="B255" t="inlineStr">
        <is>
          <t>avverkningsanmälan</t>
        </is>
      </c>
      <c r="C255" t="inlineStr">
        <is>
          <t>Föryngringsavverkning</t>
        </is>
      </c>
      <c r="D255" s="1" t="n">
        <v>45995</v>
      </c>
      <c r="E255" s="1" t="n">
        <v>46217</v>
      </c>
      <c r="F255" t="inlineStr">
        <is>
          <t>VÄSTRA GÖTALANDS LÄN</t>
        </is>
      </c>
      <c r="G255" t="inlineStr">
        <is>
          <t>DALS-ED</t>
        </is>
      </c>
      <c r="I255" t="n">
        <v>6.1</v>
      </c>
      <c r="J255" t="n">
        <v>0</v>
      </c>
      <c r="K255" t="n">
        <v>0</v>
      </c>
      <c r="L255" t="n">
        <v>0</v>
      </c>
      <c r="M255" t="n">
        <v>0</v>
      </c>
      <c r="N255" t="n">
        <v>0</v>
      </c>
      <c r="O255" t="n">
        <v>0</v>
      </c>
      <c r="P255" t="n">
        <v>0</v>
      </c>
      <c r="Q255" t="n">
        <v>0</v>
      </c>
      <c r="R255" t="n">
        <v>0</v>
      </c>
      <c r="S255" t="n">
        <v>0</v>
      </c>
      <c r="T255" t="n">
        <v>0</v>
      </c>
      <c r="U255" s="2" t="inlineStr"/>
    </row>
    <row r="256" ht="15" customHeight="1">
      <c r="A256" t="inlineStr">
        <is>
          <t>A 32195-2022</t>
        </is>
      </c>
      <c r="B256" t="inlineStr">
        <is>
          <t>avverkningsanmälan</t>
        </is>
      </c>
      <c r="C256" t="inlineStr">
        <is>
          <t>Föryngringsavverkning</t>
        </is>
      </c>
      <c r="D256" s="1" t="n">
        <v>44781</v>
      </c>
      <c r="E256" s="1" t="n">
        <v>46217</v>
      </c>
      <c r="F256" t="inlineStr">
        <is>
          <t>VÄSTRA GÖTALANDS LÄN</t>
        </is>
      </c>
      <c r="G256" t="inlineStr">
        <is>
          <t>DALS-ED</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7527-2024</t>
        </is>
      </c>
      <c r="B257" t="inlineStr">
        <is>
          <t>avverkningsanmälan</t>
        </is>
      </c>
      <c r="C257" t="inlineStr">
        <is>
          <t>Föryngringsavverkning</t>
        </is>
      </c>
      <c r="D257" s="1" t="n">
        <v>45348</v>
      </c>
      <c r="E257" s="1" t="n">
        <v>46217</v>
      </c>
      <c r="F257" t="inlineStr">
        <is>
          <t>VÄSTRA GÖTALANDS LÄN</t>
        </is>
      </c>
      <c r="G257" t="inlineStr">
        <is>
          <t>DALS-ED</t>
        </is>
      </c>
      <c r="I257" t="n">
        <v>8.1</v>
      </c>
      <c r="J257" t="n">
        <v>0</v>
      </c>
      <c r="K257" t="n">
        <v>0</v>
      </c>
      <c r="L257" t="n">
        <v>0</v>
      </c>
      <c r="M257" t="n">
        <v>0</v>
      </c>
      <c r="N257" t="n">
        <v>0</v>
      </c>
      <c r="O257" t="n">
        <v>0</v>
      </c>
      <c r="P257" t="n">
        <v>0</v>
      </c>
      <c r="Q257" t="n">
        <v>0</v>
      </c>
      <c r="R257" t="n">
        <v>0</v>
      </c>
      <c r="S257" t="n">
        <v>0</v>
      </c>
      <c r="T257" t="n">
        <v>0</v>
      </c>
      <c r="U257" s="2" t="inlineStr"/>
    </row>
    <row r="258" ht="15" customHeight="1">
      <c r="A258" t="inlineStr">
        <is>
          <t>A 61281-2025</t>
        </is>
      </c>
      <c r="B258" t="inlineStr">
        <is>
          <t>avverkningsanmälan</t>
        </is>
      </c>
      <c r="C258" t="inlineStr">
        <is>
          <t>Föryngringsavverkning</t>
        </is>
      </c>
      <c r="D258" s="1" t="n">
        <v>46000</v>
      </c>
      <c r="E258" s="1" t="n">
        <v>46217</v>
      </c>
      <c r="F258" t="inlineStr">
        <is>
          <t>VÄSTRA GÖTALANDS LÄN</t>
        </is>
      </c>
      <c r="G258" t="inlineStr">
        <is>
          <t>DALS-ED</t>
        </is>
      </c>
      <c r="I258" t="n">
        <v>9.1</v>
      </c>
      <c r="J258" t="n">
        <v>0</v>
      </c>
      <c r="K258" t="n">
        <v>0</v>
      </c>
      <c r="L258" t="n">
        <v>0</v>
      </c>
      <c r="M258" t="n">
        <v>0</v>
      </c>
      <c r="N258" t="n">
        <v>0</v>
      </c>
      <c r="O258" t="n">
        <v>0</v>
      </c>
      <c r="P258" t="n">
        <v>0</v>
      </c>
      <c r="Q258" t="n">
        <v>0</v>
      </c>
      <c r="R258" t="n">
        <v>0</v>
      </c>
      <c r="S258" t="n">
        <v>0</v>
      </c>
      <c r="T258" t="n">
        <v>0</v>
      </c>
      <c r="U258" s="2" t="inlineStr"/>
    </row>
    <row r="259" ht="15" customHeight="1">
      <c r="A259" t="inlineStr">
        <is>
          <t>A 22125-2026</t>
        </is>
      </c>
      <c r="B259" t="inlineStr">
        <is>
          <t>avverkningsanmälan</t>
        </is>
      </c>
      <c r="C259" t="inlineStr">
        <is>
          <t>Föryngringsavverkning</t>
        </is>
      </c>
      <c r="D259" s="1" t="n">
        <v>46153</v>
      </c>
      <c r="E259" s="1" t="n">
        <v>46217</v>
      </c>
      <c r="F259" t="inlineStr">
        <is>
          <t>VÄSTRA GÖTALANDS LÄN</t>
        </is>
      </c>
      <c r="G259" t="inlineStr">
        <is>
          <t>DALS-ED</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12844-2024</t>
        </is>
      </c>
      <c r="B260" t="inlineStr">
        <is>
          <t>avverkningsanmälan</t>
        </is>
      </c>
      <c r="C260" t="inlineStr">
        <is>
          <t>Föryngringsavverkning</t>
        </is>
      </c>
      <c r="D260" s="1" t="n">
        <v>45384</v>
      </c>
      <c r="E260" s="1" t="n">
        <v>46217</v>
      </c>
      <c r="F260" t="inlineStr">
        <is>
          <t>VÄSTRA GÖTALANDS LÄN</t>
        </is>
      </c>
      <c r="G260" t="inlineStr">
        <is>
          <t>DALS-ED</t>
        </is>
      </c>
      <c r="I260" t="n">
        <v>1.9</v>
      </c>
      <c r="J260" t="n">
        <v>0</v>
      </c>
      <c r="K260" t="n">
        <v>0</v>
      </c>
      <c r="L260" t="n">
        <v>0</v>
      </c>
      <c r="M260" t="n">
        <v>0</v>
      </c>
      <c r="N260" t="n">
        <v>0</v>
      </c>
      <c r="O260" t="n">
        <v>0</v>
      </c>
      <c r="P260" t="n">
        <v>0</v>
      </c>
      <c r="Q260" t="n">
        <v>0</v>
      </c>
      <c r="R260" t="n">
        <v>0</v>
      </c>
      <c r="S260" t="n">
        <v>0</v>
      </c>
      <c r="T260" t="n">
        <v>0</v>
      </c>
      <c r="U260" s="2" t="inlineStr"/>
    </row>
    <row r="261" ht="15" customHeight="1">
      <c r="A261" t="inlineStr">
        <is>
          <t>A 22131-2026</t>
        </is>
      </c>
      <c r="B261" t="inlineStr">
        <is>
          <t>avverkningsanmälan</t>
        </is>
      </c>
      <c r="C261" t="inlineStr">
        <is>
          <t>Föryngringsavverkning</t>
        </is>
      </c>
      <c r="D261" s="1" t="n">
        <v>46153</v>
      </c>
      <c r="E261" s="1" t="n">
        <v>46217</v>
      </c>
      <c r="F261" t="inlineStr">
        <is>
          <t>VÄSTRA GÖTALANDS LÄN</t>
        </is>
      </c>
      <c r="G261" t="inlineStr">
        <is>
          <t>DALS-ED</t>
        </is>
      </c>
      <c r="I261" t="n">
        <v>4.3</v>
      </c>
      <c r="J261" t="n">
        <v>0</v>
      </c>
      <c r="K261" t="n">
        <v>0</v>
      </c>
      <c r="L261" t="n">
        <v>0</v>
      </c>
      <c r="M261" t="n">
        <v>0</v>
      </c>
      <c r="N261" t="n">
        <v>0</v>
      </c>
      <c r="O261" t="n">
        <v>0</v>
      </c>
      <c r="P261" t="n">
        <v>0</v>
      </c>
      <c r="Q261" t="n">
        <v>0</v>
      </c>
      <c r="R261" t="n">
        <v>0</v>
      </c>
      <c r="S261" t="n">
        <v>0</v>
      </c>
      <c r="T261" t="n">
        <v>0</v>
      </c>
      <c r="U261" s="2" t="inlineStr"/>
    </row>
    <row r="262" ht="15" customHeight="1">
      <c r="A262" t="inlineStr">
        <is>
          <t>A 61840-2025</t>
        </is>
      </c>
      <c r="B262" t="inlineStr">
        <is>
          <t>avverkningsanmälan</t>
        </is>
      </c>
      <c r="C262" t="inlineStr">
        <is>
          <t>Föryngringsavverkning</t>
        </is>
      </c>
      <c r="D262" s="1" t="n">
        <v>46003</v>
      </c>
      <c r="E262" s="1" t="n">
        <v>46217</v>
      </c>
      <c r="F262" t="inlineStr">
        <is>
          <t>VÄSTRA GÖTALANDS LÄN</t>
        </is>
      </c>
      <c r="G262" t="inlineStr">
        <is>
          <t>DALS-ED</t>
        </is>
      </c>
      <c r="I262" t="n">
        <v>3.5</v>
      </c>
      <c r="J262" t="n">
        <v>0</v>
      </c>
      <c r="K262" t="n">
        <v>0</v>
      </c>
      <c r="L262" t="n">
        <v>0</v>
      </c>
      <c r="M262" t="n">
        <v>0</v>
      </c>
      <c r="N262" t="n">
        <v>0</v>
      </c>
      <c r="O262" t="n">
        <v>0</v>
      </c>
      <c r="P262" t="n">
        <v>0</v>
      </c>
      <c r="Q262" t="n">
        <v>0</v>
      </c>
      <c r="R262" t="n">
        <v>0</v>
      </c>
      <c r="S262" t="n">
        <v>0</v>
      </c>
      <c r="T262" t="n">
        <v>0</v>
      </c>
      <c r="U262" s="2" t="inlineStr"/>
    </row>
    <row r="263" ht="15" customHeight="1">
      <c r="A263" t="inlineStr">
        <is>
          <t>A 61948-2025</t>
        </is>
      </c>
      <c r="B263" t="inlineStr">
        <is>
          <t>avverkningsanmälan</t>
        </is>
      </c>
      <c r="C263" t="inlineStr">
        <is>
          <t>Föryngringsavverkning</t>
        </is>
      </c>
      <c r="D263" s="1" t="n">
        <v>46003</v>
      </c>
      <c r="E263" s="1" t="n">
        <v>46217</v>
      </c>
      <c r="F263" t="inlineStr">
        <is>
          <t>VÄSTRA GÖTALANDS LÄN</t>
        </is>
      </c>
      <c r="G263" t="inlineStr">
        <is>
          <t>DALS-ED</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15841-2024</t>
        </is>
      </c>
      <c r="B264" t="inlineStr">
        <is>
          <t>avverkningsanmälan</t>
        </is>
      </c>
      <c r="C264" t="inlineStr">
        <is>
          <t>Föryngringsavverkning</t>
        </is>
      </c>
      <c r="D264" s="1" t="n">
        <v>45404</v>
      </c>
      <c r="E264" s="1" t="n">
        <v>46217</v>
      </c>
      <c r="F264" t="inlineStr">
        <is>
          <t>VÄSTRA GÖTALANDS LÄN</t>
        </is>
      </c>
      <c r="G264" t="inlineStr">
        <is>
          <t>DALS-ED</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29047-2023</t>
        </is>
      </c>
      <c r="B265" t="inlineStr">
        <is>
          <t>avverkningsanmälan</t>
        </is>
      </c>
      <c r="C265" t="inlineStr">
        <is>
          <t>Föryngringsavverkning</t>
        </is>
      </c>
      <c r="D265" s="1" t="n">
        <v>45104</v>
      </c>
      <c r="E265" s="1" t="n">
        <v>46217</v>
      </c>
      <c r="F265" t="inlineStr">
        <is>
          <t>VÄSTRA GÖTALANDS LÄN</t>
        </is>
      </c>
      <c r="G265" t="inlineStr">
        <is>
          <t>DALS-ED</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42777-2024</t>
        </is>
      </c>
      <c r="B266" t="inlineStr">
        <is>
          <t>avverkningsanmälan</t>
        </is>
      </c>
      <c r="C266" t="inlineStr">
        <is>
          <t>Föryngringsavverkning</t>
        </is>
      </c>
      <c r="D266" s="1" t="n">
        <v>45566</v>
      </c>
      <c r="E266" s="1" t="n">
        <v>46217</v>
      </c>
      <c r="F266" t="inlineStr">
        <is>
          <t>VÄSTRA GÖTALANDS LÄN</t>
        </is>
      </c>
      <c r="G266" t="inlineStr">
        <is>
          <t>DALS-ED</t>
        </is>
      </c>
      <c r="I266" t="n">
        <v>9.4</v>
      </c>
      <c r="J266" t="n">
        <v>0</v>
      </c>
      <c r="K266" t="n">
        <v>0</v>
      </c>
      <c r="L266" t="n">
        <v>0</v>
      </c>
      <c r="M266" t="n">
        <v>0</v>
      </c>
      <c r="N266" t="n">
        <v>0</v>
      </c>
      <c r="O266" t="n">
        <v>0</v>
      </c>
      <c r="P266" t="n">
        <v>0</v>
      </c>
      <c r="Q266" t="n">
        <v>0</v>
      </c>
      <c r="R266" t="n">
        <v>0</v>
      </c>
      <c r="S266" t="n">
        <v>0</v>
      </c>
      <c r="T266" t="n">
        <v>0</v>
      </c>
      <c r="U266" s="2" t="inlineStr"/>
    </row>
    <row r="267" ht="15" customHeight="1">
      <c r="A267" t="inlineStr">
        <is>
          <t>A 10092-2022</t>
        </is>
      </c>
      <c r="B267" t="inlineStr">
        <is>
          <t>avverkningsanmälan</t>
        </is>
      </c>
      <c r="C267" t="inlineStr">
        <is>
          <t>Föryngringsavverkning</t>
        </is>
      </c>
      <c r="D267" s="1" t="n">
        <v>44621</v>
      </c>
      <c r="E267" s="1" t="n">
        <v>46217</v>
      </c>
      <c r="F267" t="inlineStr">
        <is>
          <t>VÄSTRA GÖTALANDS LÄN</t>
        </is>
      </c>
      <c r="G267" t="inlineStr">
        <is>
          <t>DALS-ED</t>
        </is>
      </c>
      <c r="H267" t="inlineStr">
        <is>
          <t>Övriga Aktiebolag</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38383-2023</t>
        </is>
      </c>
      <c r="B268" t="inlineStr">
        <is>
          <t>avverkningsanmälan</t>
        </is>
      </c>
      <c r="C268" t="inlineStr">
        <is>
          <t>Föryngringsavverkning</t>
        </is>
      </c>
      <c r="D268" s="1" t="n">
        <v>45162</v>
      </c>
      <c r="E268" s="1" t="n">
        <v>46217</v>
      </c>
      <c r="F268" t="inlineStr">
        <is>
          <t>VÄSTRA GÖTALANDS LÄN</t>
        </is>
      </c>
      <c r="G268" t="inlineStr">
        <is>
          <t>DALS-ED</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7482-2024</t>
        </is>
      </c>
      <c r="B269" t="inlineStr">
        <is>
          <t>avverkningsanmälan</t>
        </is>
      </c>
      <c r="C269" t="inlineStr">
        <is>
          <t>Föryngringsavverkning</t>
        </is>
      </c>
      <c r="D269" s="1" t="n">
        <v>45346</v>
      </c>
      <c r="E269" s="1" t="n">
        <v>46217</v>
      </c>
      <c r="F269" t="inlineStr">
        <is>
          <t>VÄSTRA GÖTALANDS LÄN</t>
        </is>
      </c>
      <c r="G269" t="inlineStr">
        <is>
          <t>DALS-ED</t>
        </is>
      </c>
      <c r="I269" t="n">
        <v>2.6</v>
      </c>
      <c r="J269" t="n">
        <v>0</v>
      </c>
      <c r="K269" t="n">
        <v>0</v>
      </c>
      <c r="L269" t="n">
        <v>0</v>
      </c>
      <c r="M269" t="n">
        <v>0</v>
      </c>
      <c r="N269" t="n">
        <v>0</v>
      </c>
      <c r="O269" t="n">
        <v>0</v>
      </c>
      <c r="P269" t="n">
        <v>0</v>
      </c>
      <c r="Q269" t="n">
        <v>0</v>
      </c>
      <c r="R269" t="n">
        <v>0</v>
      </c>
      <c r="S269" t="n">
        <v>0</v>
      </c>
      <c r="T269" t="n">
        <v>0</v>
      </c>
      <c r="U269" s="2" t="inlineStr"/>
    </row>
    <row r="270" ht="15" customHeight="1">
      <c r="A270" t="inlineStr">
        <is>
          <t>A 55088-2024</t>
        </is>
      </c>
      <c r="B270" t="inlineStr">
        <is>
          <t>avverkningsanmälan</t>
        </is>
      </c>
      <c r="C270" t="inlineStr">
        <is>
          <t>Föryngringsavverkning</t>
        </is>
      </c>
      <c r="D270" s="1" t="n">
        <v>45621</v>
      </c>
      <c r="E270" s="1" t="n">
        <v>46217</v>
      </c>
      <c r="F270" t="inlineStr">
        <is>
          <t>VÄSTRA GÖTALANDS LÄN</t>
        </is>
      </c>
      <c r="G270" t="inlineStr">
        <is>
          <t>DALS-ED</t>
        </is>
      </c>
      <c r="I270" t="n">
        <v>0.3</v>
      </c>
      <c r="J270" t="n">
        <v>0</v>
      </c>
      <c r="K270" t="n">
        <v>0</v>
      </c>
      <c r="L270" t="n">
        <v>0</v>
      </c>
      <c r="M270" t="n">
        <v>0</v>
      </c>
      <c r="N270" t="n">
        <v>0</v>
      </c>
      <c r="O270" t="n">
        <v>0</v>
      </c>
      <c r="P270" t="n">
        <v>0</v>
      </c>
      <c r="Q270" t="n">
        <v>0</v>
      </c>
      <c r="R270" t="n">
        <v>0</v>
      </c>
      <c r="S270" t="n">
        <v>0</v>
      </c>
      <c r="T270" t="n">
        <v>0</v>
      </c>
      <c r="U270" s="2" t="inlineStr"/>
    </row>
    <row r="271" ht="15" customHeight="1">
      <c r="A271" t="inlineStr">
        <is>
          <t>A 47444-2024</t>
        </is>
      </c>
      <c r="B271" t="inlineStr">
        <is>
          <t>avverkningsanmälan</t>
        </is>
      </c>
      <c r="C271" t="inlineStr">
        <is>
          <t>Föryngringsavverkning</t>
        </is>
      </c>
      <c r="D271" s="1" t="n">
        <v>45587</v>
      </c>
      <c r="E271" s="1" t="n">
        <v>46217</v>
      </c>
      <c r="F271" t="inlineStr">
        <is>
          <t>VÄSTRA GÖTALANDS LÄN</t>
        </is>
      </c>
      <c r="G271" t="inlineStr">
        <is>
          <t>DALS-ED</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899-2026</t>
        </is>
      </c>
      <c r="B272" t="inlineStr">
        <is>
          <t>avverkningsanmälan</t>
        </is>
      </c>
      <c r="C272" t="inlineStr">
        <is>
          <t>Föryngringsavverkning</t>
        </is>
      </c>
      <c r="D272" s="1" t="n">
        <v>46028</v>
      </c>
      <c r="E272" s="1" t="n">
        <v>46217</v>
      </c>
      <c r="F272" t="inlineStr">
        <is>
          <t>VÄSTRA GÖTALANDS LÄN</t>
        </is>
      </c>
      <c r="G272" t="inlineStr">
        <is>
          <t>DALS-ED</t>
        </is>
      </c>
      <c r="I272" t="n">
        <v>3.4</v>
      </c>
      <c r="J272" t="n">
        <v>0</v>
      </c>
      <c r="K272" t="n">
        <v>0</v>
      </c>
      <c r="L272" t="n">
        <v>0</v>
      </c>
      <c r="M272" t="n">
        <v>0</v>
      </c>
      <c r="N272" t="n">
        <v>0</v>
      </c>
      <c r="O272" t="n">
        <v>0</v>
      </c>
      <c r="P272" t="n">
        <v>0</v>
      </c>
      <c r="Q272" t="n">
        <v>0</v>
      </c>
      <c r="R272" t="n">
        <v>0</v>
      </c>
      <c r="S272" t="n">
        <v>0</v>
      </c>
      <c r="T272" t="n">
        <v>0</v>
      </c>
      <c r="U272" s="2" t="inlineStr"/>
    </row>
    <row r="273" ht="15" customHeight="1">
      <c r="A273" t="inlineStr">
        <is>
          <t>A 1305-2026</t>
        </is>
      </c>
      <c r="B273" t="inlineStr">
        <is>
          <t>avverkningsanmälan</t>
        </is>
      </c>
      <c r="C273" t="inlineStr">
        <is>
          <t>Föryngringsavverkning</t>
        </is>
      </c>
      <c r="D273" s="1" t="n">
        <v>46031</v>
      </c>
      <c r="E273" s="1" t="n">
        <v>46217</v>
      </c>
      <c r="F273" t="inlineStr">
        <is>
          <t>VÄSTRA GÖTALANDS LÄN</t>
        </is>
      </c>
      <c r="G273" t="inlineStr">
        <is>
          <t>DALS-ED</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1309-2026</t>
        </is>
      </c>
      <c r="B274" t="inlineStr">
        <is>
          <t>avverkningsanmälan</t>
        </is>
      </c>
      <c r="C274" t="inlineStr">
        <is>
          <t>Föryngringsavverkning</t>
        </is>
      </c>
      <c r="D274" s="1" t="n">
        <v>46031</v>
      </c>
      <c r="E274" s="1" t="n">
        <v>46217</v>
      </c>
      <c r="F274" t="inlineStr">
        <is>
          <t>VÄSTRA GÖTALANDS LÄN</t>
        </is>
      </c>
      <c r="G274" t="inlineStr">
        <is>
          <t>DALS-ED</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54206-2024</t>
        </is>
      </c>
      <c r="B275" t="inlineStr">
        <is>
          <t>avverkningsanmälan</t>
        </is>
      </c>
      <c r="C275" t="inlineStr">
        <is>
          <t>Föryngringsavverkning</t>
        </is>
      </c>
      <c r="D275" s="1" t="n">
        <v>45616</v>
      </c>
      <c r="E275" s="1" t="n">
        <v>46217</v>
      </c>
      <c r="F275" t="inlineStr">
        <is>
          <t>VÄSTRA GÖTALANDS LÄN</t>
        </is>
      </c>
      <c r="G275" t="inlineStr">
        <is>
          <t>DALS-ED</t>
        </is>
      </c>
      <c r="I275" t="n">
        <v>5</v>
      </c>
      <c r="J275" t="n">
        <v>0</v>
      </c>
      <c r="K275" t="n">
        <v>0</v>
      </c>
      <c r="L275" t="n">
        <v>0</v>
      </c>
      <c r="M275" t="n">
        <v>0</v>
      </c>
      <c r="N275" t="n">
        <v>0</v>
      </c>
      <c r="O275" t="n">
        <v>0</v>
      </c>
      <c r="P275" t="n">
        <v>0</v>
      </c>
      <c r="Q275" t="n">
        <v>0</v>
      </c>
      <c r="R275" t="n">
        <v>0</v>
      </c>
      <c r="S275" t="n">
        <v>0</v>
      </c>
      <c r="T275" t="n">
        <v>0</v>
      </c>
      <c r="U275" s="2" t="inlineStr"/>
    </row>
    <row r="276" ht="15" customHeight="1">
      <c r="A276" t="inlineStr">
        <is>
          <t>A 1870-2026</t>
        </is>
      </c>
      <c r="B276" t="inlineStr">
        <is>
          <t>avverkningsanmälan</t>
        </is>
      </c>
      <c r="C276" t="inlineStr">
        <is>
          <t>Föryngringsavverkning</t>
        </is>
      </c>
      <c r="D276" s="1" t="n">
        <v>46035</v>
      </c>
      <c r="E276" s="1" t="n">
        <v>46217</v>
      </c>
      <c r="F276" t="inlineStr">
        <is>
          <t>VÄSTRA GÖTALANDS LÄN</t>
        </is>
      </c>
      <c r="G276" t="inlineStr">
        <is>
          <t>DALS-ED</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1871-2026</t>
        </is>
      </c>
      <c r="B277" t="inlineStr">
        <is>
          <t>avverkningsanmälan</t>
        </is>
      </c>
      <c r="C277" t="inlineStr">
        <is>
          <t>Föryngringsavverkning</t>
        </is>
      </c>
      <c r="D277" s="1" t="n">
        <v>46035</v>
      </c>
      <c r="E277" s="1" t="n">
        <v>46217</v>
      </c>
      <c r="F277" t="inlineStr">
        <is>
          <t>VÄSTRA GÖTALANDS LÄN</t>
        </is>
      </c>
      <c r="G277" t="inlineStr">
        <is>
          <t>DALS-ED</t>
        </is>
      </c>
      <c r="I277" t="n">
        <v>12.3</v>
      </c>
      <c r="J277" t="n">
        <v>0</v>
      </c>
      <c r="K277" t="n">
        <v>0</v>
      </c>
      <c r="L277" t="n">
        <v>0</v>
      </c>
      <c r="M277" t="n">
        <v>0</v>
      </c>
      <c r="N277" t="n">
        <v>0</v>
      </c>
      <c r="O277" t="n">
        <v>0</v>
      </c>
      <c r="P277" t="n">
        <v>0</v>
      </c>
      <c r="Q277" t="n">
        <v>0</v>
      </c>
      <c r="R277" t="n">
        <v>0</v>
      </c>
      <c r="S277" t="n">
        <v>0</v>
      </c>
      <c r="T277" t="n">
        <v>0</v>
      </c>
      <c r="U277" s="2" t="inlineStr"/>
    </row>
    <row r="278" ht="15" customHeight="1">
      <c r="A278" t="inlineStr">
        <is>
          <t>A 58855-2024</t>
        </is>
      </c>
      <c r="B278" t="inlineStr">
        <is>
          <t>avverkningsanmälan</t>
        </is>
      </c>
      <c r="C278" t="inlineStr">
        <is>
          <t>Föryngringsavverkning</t>
        </is>
      </c>
      <c r="D278" s="1" t="n">
        <v>45636</v>
      </c>
      <c r="E278" s="1" t="n">
        <v>46217</v>
      </c>
      <c r="F278" t="inlineStr">
        <is>
          <t>VÄSTRA GÖTALANDS LÄN</t>
        </is>
      </c>
      <c r="G278" t="inlineStr">
        <is>
          <t>DALS-ED</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22941-2026</t>
        </is>
      </c>
      <c r="B279" t="inlineStr">
        <is>
          <t>avverkningsanmälan</t>
        </is>
      </c>
      <c r="C279" t="inlineStr">
        <is>
          <t>Föryngringsavverkning</t>
        </is>
      </c>
      <c r="D279" s="1" t="n">
        <v>46160</v>
      </c>
      <c r="E279" s="1" t="n">
        <v>46217</v>
      </c>
      <c r="F279" t="inlineStr">
        <is>
          <t>VÄSTRA GÖTALANDS LÄN</t>
        </is>
      </c>
      <c r="G279" t="inlineStr">
        <is>
          <t>DALS-ED</t>
        </is>
      </c>
      <c r="I279" t="n">
        <v>3</v>
      </c>
      <c r="J279" t="n">
        <v>0</v>
      </c>
      <c r="K279" t="n">
        <v>0</v>
      </c>
      <c r="L279" t="n">
        <v>0</v>
      </c>
      <c r="M279" t="n">
        <v>0</v>
      </c>
      <c r="N279" t="n">
        <v>0</v>
      </c>
      <c r="O279" t="n">
        <v>0</v>
      </c>
      <c r="P279" t="n">
        <v>0</v>
      </c>
      <c r="Q279" t="n">
        <v>0</v>
      </c>
      <c r="R279" t="n">
        <v>0</v>
      </c>
      <c r="S279" t="n">
        <v>0</v>
      </c>
      <c r="T279" t="n">
        <v>0</v>
      </c>
      <c r="U279" s="2" t="inlineStr"/>
    </row>
    <row r="280" ht="15" customHeight="1">
      <c r="A280" t="inlineStr">
        <is>
          <t>A 3465-2026</t>
        </is>
      </c>
      <c r="B280" t="inlineStr">
        <is>
          <t>avverkningsanmälan</t>
        </is>
      </c>
      <c r="C280" t="inlineStr">
        <is>
          <t>Föryngringsavverkning</t>
        </is>
      </c>
      <c r="D280" s="1" t="n">
        <v>46042</v>
      </c>
      <c r="E280" s="1" t="n">
        <v>46217</v>
      </c>
      <c r="F280" t="inlineStr">
        <is>
          <t>VÄSTRA GÖTALANDS LÄN</t>
        </is>
      </c>
      <c r="G280" t="inlineStr">
        <is>
          <t>DALS-ED</t>
        </is>
      </c>
      <c r="H280" t="inlineStr">
        <is>
          <t>Övriga Aktiebolag</t>
        </is>
      </c>
      <c r="I280" t="n">
        <v>10.9</v>
      </c>
      <c r="J280" t="n">
        <v>0</v>
      </c>
      <c r="K280" t="n">
        <v>0</v>
      </c>
      <c r="L280" t="n">
        <v>0</v>
      </c>
      <c r="M280" t="n">
        <v>0</v>
      </c>
      <c r="N280" t="n">
        <v>0</v>
      </c>
      <c r="O280" t="n">
        <v>0</v>
      </c>
      <c r="P280" t="n">
        <v>0</v>
      </c>
      <c r="Q280" t="n">
        <v>0</v>
      </c>
      <c r="R280" t="n">
        <v>0</v>
      </c>
      <c r="S280" t="n">
        <v>0</v>
      </c>
      <c r="T280" t="n">
        <v>0</v>
      </c>
      <c r="U280" s="2" t="inlineStr"/>
    </row>
    <row r="281" ht="15" customHeight="1">
      <c r="A281" t="inlineStr">
        <is>
          <t>A 59854-2024</t>
        </is>
      </c>
      <c r="B281" t="inlineStr">
        <is>
          <t>avverkningsanmälan</t>
        </is>
      </c>
      <c r="C281" t="inlineStr">
        <is>
          <t>Föryngringsavverkning</t>
        </is>
      </c>
      <c r="D281" s="1" t="n">
        <v>45639</v>
      </c>
      <c r="E281" s="1" t="n">
        <v>46217</v>
      </c>
      <c r="F281" t="inlineStr">
        <is>
          <t>VÄSTRA GÖTALANDS LÄN</t>
        </is>
      </c>
      <c r="G281" t="inlineStr">
        <is>
          <t>DALS-ED</t>
        </is>
      </c>
      <c r="I281" t="n">
        <v>2</v>
      </c>
      <c r="J281" t="n">
        <v>0</v>
      </c>
      <c r="K281" t="n">
        <v>0</v>
      </c>
      <c r="L281" t="n">
        <v>0</v>
      </c>
      <c r="M281" t="n">
        <v>0</v>
      </c>
      <c r="N281" t="n">
        <v>0</v>
      </c>
      <c r="O281" t="n">
        <v>0</v>
      </c>
      <c r="P281" t="n">
        <v>0</v>
      </c>
      <c r="Q281" t="n">
        <v>0</v>
      </c>
      <c r="R281" t="n">
        <v>0</v>
      </c>
      <c r="S281" t="n">
        <v>0</v>
      </c>
      <c r="T281" t="n">
        <v>0</v>
      </c>
      <c r="U281" s="2" t="inlineStr"/>
    </row>
    <row r="282" ht="15" customHeight="1">
      <c r="A282" t="inlineStr">
        <is>
          <t>A 59855-2024</t>
        </is>
      </c>
      <c r="B282" t="inlineStr">
        <is>
          <t>avverkningsanmälan</t>
        </is>
      </c>
      <c r="C282" t="inlineStr">
        <is>
          <t>Föryngringsavverkning</t>
        </is>
      </c>
      <c r="D282" s="1" t="n">
        <v>45639</v>
      </c>
      <c r="E282" s="1" t="n">
        <v>46217</v>
      </c>
      <c r="F282" t="inlineStr">
        <is>
          <t>VÄSTRA GÖTALANDS LÄN</t>
        </is>
      </c>
      <c r="G282" t="inlineStr">
        <is>
          <t>DALS-ED</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38407-2023</t>
        </is>
      </c>
      <c r="B283" t="inlineStr">
        <is>
          <t>avverkningsanmälan</t>
        </is>
      </c>
      <c r="C283" t="inlineStr">
        <is>
          <t>Föryngringsavverkning</t>
        </is>
      </c>
      <c r="D283" s="1" t="n">
        <v>45162</v>
      </c>
      <c r="E283" s="1" t="n">
        <v>46217</v>
      </c>
      <c r="F283" t="inlineStr">
        <is>
          <t>VÄSTRA GÖTALANDS LÄN</t>
        </is>
      </c>
      <c r="G283" t="inlineStr">
        <is>
          <t>DALS-ED</t>
        </is>
      </c>
      <c r="I283" t="n">
        <v>10.8</v>
      </c>
      <c r="J283" t="n">
        <v>0</v>
      </c>
      <c r="K283" t="n">
        <v>0</v>
      </c>
      <c r="L283" t="n">
        <v>0</v>
      </c>
      <c r="M283" t="n">
        <v>0</v>
      </c>
      <c r="N283" t="n">
        <v>0</v>
      </c>
      <c r="O283" t="n">
        <v>0</v>
      </c>
      <c r="P283" t="n">
        <v>0</v>
      </c>
      <c r="Q283" t="n">
        <v>0</v>
      </c>
      <c r="R283" t="n">
        <v>0</v>
      </c>
      <c r="S283" t="n">
        <v>0</v>
      </c>
      <c r="T283" t="n">
        <v>0</v>
      </c>
      <c r="U283" s="2" t="inlineStr"/>
    </row>
    <row r="284" ht="15" customHeight="1">
      <c r="A284" t="inlineStr">
        <is>
          <t>A 24021-2023</t>
        </is>
      </c>
      <c r="B284" t="inlineStr">
        <is>
          <t>avverkningsanmälan</t>
        </is>
      </c>
      <c r="C284" t="inlineStr">
        <is>
          <t>Föryngringsavverkning</t>
        </is>
      </c>
      <c r="D284" s="1" t="n">
        <v>45078</v>
      </c>
      <c r="E284" s="1" t="n">
        <v>46217</v>
      </c>
      <c r="F284" t="inlineStr">
        <is>
          <t>VÄSTRA GÖTALANDS LÄN</t>
        </is>
      </c>
      <c r="G284" t="inlineStr">
        <is>
          <t>DALS-ED</t>
        </is>
      </c>
      <c r="I284" t="n">
        <v>6</v>
      </c>
      <c r="J284" t="n">
        <v>0</v>
      </c>
      <c r="K284" t="n">
        <v>0</v>
      </c>
      <c r="L284" t="n">
        <v>0</v>
      </c>
      <c r="M284" t="n">
        <v>0</v>
      </c>
      <c r="N284" t="n">
        <v>0</v>
      </c>
      <c r="O284" t="n">
        <v>0</v>
      </c>
      <c r="P284" t="n">
        <v>0</v>
      </c>
      <c r="Q284" t="n">
        <v>0</v>
      </c>
      <c r="R284" t="n">
        <v>0</v>
      </c>
      <c r="S284" t="n">
        <v>0</v>
      </c>
      <c r="T284" t="n">
        <v>0</v>
      </c>
      <c r="U284" s="2" t="inlineStr"/>
    </row>
    <row r="285" ht="15" customHeight="1">
      <c r="A285" t="inlineStr">
        <is>
          <t>A 27796-2022</t>
        </is>
      </c>
      <c r="B285" t="inlineStr">
        <is>
          <t>avverkningsanmälan</t>
        </is>
      </c>
      <c r="C285" t="inlineStr">
        <is>
          <t>Föryngringsavverkning</t>
        </is>
      </c>
      <c r="D285" s="1" t="n">
        <v>44743</v>
      </c>
      <c r="E285" s="1" t="n">
        <v>46217</v>
      </c>
      <c r="F285" t="inlineStr">
        <is>
          <t>VÄSTRA GÖTALANDS LÄN</t>
        </is>
      </c>
      <c r="G285" t="inlineStr">
        <is>
          <t>DALS-ED</t>
        </is>
      </c>
      <c r="I285" t="n">
        <v>5.1</v>
      </c>
      <c r="J285" t="n">
        <v>0</v>
      </c>
      <c r="K285" t="n">
        <v>0</v>
      </c>
      <c r="L285" t="n">
        <v>0</v>
      </c>
      <c r="M285" t="n">
        <v>0</v>
      </c>
      <c r="N285" t="n">
        <v>0</v>
      </c>
      <c r="O285" t="n">
        <v>0</v>
      </c>
      <c r="P285" t="n">
        <v>0</v>
      </c>
      <c r="Q285" t="n">
        <v>0</v>
      </c>
      <c r="R285" t="n">
        <v>0</v>
      </c>
      <c r="S285" t="n">
        <v>0</v>
      </c>
      <c r="T285" t="n">
        <v>0</v>
      </c>
      <c r="U285" s="2" t="inlineStr"/>
    </row>
    <row r="286" ht="15" customHeight="1">
      <c r="A286" t="inlineStr">
        <is>
          <t>A 4574-2026</t>
        </is>
      </c>
      <c r="B286" t="inlineStr">
        <is>
          <t>avverkningsanmälan</t>
        </is>
      </c>
      <c r="C286" t="inlineStr">
        <is>
          <t>Föryngringsavverkning</t>
        </is>
      </c>
      <c r="D286" s="1" t="n">
        <v>46048</v>
      </c>
      <c r="E286" s="1" t="n">
        <v>46217</v>
      </c>
      <c r="F286" t="inlineStr">
        <is>
          <t>VÄSTRA GÖTALANDS LÄN</t>
        </is>
      </c>
      <c r="G286" t="inlineStr">
        <is>
          <t>DALS-ED</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4666-2026</t>
        </is>
      </c>
      <c r="B287" t="inlineStr">
        <is>
          <t>avverkningsanmälan</t>
        </is>
      </c>
      <c r="C287" t="inlineStr">
        <is>
          <t>Avverkning för annat ändamål</t>
        </is>
      </c>
      <c r="D287" s="1" t="n">
        <v>46048</v>
      </c>
      <c r="E287" s="1" t="n">
        <v>46217</v>
      </c>
      <c r="F287" t="inlineStr">
        <is>
          <t>VÄSTRA GÖTALANDS LÄN</t>
        </is>
      </c>
      <c r="G287" t="inlineStr">
        <is>
          <t>DALS-ED</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38579-2024</t>
        </is>
      </c>
      <c r="B288" t="inlineStr">
        <is>
          <t>avverkningsanmälan</t>
        </is>
      </c>
      <c r="C288" t="inlineStr">
        <is>
          <t>Föryngringsavverkning</t>
        </is>
      </c>
      <c r="D288" s="1" t="n">
        <v>45546</v>
      </c>
      <c r="E288" s="1" t="n">
        <v>46217</v>
      </c>
      <c r="F288" t="inlineStr">
        <is>
          <t>VÄSTRA GÖTALANDS LÄN</t>
        </is>
      </c>
      <c r="G288" t="inlineStr">
        <is>
          <t>DALS-ED</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13686-2025</t>
        </is>
      </c>
      <c r="B289" t="inlineStr">
        <is>
          <t>avverkningsanmälan</t>
        </is>
      </c>
      <c r="C289" t="inlineStr">
        <is>
          <t>Föryngringsavverkning</t>
        </is>
      </c>
      <c r="D289" s="1" t="n">
        <v>45737</v>
      </c>
      <c r="E289" s="1" t="n">
        <v>46217</v>
      </c>
      <c r="F289" t="inlineStr">
        <is>
          <t>VÄSTRA GÖTALANDS LÄN</t>
        </is>
      </c>
      <c r="G289" t="inlineStr">
        <is>
          <t>DALS-ED</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42821-2023</t>
        </is>
      </c>
      <c r="B290" t="inlineStr">
        <is>
          <t>avverkningsanmälan</t>
        </is>
      </c>
      <c r="C290" t="inlineStr">
        <is>
          <t>Föryngringsavverkning</t>
        </is>
      </c>
      <c r="D290" s="1" t="n">
        <v>45182</v>
      </c>
      <c r="E290" s="1" t="n">
        <v>46217</v>
      </c>
      <c r="F290" t="inlineStr">
        <is>
          <t>VÄSTRA GÖTALANDS LÄN</t>
        </is>
      </c>
      <c r="G290" t="inlineStr">
        <is>
          <t>DALS-ED</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2452-2025</t>
        </is>
      </c>
      <c r="B291" t="inlineStr">
        <is>
          <t>avverkningsanmälan</t>
        </is>
      </c>
      <c r="C291" t="inlineStr">
        <is>
          <t>Föryngringsavverkning</t>
        </is>
      </c>
      <c r="D291" s="1" t="n">
        <v>45674</v>
      </c>
      <c r="E291" s="1" t="n">
        <v>46217</v>
      </c>
      <c r="F291" t="inlineStr">
        <is>
          <t>VÄSTRA GÖTALANDS LÄN</t>
        </is>
      </c>
      <c r="G291" t="inlineStr">
        <is>
          <t>DALS-ED</t>
        </is>
      </c>
      <c r="I291" t="n">
        <v>3.7</v>
      </c>
      <c r="J291" t="n">
        <v>0</v>
      </c>
      <c r="K291" t="n">
        <v>0</v>
      </c>
      <c r="L291" t="n">
        <v>0</v>
      </c>
      <c r="M291" t="n">
        <v>0</v>
      </c>
      <c r="N291" t="n">
        <v>0</v>
      </c>
      <c r="O291" t="n">
        <v>0</v>
      </c>
      <c r="P291" t="n">
        <v>0</v>
      </c>
      <c r="Q291" t="n">
        <v>0</v>
      </c>
      <c r="R291" t="n">
        <v>0</v>
      </c>
      <c r="S291" t="n">
        <v>0</v>
      </c>
      <c r="T291" t="n">
        <v>0</v>
      </c>
      <c r="U291" s="2" t="inlineStr"/>
    </row>
    <row r="292" ht="15" customHeight="1">
      <c r="A292" t="inlineStr">
        <is>
          <t>A 49901-2025</t>
        </is>
      </c>
      <c r="B292" t="inlineStr">
        <is>
          <t>avverkningsanmälan</t>
        </is>
      </c>
      <c r="C292" t="inlineStr">
        <is>
          <t>Föryngringsavverkning</t>
        </is>
      </c>
      <c r="D292" s="1" t="n">
        <v>45940</v>
      </c>
      <c r="E292" s="1" t="n">
        <v>46217</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6464-2022</t>
        </is>
      </c>
      <c r="B293" t="inlineStr">
        <is>
          <t>avverkningsanmälan</t>
        </is>
      </c>
      <c r="C293" t="inlineStr">
        <is>
          <t>Föryngringsavverkning</t>
        </is>
      </c>
      <c r="D293" s="1" t="n">
        <v>44601</v>
      </c>
      <c r="E293" s="1" t="n">
        <v>46217</v>
      </c>
      <c r="F293" t="inlineStr">
        <is>
          <t>VÄSTRA GÖTALANDS LÄN</t>
        </is>
      </c>
      <c r="G293" t="inlineStr">
        <is>
          <t>DALS-ED</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18536-2025</t>
        </is>
      </c>
      <c r="B294" t="inlineStr">
        <is>
          <t>avverkningsanmälan</t>
        </is>
      </c>
      <c r="C294" t="inlineStr">
        <is>
          <t>Föryngringsavverkning</t>
        </is>
      </c>
      <c r="D294" s="1" t="n">
        <v>45763</v>
      </c>
      <c r="E294" s="1" t="n">
        <v>46217</v>
      </c>
      <c r="F294" t="inlineStr">
        <is>
          <t>VÄSTRA GÖTALANDS LÄN</t>
        </is>
      </c>
      <c r="G294" t="inlineStr">
        <is>
          <t>DALS-ED</t>
        </is>
      </c>
      <c r="I294" t="n">
        <v>4.3</v>
      </c>
      <c r="J294" t="n">
        <v>0</v>
      </c>
      <c r="K294" t="n">
        <v>0</v>
      </c>
      <c r="L294" t="n">
        <v>0</v>
      </c>
      <c r="M294" t="n">
        <v>0</v>
      </c>
      <c r="N294" t="n">
        <v>0</v>
      </c>
      <c r="O294" t="n">
        <v>0</v>
      </c>
      <c r="P294" t="n">
        <v>0</v>
      </c>
      <c r="Q294" t="n">
        <v>0</v>
      </c>
      <c r="R294" t="n">
        <v>0</v>
      </c>
      <c r="S294" t="n">
        <v>0</v>
      </c>
      <c r="T294" t="n">
        <v>0</v>
      </c>
      <c r="U294" s="2" t="inlineStr"/>
    </row>
    <row r="295" ht="15" customHeight="1">
      <c r="A295" t="inlineStr">
        <is>
          <t>A 6551-2026</t>
        </is>
      </c>
      <c r="B295" t="inlineStr">
        <is>
          <t>avverkningsanmälan</t>
        </is>
      </c>
      <c r="C295" t="inlineStr">
        <is>
          <t>Föryngringsavverkning</t>
        </is>
      </c>
      <c r="D295" s="1" t="n">
        <v>46056</v>
      </c>
      <c r="E295" s="1" t="n">
        <v>46217</v>
      </c>
      <c r="F295" t="inlineStr">
        <is>
          <t>VÄSTRA GÖTALANDS LÄN</t>
        </is>
      </c>
      <c r="G295" t="inlineStr">
        <is>
          <t>DALS-ED</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6413-2026</t>
        </is>
      </c>
      <c r="B296" t="inlineStr">
        <is>
          <t>avverkningsanmälan</t>
        </is>
      </c>
      <c r="C296" t="inlineStr">
        <is>
          <t>Föryngringsavverkning</t>
        </is>
      </c>
      <c r="D296" s="1" t="n">
        <v>46055</v>
      </c>
      <c r="E296" s="1" t="n">
        <v>46217</v>
      </c>
      <c r="F296" t="inlineStr">
        <is>
          <t>VÄSTRA GÖTALANDS LÄN</t>
        </is>
      </c>
      <c r="G296" t="inlineStr">
        <is>
          <t>DALS-ED</t>
        </is>
      </c>
      <c r="I296" t="n">
        <v>4.2</v>
      </c>
      <c r="J296" t="n">
        <v>0</v>
      </c>
      <c r="K296" t="n">
        <v>0</v>
      </c>
      <c r="L296" t="n">
        <v>0</v>
      </c>
      <c r="M296" t="n">
        <v>0</v>
      </c>
      <c r="N296" t="n">
        <v>0</v>
      </c>
      <c r="O296" t="n">
        <v>0</v>
      </c>
      <c r="P296" t="n">
        <v>0</v>
      </c>
      <c r="Q296" t="n">
        <v>0</v>
      </c>
      <c r="R296" t="n">
        <v>0</v>
      </c>
      <c r="S296" t="n">
        <v>0</v>
      </c>
      <c r="T296" t="n">
        <v>0</v>
      </c>
      <c r="U296" s="2" t="inlineStr"/>
    </row>
    <row r="297" ht="15" customHeight="1">
      <c r="A297" t="inlineStr">
        <is>
          <t>A 6558-2026</t>
        </is>
      </c>
      <c r="B297" t="inlineStr">
        <is>
          <t>avverkningsanmälan</t>
        </is>
      </c>
      <c r="C297" t="inlineStr">
        <is>
          <t>Föryngringsavverkning</t>
        </is>
      </c>
      <c r="D297" s="1" t="n">
        <v>46056</v>
      </c>
      <c r="E297" s="1" t="n">
        <v>46217</v>
      </c>
      <c r="F297" t="inlineStr">
        <is>
          <t>VÄSTRA GÖTALANDS LÄN</t>
        </is>
      </c>
      <c r="G297" t="inlineStr">
        <is>
          <t>DALS-ED</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12988-2022</t>
        </is>
      </c>
      <c r="B298" t="inlineStr">
        <is>
          <t>avverkningsanmälan</t>
        </is>
      </c>
      <c r="C298" t="inlineStr">
        <is>
          <t>Föryngringsavverkning</t>
        </is>
      </c>
      <c r="D298" s="1" t="n">
        <v>44643</v>
      </c>
      <c r="E298" s="1" t="n">
        <v>46217</v>
      </c>
      <c r="F298" t="inlineStr">
        <is>
          <t>VÄSTRA GÖTALANDS LÄN</t>
        </is>
      </c>
      <c r="G298" t="inlineStr">
        <is>
          <t>DALS-ED</t>
        </is>
      </c>
      <c r="I298" t="n">
        <v>3.6</v>
      </c>
      <c r="J298" t="n">
        <v>0</v>
      </c>
      <c r="K298" t="n">
        <v>0</v>
      </c>
      <c r="L298" t="n">
        <v>0</v>
      </c>
      <c r="M298" t="n">
        <v>0</v>
      </c>
      <c r="N298" t="n">
        <v>0</v>
      </c>
      <c r="O298" t="n">
        <v>0</v>
      </c>
      <c r="P298" t="n">
        <v>0</v>
      </c>
      <c r="Q298" t="n">
        <v>0</v>
      </c>
      <c r="R298" t="n">
        <v>0</v>
      </c>
      <c r="S298" t="n">
        <v>0</v>
      </c>
      <c r="T298" t="n">
        <v>0</v>
      </c>
      <c r="U298" s="2" t="inlineStr"/>
    </row>
    <row r="299" ht="15" customHeight="1">
      <c r="A299" t="inlineStr">
        <is>
          <t>A 46050-2023</t>
        </is>
      </c>
      <c r="B299" t="inlineStr">
        <is>
          <t>avverkningsanmälan</t>
        </is>
      </c>
      <c r="C299" t="inlineStr">
        <is>
          <t>Föryngringsavverkning</t>
        </is>
      </c>
      <c r="D299" s="1" t="n">
        <v>45196</v>
      </c>
      <c r="E299" s="1" t="n">
        <v>46217</v>
      </c>
      <c r="F299" t="inlineStr">
        <is>
          <t>VÄSTRA GÖTALANDS LÄN</t>
        </is>
      </c>
      <c r="G299" t="inlineStr">
        <is>
          <t>DALS-ED</t>
        </is>
      </c>
      <c r="H299" t="inlineStr">
        <is>
          <t>Kommuner</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52350-2024</t>
        </is>
      </c>
      <c r="B300" t="inlineStr">
        <is>
          <t>avverkningsanmälan</t>
        </is>
      </c>
      <c r="C300" t="inlineStr">
        <is>
          <t>Föryngringsavverkning</t>
        </is>
      </c>
      <c r="D300" s="1" t="n">
        <v>45609</v>
      </c>
      <c r="E300" s="1" t="n">
        <v>46217</v>
      </c>
      <c r="F300" t="inlineStr">
        <is>
          <t>VÄSTRA GÖTALANDS LÄN</t>
        </is>
      </c>
      <c r="G300" t="inlineStr">
        <is>
          <t>DALS-ED</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7561-2026</t>
        </is>
      </c>
      <c r="B301" t="inlineStr">
        <is>
          <t>avverkningsanmälan</t>
        </is>
      </c>
      <c r="C301" t="inlineStr">
        <is>
          <t>Föryngringsavverkning</t>
        </is>
      </c>
      <c r="D301" s="1" t="n">
        <v>46060</v>
      </c>
      <c r="E301" s="1" t="n">
        <v>46217</v>
      </c>
      <c r="F301" t="inlineStr">
        <is>
          <t>VÄSTRA GÖTALANDS LÄN</t>
        </is>
      </c>
      <c r="G301" t="inlineStr">
        <is>
          <t>DALS-ED</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48295-2022</t>
        </is>
      </c>
      <c r="B302" t="inlineStr">
        <is>
          <t>avverkningsanmälan</t>
        </is>
      </c>
      <c r="C302" t="inlineStr">
        <is>
          <t>Föryngringsavverkning</t>
        </is>
      </c>
      <c r="D302" s="1" t="n">
        <v>44858</v>
      </c>
      <c r="E302" s="1" t="n">
        <v>46217</v>
      </c>
      <c r="F302" t="inlineStr">
        <is>
          <t>VÄSTRA GÖTALANDS LÄN</t>
        </is>
      </c>
      <c r="G302" t="inlineStr">
        <is>
          <t>DALS-ED</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20889-2022</t>
        </is>
      </c>
      <c r="B303" t="inlineStr">
        <is>
          <t>avverkningsanmälan</t>
        </is>
      </c>
      <c r="C303" t="inlineStr">
        <is>
          <t>Föryngringsavverkning</t>
        </is>
      </c>
      <c r="D303" s="1" t="n">
        <v>44701</v>
      </c>
      <c r="E303" s="1" t="n">
        <v>46217</v>
      </c>
      <c r="F303" t="inlineStr">
        <is>
          <t>VÄSTRA GÖTALANDS LÄN</t>
        </is>
      </c>
      <c r="G303" t="inlineStr">
        <is>
          <t>DALS-ED</t>
        </is>
      </c>
      <c r="I303" t="n">
        <v>8.300000000000001</v>
      </c>
      <c r="J303" t="n">
        <v>0</v>
      </c>
      <c r="K303" t="n">
        <v>0</v>
      </c>
      <c r="L303" t="n">
        <v>0</v>
      </c>
      <c r="M303" t="n">
        <v>0</v>
      </c>
      <c r="N303" t="n">
        <v>0</v>
      </c>
      <c r="O303" t="n">
        <v>0</v>
      </c>
      <c r="P303" t="n">
        <v>0</v>
      </c>
      <c r="Q303" t="n">
        <v>0</v>
      </c>
      <c r="R303" t="n">
        <v>0</v>
      </c>
      <c r="S303" t="n">
        <v>0</v>
      </c>
      <c r="T303" t="n">
        <v>0</v>
      </c>
      <c r="U303" s="2" t="inlineStr"/>
    </row>
    <row r="304" ht="15" customHeight="1">
      <c r="A304" t="inlineStr">
        <is>
          <t>A 38578-2023</t>
        </is>
      </c>
      <c r="B304" t="inlineStr">
        <is>
          <t>avverkningsanmälan</t>
        </is>
      </c>
      <c r="C304" t="inlineStr">
        <is>
          <t>Föryngringsavverkning</t>
        </is>
      </c>
      <c r="D304" s="1" t="n">
        <v>45162</v>
      </c>
      <c r="E304" s="1" t="n">
        <v>46217</v>
      </c>
      <c r="F304" t="inlineStr">
        <is>
          <t>VÄSTRA GÖTALANDS LÄN</t>
        </is>
      </c>
      <c r="G304" t="inlineStr">
        <is>
          <t>DALS-ED</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16952-2025</t>
        </is>
      </c>
      <c r="B305" t="inlineStr">
        <is>
          <t>avverkningsanmälan</t>
        </is>
      </c>
      <c r="C305" t="inlineStr">
        <is>
          <t>Föryngringsavverkning</t>
        </is>
      </c>
      <c r="D305" s="1" t="n">
        <v>45755</v>
      </c>
      <c r="E305" s="1" t="n">
        <v>46217</v>
      </c>
      <c r="F305" t="inlineStr">
        <is>
          <t>VÄSTRA GÖTALANDS LÄN</t>
        </is>
      </c>
      <c r="G305" t="inlineStr">
        <is>
          <t>DALS-ED</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9423-2026</t>
        </is>
      </c>
      <c r="B306" t="inlineStr">
        <is>
          <t>avverkningsanmälan</t>
        </is>
      </c>
      <c r="C306" t="inlineStr">
        <is>
          <t>Föryngringsavverkning</t>
        </is>
      </c>
      <c r="D306" s="1" t="n">
        <v>46071</v>
      </c>
      <c r="E306" s="1" t="n">
        <v>46217</v>
      </c>
      <c r="F306" t="inlineStr">
        <is>
          <t>VÄSTRA GÖTALANDS LÄN</t>
        </is>
      </c>
      <c r="G306" t="inlineStr">
        <is>
          <t>DALS-ED</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4489-2025</t>
        </is>
      </c>
      <c r="B307" t="inlineStr">
        <is>
          <t>avverkningsanmälan</t>
        </is>
      </c>
      <c r="C307" t="inlineStr">
        <is>
          <t>Föryngringsavverkning</t>
        </is>
      </c>
      <c r="D307" s="1" t="n">
        <v>45686</v>
      </c>
      <c r="E307" s="1" t="n">
        <v>46217</v>
      </c>
      <c r="F307" t="inlineStr">
        <is>
          <t>VÄSTRA GÖTALANDS LÄN</t>
        </is>
      </c>
      <c r="G307" t="inlineStr">
        <is>
          <t>DALS-ED</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27807-2022</t>
        </is>
      </c>
      <c r="B308" t="inlineStr">
        <is>
          <t>avverkningsanmälan</t>
        </is>
      </c>
      <c r="C308" t="inlineStr">
        <is>
          <t>Föryngringsavverkning</t>
        </is>
      </c>
      <c r="D308" s="1" t="n">
        <v>44743</v>
      </c>
      <c r="E308" s="1" t="n">
        <v>46217</v>
      </c>
      <c r="F308" t="inlineStr">
        <is>
          <t>VÄSTRA GÖTALANDS LÄN</t>
        </is>
      </c>
      <c r="G308" t="inlineStr">
        <is>
          <t>DALS-ED</t>
        </is>
      </c>
      <c r="I308" t="n">
        <v>3.8</v>
      </c>
      <c r="J308" t="n">
        <v>0</v>
      </c>
      <c r="K308" t="n">
        <v>0</v>
      </c>
      <c r="L308" t="n">
        <v>0</v>
      </c>
      <c r="M308" t="n">
        <v>0</v>
      </c>
      <c r="N308" t="n">
        <v>0</v>
      </c>
      <c r="O308" t="n">
        <v>0</v>
      </c>
      <c r="P308" t="n">
        <v>0</v>
      </c>
      <c r="Q308" t="n">
        <v>0</v>
      </c>
      <c r="R308" t="n">
        <v>0</v>
      </c>
      <c r="S308" t="n">
        <v>0</v>
      </c>
      <c r="T308" t="n">
        <v>0</v>
      </c>
      <c r="U308" s="2" t="inlineStr"/>
    </row>
    <row r="309" ht="15" customHeight="1">
      <c r="A309" t="inlineStr">
        <is>
          <t>A 20268-2025</t>
        </is>
      </c>
      <c r="B309" t="inlineStr">
        <is>
          <t>avverkningsanmälan</t>
        </is>
      </c>
      <c r="C309" t="inlineStr">
        <is>
          <t>Föryngringsavverkning</t>
        </is>
      </c>
      <c r="D309" s="1" t="n">
        <v>45773</v>
      </c>
      <c r="E309" s="1" t="n">
        <v>46217</v>
      </c>
      <c r="F309" t="inlineStr">
        <is>
          <t>VÄSTRA GÖTALANDS LÄN</t>
        </is>
      </c>
      <c r="G309" t="inlineStr">
        <is>
          <t>DALS-ED</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9886-2026</t>
        </is>
      </c>
      <c r="B310" t="inlineStr">
        <is>
          <t>avverkningsanmälan</t>
        </is>
      </c>
      <c r="C310" t="inlineStr">
        <is>
          <t>Föryngringsavverkning</t>
        </is>
      </c>
      <c r="D310" s="1" t="n">
        <v>46073</v>
      </c>
      <c r="E310" s="1" t="n">
        <v>46217</v>
      </c>
      <c r="F310" t="inlineStr">
        <is>
          <t>VÄSTRA GÖTALANDS LÄN</t>
        </is>
      </c>
      <c r="G310" t="inlineStr">
        <is>
          <t>DALS-ED</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8892-2022</t>
        </is>
      </c>
      <c r="B311" t="inlineStr">
        <is>
          <t>avverkningsanmälan</t>
        </is>
      </c>
      <c r="C311" t="inlineStr">
        <is>
          <t>Avverkning för annat ändamål</t>
        </is>
      </c>
      <c r="D311" s="1" t="n">
        <v>44614</v>
      </c>
      <c r="E311" s="1" t="n">
        <v>46217</v>
      </c>
      <c r="F311" t="inlineStr">
        <is>
          <t>VÄSTRA GÖTALANDS LÄN</t>
        </is>
      </c>
      <c r="G311" t="inlineStr">
        <is>
          <t>DALS-ED</t>
        </is>
      </c>
      <c r="I311" t="n">
        <v>0.2</v>
      </c>
      <c r="J311" t="n">
        <v>0</v>
      </c>
      <c r="K311" t="n">
        <v>0</v>
      </c>
      <c r="L311" t="n">
        <v>0</v>
      </c>
      <c r="M311" t="n">
        <v>0</v>
      </c>
      <c r="N311" t="n">
        <v>0</v>
      </c>
      <c r="O311" t="n">
        <v>0</v>
      </c>
      <c r="P311" t="n">
        <v>0</v>
      </c>
      <c r="Q311" t="n">
        <v>0</v>
      </c>
      <c r="R311" t="n">
        <v>0</v>
      </c>
      <c r="S311" t="n">
        <v>0</v>
      </c>
      <c r="T311" t="n">
        <v>0</v>
      </c>
      <c r="U311" s="2" t="inlineStr"/>
    </row>
    <row r="312" ht="15" customHeight="1">
      <c r="A312" t="inlineStr">
        <is>
          <t>A 9884-2026</t>
        </is>
      </c>
      <c r="B312" t="inlineStr">
        <is>
          <t>avverkningsanmälan</t>
        </is>
      </c>
      <c r="C312" t="inlineStr">
        <is>
          <t>Föryngringsavverkning</t>
        </is>
      </c>
      <c r="D312" s="1" t="n">
        <v>46073</v>
      </c>
      <c r="E312" s="1" t="n">
        <v>46217</v>
      </c>
      <c r="F312" t="inlineStr">
        <is>
          <t>VÄSTRA GÖTALANDS LÄN</t>
        </is>
      </c>
      <c r="G312" t="inlineStr">
        <is>
          <t>DALS-ED</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9888-2026</t>
        </is>
      </c>
      <c r="B313" t="inlineStr">
        <is>
          <t>avverkningsanmälan</t>
        </is>
      </c>
      <c r="C313" t="inlineStr">
        <is>
          <t>Föryngringsavverkning</t>
        </is>
      </c>
      <c r="D313" s="1" t="n">
        <v>46073</v>
      </c>
      <c r="E313" s="1" t="n">
        <v>46217</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24482-2024</t>
        </is>
      </c>
      <c r="B314" t="inlineStr">
        <is>
          <t>avverkningsanmälan</t>
        </is>
      </c>
      <c r="C314" t="inlineStr">
        <is>
          <t>Föryngringsavverkning</t>
        </is>
      </c>
      <c r="D314" s="1" t="n">
        <v>45459</v>
      </c>
      <c r="E314" s="1" t="n">
        <v>46217</v>
      </c>
      <c r="F314" t="inlineStr">
        <is>
          <t>VÄSTRA GÖTALANDS LÄN</t>
        </is>
      </c>
      <c r="G314" t="inlineStr">
        <is>
          <t>DALS-ED</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9885-2026</t>
        </is>
      </c>
      <c r="B315" t="inlineStr">
        <is>
          <t>avverkningsanmälan</t>
        </is>
      </c>
      <c r="C315" t="inlineStr">
        <is>
          <t>Föryngringsavverkning</t>
        </is>
      </c>
      <c r="D315" s="1" t="n">
        <v>46073</v>
      </c>
      <c r="E315" s="1" t="n">
        <v>46217</v>
      </c>
      <c r="F315" t="inlineStr">
        <is>
          <t>VÄSTRA GÖTALANDS LÄN</t>
        </is>
      </c>
      <c r="G315" t="inlineStr">
        <is>
          <t>DALS-ED</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29514-2026</t>
        </is>
      </c>
      <c r="B316" t="inlineStr">
        <is>
          <t>avverkningsanmälan</t>
        </is>
      </c>
      <c r="C316" t="inlineStr">
        <is>
          <t>Föryngringsavverkning</t>
        </is>
      </c>
      <c r="D316" s="1" t="n">
        <v>46198</v>
      </c>
      <c r="E316" s="1" t="n">
        <v>46217</v>
      </c>
      <c r="F316" t="inlineStr">
        <is>
          <t>VÄSTRA GÖTALANDS LÄN</t>
        </is>
      </c>
      <c r="G316" t="inlineStr">
        <is>
          <t>DALS-ED</t>
        </is>
      </c>
      <c r="I316" t="n">
        <v>11.1</v>
      </c>
      <c r="J316" t="n">
        <v>0</v>
      </c>
      <c r="K316" t="n">
        <v>0</v>
      </c>
      <c r="L316" t="n">
        <v>0</v>
      </c>
      <c r="M316" t="n">
        <v>0</v>
      </c>
      <c r="N316" t="n">
        <v>0</v>
      </c>
      <c r="O316" t="n">
        <v>0</v>
      </c>
      <c r="P316" t="n">
        <v>0</v>
      </c>
      <c r="Q316" t="n">
        <v>0</v>
      </c>
      <c r="R316" t="n">
        <v>0</v>
      </c>
      <c r="S316" t="n">
        <v>0</v>
      </c>
      <c r="T316" t="n">
        <v>0</v>
      </c>
      <c r="U316" s="2" t="inlineStr"/>
    </row>
    <row r="317" ht="15" customHeight="1">
      <c r="A317" t="inlineStr">
        <is>
          <t>A 60198-2025</t>
        </is>
      </c>
      <c r="B317" t="inlineStr">
        <is>
          <t>avverkningsanmälan</t>
        </is>
      </c>
      <c r="C317" t="inlineStr">
        <is>
          <t>Föryngringsavverkning</t>
        </is>
      </c>
      <c r="D317" s="1" t="n">
        <v>45994</v>
      </c>
      <c r="E317" s="1" t="n">
        <v>46217</v>
      </c>
      <c r="F317" t="inlineStr">
        <is>
          <t>VÄSTRA GÖTALANDS LÄN</t>
        </is>
      </c>
      <c r="G317" t="inlineStr">
        <is>
          <t>DALS-ED</t>
        </is>
      </c>
      <c r="I317" t="n">
        <v>3.6</v>
      </c>
      <c r="J317" t="n">
        <v>0</v>
      </c>
      <c r="K317" t="n">
        <v>0</v>
      </c>
      <c r="L317" t="n">
        <v>0</v>
      </c>
      <c r="M317" t="n">
        <v>0</v>
      </c>
      <c r="N317" t="n">
        <v>0</v>
      </c>
      <c r="O317" t="n">
        <v>0</v>
      </c>
      <c r="P317" t="n">
        <v>0</v>
      </c>
      <c r="Q317" t="n">
        <v>0</v>
      </c>
      <c r="R317" t="n">
        <v>0</v>
      </c>
      <c r="S317" t="n">
        <v>0</v>
      </c>
      <c r="T317" t="n">
        <v>0</v>
      </c>
      <c r="U317" s="2" t="inlineStr"/>
    </row>
    <row r="318" ht="15" customHeight="1">
      <c r="A318" t="inlineStr">
        <is>
          <t>A 11268-2026</t>
        </is>
      </c>
      <c r="B318" t="inlineStr">
        <is>
          <t>avverkningsanmälan</t>
        </is>
      </c>
      <c r="C318" t="inlineStr">
        <is>
          <t>Föryngringsavverkning</t>
        </is>
      </c>
      <c r="D318" s="1" t="n">
        <v>46080</v>
      </c>
      <c r="E318" s="1" t="n">
        <v>46217</v>
      </c>
      <c r="F318" t="inlineStr">
        <is>
          <t>VÄSTRA GÖTALANDS LÄN</t>
        </is>
      </c>
      <c r="G318" t="inlineStr">
        <is>
          <t>DALS-ED</t>
        </is>
      </c>
      <c r="H318" t="inlineStr">
        <is>
          <t>Övriga Aktiebolag</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11508-2026</t>
        </is>
      </c>
      <c r="B319" t="inlineStr">
        <is>
          <t>avverkningsanmälan</t>
        </is>
      </c>
      <c r="C319" t="inlineStr">
        <is>
          <t>Föryngringsavverkning</t>
        </is>
      </c>
      <c r="D319" s="1" t="n">
        <v>46083</v>
      </c>
      <c r="E319" s="1" t="n">
        <v>46217</v>
      </c>
      <c r="F319" t="inlineStr">
        <is>
          <t>VÄSTRA GÖTALANDS LÄN</t>
        </is>
      </c>
      <c r="G319" t="inlineStr">
        <is>
          <t>DALS-ED</t>
        </is>
      </c>
      <c r="I319" t="n">
        <v>8.1</v>
      </c>
      <c r="J319" t="n">
        <v>0</v>
      </c>
      <c r="K319" t="n">
        <v>0</v>
      </c>
      <c r="L319" t="n">
        <v>0</v>
      </c>
      <c r="M319" t="n">
        <v>0</v>
      </c>
      <c r="N319" t="n">
        <v>0</v>
      </c>
      <c r="O319" t="n">
        <v>0</v>
      </c>
      <c r="P319" t="n">
        <v>0</v>
      </c>
      <c r="Q319" t="n">
        <v>0</v>
      </c>
      <c r="R319" t="n">
        <v>0</v>
      </c>
      <c r="S319" t="n">
        <v>0</v>
      </c>
      <c r="T319" t="n">
        <v>0</v>
      </c>
      <c r="U319" s="2" t="inlineStr"/>
    </row>
    <row r="320" ht="15" customHeight="1">
      <c r="A320" t="inlineStr">
        <is>
          <t>A 15364-2022</t>
        </is>
      </c>
      <c r="B320" t="inlineStr">
        <is>
          <t>avverkningsanmälan</t>
        </is>
      </c>
      <c r="C320" t="inlineStr">
        <is>
          <t>Föryngringsavverkning</t>
        </is>
      </c>
      <c r="D320" s="1" t="n">
        <v>44659</v>
      </c>
      <c r="E320" s="1" t="n">
        <v>46217</v>
      </c>
      <c r="F320" t="inlineStr">
        <is>
          <t>VÄSTRA GÖTALANDS LÄN</t>
        </is>
      </c>
      <c r="G320" t="inlineStr">
        <is>
          <t>DALS-ED</t>
        </is>
      </c>
      <c r="I320" t="n">
        <v>6.5</v>
      </c>
      <c r="J320" t="n">
        <v>0</v>
      </c>
      <c r="K320" t="n">
        <v>0</v>
      </c>
      <c r="L320" t="n">
        <v>0</v>
      </c>
      <c r="M320" t="n">
        <v>0</v>
      </c>
      <c r="N320" t="n">
        <v>0</v>
      </c>
      <c r="O320" t="n">
        <v>0</v>
      </c>
      <c r="P320" t="n">
        <v>0</v>
      </c>
      <c r="Q320" t="n">
        <v>0</v>
      </c>
      <c r="R320" t="n">
        <v>0</v>
      </c>
      <c r="S320" t="n">
        <v>0</v>
      </c>
      <c r="T320" t="n">
        <v>0</v>
      </c>
      <c r="U320" s="2" t="inlineStr"/>
    </row>
    <row r="321" ht="15" customHeight="1">
      <c r="A321" t="inlineStr">
        <is>
          <t>A 12319-2026</t>
        </is>
      </c>
      <c r="B321" t="inlineStr">
        <is>
          <t>avverkningsanmälan</t>
        </is>
      </c>
      <c r="C321" t="inlineStr">
        <is>
          <t>Föryngringsavverkning</t>
        </is>
      </c>
      <c r="D321" s="1" t="n">
        <v>46087</v>
      </c>
      <c r="E321" s="1" t="n">
        <v>46217</v>
      </c>
      <c r="F321" t="inlineStr">
        <is>
          <t>VÄSTRA GÖTALANDS LÄN</t>
        </is>
      </c>
      <c r="G321" t="inlineStr">
        <is>
          <t>DALS-ED</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40390-2022</t>
        </is>
      </c>
      <c r="B322" t="inlineStr">
        <is>
          <t>avverkningsanmälan</t>
        </is>
      </c>
      <c r="C322" t="inlineStr">
        <is>
          <t>Föryngringsavverkning</t>
        </is>
      </c>
      <c r="D322" s="1" t="n">
        <v>44823</v>
      </c>
      <c r="E322" s="1" t="n">
        <v>46217</v>
      </c>
      <c r="F322" t="inlineStr">
        <is>
          <t>VÄSTRA GÖTALANDS LÄN</t>
        </is>
      </c>
      <c r="G322" t="inlineStr">
        <is>
          <t>DALS-ED</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7394-2025</t>
        </is>
      </c>
      <c r="B323" t="inlineStr">
        <is>
          <t>avverkningsanmälan</t>
        </is>
      </c>
      <c r="C323" t="inlineStr">
        <is>
          <t>Föryngringsavverkning</t>
        </is>
      </c>
      <c r="D323" s="1" t="n">
        <v>45705</v>
      </c>
      <c r="E323" s="1" t="n">
        <v>46217</v>
      </c>
      <c r="F323" t="inlineStr">
        <is>
          <t>VÄSTRA GÖTALANDS LÄN</t>
        </is>
      </c>
      <c r="G323" t="inlineStr">
        <is>
          <t>DALS-ED</t>
        </is>
      </c>
      <c r="I323" t="n">
        <v>2.8</v>
      </c>
      <c r="J323" t="n">
        <v>0</v>
      </c>
      <c r="K323" t="n">
        <v>0</v>
      </c>
      <c r="L323" t="n">
        <v>0</v>
      </c>
      <c r="M323" t="n">
        <v>0</v>
      </c>
      <c r="N323" t="n">
        <v>0</v>
      </c>
      <c r="O323" t="n">
        <v>0</v>
      </c>
      <c r="P323" t="n">
        <v>0</v>
      </c>
      <c r="Q323" t="n">
        <v>0</v>
      </c>
      <c r="R323" t="n">
        <v>0</v>
      </c>
      <c r="S323" t="n">
        <v>0</v>
      </c>
      <c r="T323" t="n">
        <v>0</v>
      </c>
      <c r="U323" s="2" t="inlineStr"/>
    </row>
    <row r="324" ht="15" customHeight="1">
      <c r="A324" t="inlineStr">
        <is>
          <t>A 29913-2026</t>
        </is>
      </c>
      <c r="B324" t="inlineStr">
        <is>
          <t>avverkningsanmälan</t>
        </is>
      </c>
      <c r="C324" t="inlineStr">
        <is>
          <t>Föryngringsavverkning</t>
        </is>
      </c>
      <c r="D324" s="1" t="n">
        <v>46205</v>
      </c>
      <c r="E324" s="1" t="n">
        <v>46217</v>
      </c>
      <c r="F324" t="inlineStr">
        <is>
          <t>VÄSTRA GÖTALANDS LÄN</t>
        </is>
      </c>
      <c r="G324" t="inlineStr">
        <is>
          <t>DALS-ED</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47092-2023</t>
        </is>
      </c>
      <c r="B325" t="inlineStr">
        <is>
          <t>avverkningsanmälan</t>
        </is>
      </c>
      <c r="C325" t="inlineStr">
        <is>
          <t>Föryngringsavverkning</t>
        </is>
      </c>
      <c r="D325" s="1" t="n">
        <v>45201</v>
      </c>
      <c r="E325" s="1" t="n">
        <v>46217</v>
      </c>
      <c r="F325" t="inlineStr">
        <is>
          <t>VÄSTRA GÖTALANDS LÄN</t>
        </is>
      </c>
      <c r="G325" t="inlineStr">
        <is>
          <t>DALS-ED</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13165-2026</t>
        </is>
      </c>
      <c r="B326" t="inlineStr">
        <is>
          <t>avverkningsanmälan</t>
        </is>
      </c>
      <c r="C326" t="inlineStr">
        <is>
          <t>Föryngringsavverkning</t>
        </is>
      </c>
      <c r="D326" s="1" t="n">
        <v>46093</v>
      </c>
      <c r="E326" s="1" t="n">
        <v>46217</v>
      </c>
      <c r="F326" t="inlineStr">
        <is>
          <t>VÄSTRA GÖTALANDS LÄN</t>
        </is>
      </c>
      <c r="G326" t="inlineStr">
        <is>
          <t>DALS-ED</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40372-2022</t>
        </is>
      </c>
      <c r="B327" t="inlineStr">
        <is>
          <t>avverkningsanmälan</t>
        </is>
      </c>
      <c r="C327" t="inlineStr">
        <is>
          <t>Föryngringsavverkning</t>
        </is>
      </c>
      <c r="D327" s="1" t="n">
        <v>44823</v>
      </c>
      <c r="E327" s="1" t="n">
        <v>46217</v>
      </c>
      <c r="F327" t="inlineStr">
        <is>
          <t>VÄSTRA GÖTALANDS LÄN</t>
        </is>
      </c>
      <c r="G327" t="inlineStr">
        <is>
          <t>DALS-ED</t>
        </is>
      </c>
      <c r="I327" t="n">
        <v>4.1</v>
      </c>
      <c r="J327" t="n">
        <v>0</v>
      </c>
      <c r="K327" t="n">
        <v>0</v>
      </c>
      <c r="L327" t="n">
        <v>0</v>
      </c>
      <c r="M327" t="n">
        <v>0</v>
      </c>
      <c r="N327" t="n">
        <v>0</v>
      </c>
      <c r="O327" t="n">
        <v>0</v>
      </c>
      <c r="P327" t="n">
        <v>0</v>
      </c>
      <c r="Q327" t="n">
        <v>0</v>
      </c>
      <c r="R327" t="n">
        <v>0</v>
      </c>
      <c r="S327" t="n">
        <v>0</v>
      </c>
      <c r="T327" t="n">
        <v>0</v>
      </c>
      <c r="U327" s="2" t="inlineStr"/>
    </row>
    <row r="328" ht="15" customHeight="1">
      <c r="A328" t="inlineStr">
        <is>
          <t>A 14732-2026</t>
        </is>
      </c>
      <c r="B328" t="inlineStr">
        <is>
          <t>avverkningsanmälan</t>
        </is>
      </c>
      <c r="C328" t="inlineStr">
        <is>
          <t>Föryngringsavverkning</t>
        </is>
      </c>
      <c r="D328" s="1" t="n">
        <v>46101</v>
      </c>
      <c r="E328" s="1" t="n">
        <v>46217</v>
      </c>
      <c r="F328" t="inlineStr">
        <is>
          <t>VÄSTRA GÖTALANDS LÄN</t>
        </is>
      </c>
      <c r="G328" t="inlineStr">
        <is>
          <t>DALS-ED</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23890-2026</t>
        </is>
      </c>
      <c r="B329" t="inlineStr">
        <is>
          <t>avverkningsanmälan</t>
        </is>
      </c>
      <c r="C329" t="inlineStr">
        <is>
          <t>Föryngringsavverkning</t>
        </is>
      </c>
      <c r="D329" s="1" t="n">
        <v>46167</v>
      </c>
      <c r="E329" s="1" t="n">
        <v>46217</v>
      </c>
      <c r="F329" t="inlineStr">
        <is>
          <t>VÄSTRA GÖTALANDS LÄN</t>
        </is>
      </c>
      <c r="G329" t="inlineStr">
        <is>
          <t>DALS-ED</t>
        </is>
      </c>
      <c r="H329" t="inlineStr">
        <is>
          <t>Kommuner</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14461-2026</t>
        </is>
      </c>
      <c r="B330" t="inlineStr">
        <is>
          <t>avverkningsanmälan</t>
        </is>
      </c>
      <c r="C330" t="inlineStr">
        <is>
          <t>Föryngringsavverkning</t>
        </is>
      </c>
      <c r="D330" s="1" t="n">
        <v>46100</v>
      </c>
      <c r="E330" s="1" t="n">
        <v>46217</v>
      </c>
      <c r="F330" t="inlineStr">
        <is>
          <t>VÄSTRA GÖTALANDS LÄN</t>
        </is>
      </c>
      <c r="G330" t="inlineStr">
        <is>
          <t>DALS-ED</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62996-2023</t>
        </is>
      </c>
      <c r="B331" t="inlineStr">
        <is>
          <t>avverkningsanmälan</t>
        </is>
      </c>
      <c r="C331" t="inlineStr">
        <is>
          <t>Föryngringsavverkning</t>
        </is>
      </c>
      <c r="D331" s="1" t="n">
        <v>45272</v>
      </c>
      <c r="E331" s="1" t="n">
        <v>46217</v>
      </c>
      <c r="F331" t="inlineStr">
        <is>
          <t>VÄSTRA GÖTALANDS LÄN</t>
        </is>
      </c>
      <c r="G331" t="inlineStr">
        <is>
          <t>DALS-ED</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60185-2025</t>
        </is>
      </c>
      <c r="B332" t="inlineStr">
        <is>
          <t>avverkningsanmälan</t>
        </is>
      </c>
      <c r="C332" t="inlineStr">
        <is>
          <t>Föryngringsavverkning</t>
        </is>
      </c>
      <c r="D332" s="1" t="n">
        <v>45994</v>
      </c>
      <c r="E332" s="1" t="n">
        <v>46217</v>
      </c>
      <c r="F332" t="inlineStr">
        <is>
          <t>VÄSTRA GÖTALANDS LÄN</t>
        </is>
      </c>
      <c r="G332" t="inlineStr">
        <is>
          <t>DALS-ED</t>
        </is>
      </c>
      <c r="I332" t="n">
        <v>5.3</v>
      </c>
      <c r="J332" t="n">
        <v>0</v>
      </c>
      <c r="K332" t="n">
        <v>0</v>
      </c>
      <c r="L332" t="n">
        <v>0</v>
      </c>
      <c r="M332" t="n">
        <v>0</v>
      </c>
      <c r="N332" t="n">
        <v>0</v>
      </c>
      <c r="O332" t="n">
        <v>0</v>
      </c>
      <c r="P332" t="n">
        <v>0</v>
      </c>
      <c r="Q332" t="n">
        <v>0</v>
      </c>
      <c r="R332" t="n">
        <v>0</v>
      </c>
      <c r="S332" t="n">
        <v>0</v>
      </c>
      <c r="T332" t="n">
        <v>0</v>
      </c>
      <c r="U332" s="2" t="inlineStr"/>
    </row>
    <row r="333" ht="15" customHeight="1">
      <c r="A333" t="inlineStr">
        <is>
          <t>A 62212-2025</t>
        </is>
      </c>
      <c r="B333" t="inlineStr">
        <is>
          <t>avverkningsanmälan</t>
        </is>
      </c>
      <c r="C333" t="inlineStr">
        <is>
          <t>Föryngringsavverkning</t>
        </is>
      </c>
      <c r="D333" s="1" t="n">
        <v>46006</v>
      </c>
      <c r="E333" s="1" t="n">
        <v>46217</v>
      </c>
      <c r="F333" t="inlineStr">
        <is>
          <t>VÄSTRA GÖTALANDS LÄN</t>
        </is>
      </c>
      <c r="G333" t="inlineStr">
        <is>
          <t>DALS-ED</t>
        </is>
      </c>
      <c r="I333" t="n">
        <v>2.8</v>
      </c>
      <c r="J333" t="n">
        <v>0</v>
      </c>
      <c r="K333" t="n">
        <v>0</v>
      </c>
      <c r="L333" t="n">
        <v>0</v>
      </c>
      <c r="M333" t="n">
        <v>0</v>
      </c>
      <c r="N333" t="n">
        <v>0</v>
      </c>
      <c r="O333" t="n">
        <v>0</v>
      </c>
      <c r="P333" t="n">
        <v>0</v>
      </c>
      <c r="Q333" t="n">
        <v>0</v>
      </c>
      <c r="R333" t="n">
        <v>0</v>
      </c>
      <c r="S333" t="n">
        <v>0</v>
      </c>
      <c r="T333" t="n">
        <v>0</v>
      </c>
      <c r="U333" s="2" t="inlineStr"/>
    </row>
    <row r="334" ht="15" customHeight="1">
      <c r="A334" t="inlineStr">
        <is>
          <t>A 27308-2022</t>
        </is>
      </c>
      <c r="B334" t="inlineStr">
        <is>
          <t>avverkningsanmälan</t>
        </is>
      </c>
      <c r="C334" t="inlineStr">
        <is>
          <t>Föryngringsavverkning</t>
        </is>
      </c>
      <c r="D334" s="1" t="n">
        <v>44742</v>
      </c>
      <c r="E334" s="1" t="n">
        <v>46217</v>
      </c>
      <c r="F334" t="inlineStr">
        <is>
          <t>VÄSTRA GÖTALANDS LÄN</t>
        </is>
      </c>
      <c r="G334" t="inlineStr">
        <is>
          <t>DALS-ED</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50665-2021</t>
        </is>
      </c>
      <c r="B335" t="inlineStr">
        <is>
          <t>avverkningsanmälan</t>
        </is>
      </c>
      <c r="C335" t="inlineStr">
        <is>
          <t>Föryngringsavverkning</t>
        </is>
      </c>
      <c r="D335" s="1" t="n">
        <v>44460</v>
      </c>
      <c r="E335" s="1" t="n">
        <v>46217</v>
      </c>
      <c r="F335" t="inlineStr">
        <is>
          <t>VÄSTRA GÖTALANDS LÄN</t>
        </is>
      </c>
      <c r="G335" t="inlineStr">
        <is>
          <t>DALS-ED</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15999-2026</t>
        </is>
      </c>
      <c r="B336" t="inlineStr">
        <is>
          <t>avverkningsanmälan</t>
        </is>
      </c>
      <c r="C336" t="inlineStr">
        <is>
          <t>Föryngringsavverkning</t>
        </is>
      </c>
      <c r="D336" s="1" t="n">
        <v>46108</v>
      </c>
      <c r="E336" s="1" t="n">
        <v>46217</v>
      </c>
      <c r="F336" t="inlineStr">
        <is>
          <t>VÄSTRA GÖTALANDS LÄN</t>
        </is>
      </c>
      <c r="G336" t="inlineStr">
        <is>
          <t>DALS-ED</t>
        </is>
      </c>
      <c r="H336" t="inlineStr">
        <is>
          <t>Övriga Aktiebolag</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46306-2021</t>
        </is>
      </c>
      <c r="B337" t="inlineStr">
        <is>
          <t>avverkningsanmälan</t>
        </is>
      </c>
      <c r="C337" t="inlineStr">
        <is>
          <t>Föryngringsavverkning</t>
        </is>
      </c>
      <c r="D337" s="1" t="n">
        <v>44442</v>
      </c>
      <c r="E337" s="1" t="n">
        <v>46217</v>
      </c>
      <c r="F337" t="inlineStr">
        <is>
          <t>VÄSTRA GÖTALANDS LÄN</t>
        </is>
      </c>
      <c r="G337" t="inlineStr">
        <is>
          <t>DALS-ED</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16830-2026</t>
        </is>
      </c>
      <c r="B338" t="inlineStr">
        <is>
          <t>avverkningsanmälan</t>
        </is>
      </c>
      <c r="C338" t="inlineStr">
        <is>
          <t>Föryngringsavverkning</t>
        </is>
      </c>
      <c r="D338" s="1" t="n">
        <v>46113</v>
      </c>
      <c r="E338" s="1" t="n">
        <v>46217</v>
      </c>
      <c r="F338" t="inlineStr">
        <is>
          <t>VÄSTRA GÖTALANDS LÄN</t>
        </is>
      </c>
      <c r="G338" t="inlineStr">
        <is>
          <t>DALS-ED</t>
        </is>
      </c>
      <c r="I338" t="n">
        <v>7.5</v>
      </c>
      <c r="J338" t="n">
        <v>0</v>
      </c>
      <c r="K338" t="n">
        <v>0</v>
      </c>
      <c r="L338" t="n">
        <v>0</v>
      </c>
      <c r="M338" t="n">
        <v>0</v>
      </c>
      <c r="N338" t="n">
        <v>0</v>
      </c>
      <c r="O338" t="n">
        <v>0</v>
      </c>
      <c r="P338" t="n">
        <v>0</v>
      </c>
      <c r="Q338" t="n">
        <v>0</v>
      </c>
      <c r="R338" t="n">
        <v>0</v>
      </c>
      <c r="S338" t="n">
        <v>0</v>
      </c>
      <c r="T338" t="n">
        <v>0</v>
      </c>
      <c r="U338" s="2" t="inlineStr"/>
    </row>
    <row r="339" ht="15" customHeight="1">
      <c r="A339" t="inlineStr">
        <is>
          <t>A 16817-2026</t>
        </is>
      </c>
      <c r="B339" t="inlineStr">
        <is>
          <t>avverkningsanmälan</t>
        </is>
      </c>
      <c r="C339" t="inlineStr">
        <is>
          <t>Föryngringsavverkning</t>
        </is>
      </c>
      <c r="D339" s="1" t="n">
        <v>46113</v>
      </c>
      <c r="E339" s="1" t="n">
        <v>46217</v>
      </c>
      <c r="F339" t="inlineStr">
        <is>
          <t>VÄSTRA GÖTALANDS LÄN</t>
        </is>
      </c>
      <c r="G339" t="inlineStr">
        <is>
          <t>DALS-ED</t>
        </is>
      </c>
      <c r="I339" t="n">
        <v>2.3</v>
      </c>
      <c r="J339" t="n">
        <v>0</v>
      </c>
      <c r="K339" t="n">
        <v>0</v>
      </c>
      <c r="L339" t="n">
        <v>0</v>
      </c>
      <c r="M339" t="n">
        <v>0</v>
      </c>
      <c r="N339" t="n">
        <v>0</v>
      </c>
      <c r="O339" t="n">
        <v>0</v>
      </c>
      <c r="P339" t="n">
        <v>0</v>
      </c>
      <c r="Q339" t="n">
        <v>0</v>
      </c>
      <c r="R339" t="n">
        <v>0</v>
      </c>
      <c r="S339" t="n">
        <v>0</v>
      </c>
      <c r="T339" t="n">
        <v>0</v>
      </c>
      <c r="U339" s="2" t="inlineStr"/>
    </row>
    <row r="340" ht="15" customHeight="1">
      <c r="A340" t="inlineStr">
        <is>
          <t>A 18520-2025</t>
        </is>
      </c>
      <c r="B340" t="inlineStr">
        <is>
          <t>avverkningsanmälan</t>
        </is>
      </c>
      <c r="C340" t="inlineStr">
        <is>
          <t>Föryngringsavverkning</t>
        </is>
      </c>
      <c r="D340" s="1" t="n">
        <v>45763</v>
      </c>
      <c r="E340" s="1" t="n">
        <v>46217</v>
      </c>
      <c r="F340" t="inlineStr">
        <is>
          <t>VÄSTRA GÖTALANDS LÄN</t>
        </is>
      </c>
      <c r="G340" t="inlineStr">
        <is>
          <t>DALS-ED</t>
        </is>
      </c>
      <c r="I340" t="n">
        <v>1.8</v>
      </c>
      <c r="J340" t="n">
        <v>0</v>
      </c>
      <c r="K340" t="n">
        <v>0</v>
      </c>
      <c r="L340" t="n">
        <v>0</v>
      </c>
      <c r="M340" t="n">
        <v>0</v>
      </c>
      <c r="N340" t="n">
        <v>0</v>
      </c>
      <c r="O340" t="n">
        <v>0</v>
      </c>
      <c r="P340" t="n">
        <v>0</v>
      </c>
      <c r="Q340" t="n">
        <v>0</v>
      </c>
      <c r="R340" t="n">
        <v>0</v>
      </c>
      <c r="S340" t="n">
        <v>0</v>
      </c>
      <c r="T340" t="n">
        <v>0</v>
      </c>
      <c r="U340" s="2" t="inlineStr"/>
    </row>
    <row r="341" ht="15" customHeight="1">
      <c r="A341" t="inlineStr">
        <is>
          <t>A 18523-2025</t>
        </is>
      </c>
      <c r="B341" t="inlineStr">
        <is>
          <t>avverkningsanmälan</t>
        </is>
      </c>
      <c r="C341" t="inlineStr">
        <is>
          <t>Föryngringsavverkning</t>
        </is>
      </c>
      <c r="D341" s="1" t="n">
        <v>45763</v>
      </c>
      <c r="E341" s="1" t="n">
        <v>46217</v>
      </c>
      <c r="F341" t="inlineStr">
        <is>
          <t>VÄSTRA GÖTALANDS LÄN</t>
        </is>
      </c>
      <c r="G341" t="inlineStr">
        <is>
          <t>DALS-ED</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4107-2023</t>
        </is>
      </c>
      <c r="B342" t="inlineStr">
        <is>
          <t>avverkningsanmälan</t>
        </is>
      </c>
      <c r="C342" t="inlineStr">
        <is>
          <t>Föryngringsavverkning</t>
        </is>
      </c>
      <c r="D342" s="1" t="n">
        <v>44952</v>
      </c>
      <c r="E342" s="1" t="n">
        <v>46217</v>
      </c>
      <c r="F342" t="inlineStr">
        <is>
          <t>VÄSTRA GÖTALANDS LÄN</t>
        </is>
      </c>
      <c r="G342" t="inlineStr">
        <is>
          <t>DALS-ED</t>
        </is>
      </c>
      <c r="I342" t="n">
        <v>9.199999999999999</v>
      </c>
      <c r="J342" t="n">
        <v>0</v>
      </c>
      <c r="K342" t="n">
        <v>0</v>
      </c>
      <c r="L342" t="n">
        <v>0</v>
      </c>
      <c r="M342" t="n">
        <v>0</v>
      </c>
      <c r="N342" t="n">
        <v>0</v>
      </c>
      <c r="O342" t="n">
        <v>0</v>
      </c>
      <c r="P342" t="n">
        <v>0</v>
      </c>
      <c r="Q342" t="n">
        <v>0</v>
      </c>
      <c r="R342" t="n">
        <v>0</v>
      </c>
      <c r="S342" t="n">
        <v>0</v>
      </c>
      <c r="T342" t="n">
        <v>0</v>
      </c>
      <c r="U342" s="2" t="inlineStr"/>
    </row>
    <row r="343" ht="15" customHeight="1">
      <c r="A343" t="inlineStr">
        <is>
          <t>A 4110-2023</t>
        </is>
      </c>
      <c r="B343" t="inlineStr">
        <is>
          <t>avverkningsanmälan</t>
        </is>
      </c>
      <c r="C343" t="inlineStr">
        <is>
          <t>Föryngringsavverkning</t>
        </is>
      </c>
      <c r="D343" s="1" t="n">
        <v>44952</v>
      </c>
      <c r="E343" s="1" t="n">
        <v>46217</v>
      </c>
      <c r="F343" t="inlineStr">
        <is>
          <t>VÄSTRA GÖTALANDS LÄN</t>
        </is>
      </c>
      <c r="G343" t="inlineStr">
        <is>
          <t>DALS-ED</t>
        </is>
      </c>
      <c r="I343" t="n">
        <v>27.4</v>
      </c>
      <c r="J343" t="n">
        <v>0</v>
      </c>
      <c r="K343" t="n">
        <v>0</v>
      </c>
      <c r="L343" t="n">
        <v>0</v>
      </c>
      <c r="M343" t="n">
        <v>0</v>
      </c>
      <c r="N343" t="n">
        <v>0</v>
      </c>
      <c r="O343" t="n">
        <v>0</v>
      </c>
      <c r="P343" t="n">
        <v>0</v>
      </c>
      <c r="Q343" t="n">
        <v>0</v>
      </c>
      <c r="R343" t="n">
        <v>0</v>
      </c>
      <c r="S343" t="n">
        <v>0</v>
      </c>
      <c r="T343" t="n">
        <v>0</v>
      </c>
      <c r="U343" s="2" t="inlineStr"/>
    </row>
    <row r="344" ht="15" customHeight="1">
      <c r="A344" t="inlineStr">
        <is>
          <t>A 4112-2023</t>
        </is>
      </c>
      <c r="B344" t="inlineStr">
        <is>
          <t>avverkningsanmälan</t>
        </is>
      </c>
      <c r="C344" t="inlineStr">
        <is>
          <t>Föryngringsavverkning</t>
        </is>
      </c>
      <c r="D344" s="1" t="n">
        <v>44952</v>
      </c>
      <c r="E344" s="1" t="n">
        <v>46217</v>
      </c>
      <c r="F344" t="inlineStr">
        <is>
          <t>VÄSTRA GÖTALANDS LÄN</t>
        </is>
      </c>
      <c r="G344" t="inlineStr">
        <is>
          <t>DALS-ED</t>
        </is>
      </c>
      <c r="I344" t="n">
        <v>7.4</v>
      </c>
      <c r="J344" t="n">
        <v>0</v>
      </c>
      <c r="K344" t="n">
        <v>0</v>
      </c>
      <c r="L344" t="n">
        <v>0</v>
      </c>
      <c r="M344" t="n">
        <v>0</v>
      </c>
      <c r="N344" t="n">
        <v>0</v>
      </c>
      <c r="O344" t="n">
        <v>0</v>
      </c>
      <c r="P344" t="n">
        <v>0</v>
      </c>
      <c r="Q344" t="n">
        <v>0</v>
      </c>
      <c r="R344" t="n">
        <v>0</v>
      </c>
      <c r="S344" t="n">
        <v>0</v>
      </c>
      <c r="T344" t="n">
        <v>0</v>
      </c>
      <c r="U344" s="2" t="inlineStr"/>
    </row>
    <row r="345" ht="15" customHeight="1">
      <c r="A345" t="inlineStr">
        <is>
          <t>A 4368-2024</t>
        </is>
      </c>
      <c r="B345" t="inlineStr">
        <is>
          <t>avverkningsanmälan</t>
        </is>
      </c>
      <c r="C345" t="inlineStr">
        <is>
          <t>Föryngringsavverkning</t>
        </is>
      </c>
      <c r="D345" s="1" t="n">
        <v>45326</v>
      </c>
      <c r="E345" s="1" t="n">
        <v>46217</v>
      </c>
      <c r="F345" t="inlineStr">
        <is>
          <t>VÄSTRA GÖTALANDS LÄN</t>
        </is>
      </c>
      <c r="G345" t="inlineStr">
        <is>
          <t>DALS-ED</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17472-2026</t>
        </is>
      </c>
      <c r="B346" t="inlineStr">
        <is>
          <t>avverkningsanmälan</t>
        </is>
      </c>
      <c r="C346" t="inlineStr">
        <is>
          <t>Föryngringsavverkning</t>
        </is>
      </c>
      <c r="D346" s="1" t="n">
        <v>46120</v>
      </c>
      <c r="E346" s="1" t="n">
        <v>46217</v>
      </c>
      <c r="F346" t="inlineStr">
        <is>
          <t>VÄSTRA GÖTALANDS LÄN</t>
        </is>
      </c>
      <c r="G346" t="inlineStr">
        <is>
          <t>DALS-ED</t>
        </is>
      </c>
      <c r="H346" t="inlineStr">
        <is>
          <t>Övriga Aktiebolag</t>
        </is>
      </c>
      <c r="I346" t="n">
        <v>4.1</v>
      </c>
      <c r="J346" t="n">
        <v>0</v>
      </c>
      <c r="K346" t="n">
        <v>0</v>
      </c>
      <c r="L346" t="n">
        <v>0</v>
      </c>
      <c r="M346" t="n">
        <v>0</v>
      </c>
      <c r="N346" t="n">
        <v>0</v>
      </c>
      <c r="O346" t="n">
        <v>0</v>
      </c>
      <c r="P346" t="n">
        <v>0</v>
      </c>
      <c r="Q346" t="n">
        <v>0</v>
      </c>
      <c r="R346" t="n">
        <v>0</v>
      </c>
      <c r="S346" t="n">
        <v>0</v>
      </c>
      <c r="T346" t="n">
        <v>0</v>
      </c>
      <c r="U346" s="2" t="inlineStr"/>
    </row>
    <row r="347" ht="15" customHeight="1">
      <c r="A347" t="inlineStr">
        <is>
          <t>A 52373-2024</t>
        </is>
      </c>
      <c r="B347" t="inlineStr">
        <is>
          <t>avverkningsanmälan</t>
        </is>
      </c>
      <c r="C347" t="inlineStr">
        <is>
          <t>Föryngringsavverkning</t>
        </is>
      </c>
      <c r="D347" s="1" t="n">
        <v>45609</v>
      </c>
      <c r="E347" s="1" t="n">
        <v>46217</v>
      </c>
      <c r="F347" t="inlineStr">
        <is>
          <t>VÄSTRA GÖTALANDS LÄN</t>
        </is>
      </c>
      <c r="G347" t="inlineStr">
        <is>
          <t>DALS-ED</t>
        </is>
      </c>
      <c r="I347" t="n">
        <v>4.5</v>
      </c>
      <c r="J347" t="n">
        <v>0</v>
      </c>
      <c r="K347" t="n">
        <v>0</v>
      </c>
      <c r="L347" t="n">
        <v>0</v>
      </c>
      <c r="M347" t="n">
        <v>0</v>
      </c>
      <c r="N347" t="n">
        <v>0</v>
      </c>
      <c r="O347" t="n">
        <v>0</v>
      </c>
      <c r="P347" t="n">
        <v>0</v>
      </c>
      <c r="Q347" t="n">
        <v>0</v>
      </c>
      <c r="R347" t="n">
        <v>0</v>
      </c>
      <c r="S347" t="n">
        <v>0</v>
      </c>
      <c r="T347" t="n">
        <v>0</v>
      </c>
      <c r="U347" s="2" t="inlineStr"/>
    </row>
    <row r="348" ht="15" customHeight="1">
      <c r="A348" t="inlineStr">
        <is>
          <t>A 62849-2021</t>
        </is>
      </c>
      <c r="B348" t="inlineStr">
        <is>
          <t>avverkningsanmälan</t>
        </is>
      </c>
      <c r="C348" t="inlineStr">
        <is>
          <t>Föryngringsavverkning</t>
        </is>
      </c>
      <c r="D348" s="1" t="n">
        <v>44504</v>
      </c>
      <c r="E348" s="1" t="n">
        <v>46217</v>
      </c>
      <c r="F348" t="inlineStr">
        <is>
          <t>VÄSTRA GÖTALANDS LÄN</t>
        </is>
      </c>
      <c r="G348" t="inlineStr">
        <is>
          <t>DALS-ED</t>
        </is>
      </c>
      <c r="I348" t="n">
        <v>3.2</v>
      </c>
      <c r="J348" t="n">
        <v>0</v>
      </c>
      <c r="K348" t="n">
        <v>0</v>
      </c>
      <c r="L348" t="n">
        <v>0</v>
      </c>
      <c r="M348" t="n">
        <v>0</v>
      </c>
      <c r="N348" t="n">
        <v>0</v>
      </c>
      <c r="O348" t="n">
        <v>0</v>
      </c>
      <c r="P348" t="n">
        <v>0</v>
      </c>
      <c r="Q348" t="n">
        <v>0</v>
      </c>
      <c r="R348" t="n">
        <v>0</v>
      </c>
      <c r="S348" t="n">
        <v>0</v>
      </c>
      <c r="T348" t="n">
        <v>0</v>
      </c>
      <c r="U348" s="2" t="inlineStr"/>
    </row>
    <row r="349" ht="15" customHeight="1">
      <c r="A349" t="inlineStr">
        <is>
          <t>A 30836-2026</t>
        </is>
      </c>
      <c r="B349" t="inlineStr">
        <is>
          <t>avverkningsanmälan</t>
        </is>
      </c>
      <c r="C349" t="inlineStr">
        <is>
          <t>Föryngringsavverkning</t>
        </is>
      </c>
      <c r="D349" s="1" t="n">
        <v>46212</v>
      </c>
      <c r="E349" s="1" t="n">
        <v>46217</v>
      </c>
      <c r="F349" t="inlineStr">
        <is>
          <t>VÄSTRA GÖTALANDS LÄN</t>
        </is>
      </c>
      <c r="G349" t="inlineStr">
        <is>
          <t>DALS-ED</t>
        </is>
      </c>
      <c r="I349" t="n">
        <v>4.8</v>
      </c>
      <c r="J349" t="n">
        <v>0</v>
      </c>
      <c r="K349" t="n">
        <v>0</v>
      </c>
      <c r="L349" t="n">
        <v>0</v>
      </c>
      <c r="M349" t="n">
        <v>0</v>
      </c>
      <c r="N349" t="n">
        <v>0</v>
      </c>
      <c r="O349" t="n">
        <v>0</v>
      </c>
      <c r="P349" t="n">
        <v>0</v>
      </c>
      <c r="Q349" t="n">
        <v>0</v>
      </c>
      <c r="R349" t="n">
        <v>0</v>
      </c>
      <c r="S349" t="n">
        <v>0</v>
      </c>
      <c r="T349" t="n">
        <v>0</v>
      </c>
      <c r="U349" s="2" t="inlineStr"/>
    </row>
    <row r="350" ht="15" customHeight="1">
      <c r="A350" t="inlineStr">
        <is>
          <t>A 18372-2026</t>
        </is>
      </c>
      <c r="B350" t="inlineStr">
        <is>
          <t>avverkningsanmälan</t>
        </is>
      </c>
      <c r="C350" t="inlineStr">
        <is>
          <t>Föryngringsavverkning</t>
        </is>
      </c>
      <c r="D350" s="1" t="n">
        <v>46126</v>
      </c>
      <c r="E350" s="1" t="n">
        <v>46217</v>
      </c>
      <c r="F350" t="inlineStr">
        <is>
          <t>VÄSTRA GÖTALANDS LÄN</t>
        </is>
      </c>
      <c r="G350" t="inlineStr">
        <is>
          <t>DALS-ED</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18216-2026</t>
        </is>
      </c>
      <c r="B351" t="inlineStr">
        <is>
          <t>avverkningsanmälan</t>
        </is>
      </c>
      <c r="C351" t="inlineStr">
        <is>
          <t>Föryngringsavverkning</t>
        </is>
      </c>
      <c r="D351" s="1" t="n">
        <v>46126</v>
      </c>
      <c r="E351" s="1" t="n">
        <v>46217</v>
      </c>
      <c r="F351" t="inlineStr">
        <is>
          <t>VÄSTRA GÖTALANDS LÄN</t>
        </is>
      </c>
      <c r="G351" t="inlineStr">
        <is>
          <t>DALS-ED</t>
        </is>
      </c>
      <c r="I351" t="n">
        <v>1.7</v>
      </c>
      <c r="J351" t="n">
        <v>0</v>
      </c>
      <c r="K351" t="n">
        <v>0</v>
      </c>
      <c r="L351" t="n">
        <v>0</v>
      </c>
      <c r="M351" t="n">
        <v>0</v>
      </c>
      <c r="N351" t="n">
        <v>0</v>
      </c>
      <c r="O351" t="n">
        <v>0</v>
      </c>
      <c r="P351" t="n">
        <v>0</v>
      </c>
      <c r="Q351" t="n">
        <v>0</v>
      </c>
      <c r="R351" t="n">
        <v>0</v>
      </c>
      <c r="S351" t="n">
        <v>0</v>
      </c>
      <c r="T351" t="n">
        <v>0</v>
      </c>
      <c r="U351" s="2" t="inlineStr"/>
    </row>
    <row r="352" ht="15" customHeight="1">
      <c r="A352" t="inlineStr">
        <is>
          <t>A 36803-2024</t>
        </is>
      </c>
      <c r="B352" t="inlineStr">
        <is>
          <t>avverkningsanmälan</t>
        </is>
      </c>
      <c r="C352" t="inlineStr">
        <is>
          <t>Föryngringsavverkning</t>
        </is>
      </c>
      <c r="D352" s="1" t="n">
        <v>45538</v>
      </c>
      <c r="E352" s="1" t="n">
        <v>46217</v>
      </c>
      <c r="F352" t="inlineStr">
        <is>
          <t>VÄSTRA GÖTALANDS LÄN</t>
        </is>
      </c>
      <c r="G352" t="inlineStr">
        <is>
          <t>DALS-ED</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43380-2021</t>
        </is>
      </c>
      <c r="B353" t="inlineStr">
        <is>
          <t>avverkningsanmälan</t>
        </is>
      </c>
      <c r="C353" t="inlineStr">
        <is>
          <t>Föryngringsavverkning</t>
        </is>
      </c>
      <c r="D353" s="1" t="n">
        <v>44432</v>
      </c>
      <c r="E353" s="1" t="n">
        <v>46217</v>
      </c>
      <c r="F353" t="inlineStr">
        <is>
          <t>VÄSTRA GÖTALANDS LÄN</t>
        </is>
      </c>
      <c r="G353" t="inlineStr">
        <is>
          <t>DALS-ED</t>
        </is>
      </c>
      <c r="I353" t="n">
        <v>3.2</v>
      </c>
      <c r="J353" t="n">
        <v>0</v>
      </c>
      <c r="K353" t="n">
        <v>0</v>
      </c>
      <c r="L353" t="n">
        <v>0</v>
      </c>
      <c r="M353" t="n">
        <v>0</v>
      </c>
      <c r="N353" t="n">
        <v>0</v>
      </c>
      <c r="O353" t="n">
        <v>0</v>
      </c>
      <c r="P353" t="n">
        <v>0</v>
      </c>
      <c r="Q353" t="n">
        <v>0</v>
      </c>
      <c r="R353" t="n">
        <v>0</v>
      </c>
      <c r="S353" t="n">
        <v>0</v>
      </c>
      <c r="T353" t="n">
        <v>0</v>
      </c>
      <c r="U353" s="2" t="inlineStr"/>
    </row>
    <row r="354" ht="15" customHeight="1">
      <c r="A354" t="inlineStr">
        <is>
          <t>A 22448-2024</t>
        </is>
      </c>
      <c r="B354" t="inlineStr">
        <is>
          <t>avverkningsanmälan</t>
        </is>
      </c>
      <c r="C354" t="inlineStr">
        <is>
          <t>Föryngringsavverkning</t>
        </is>
      </c>
      <c r="D354" s="1" t="n">
        <v>45446</v>
      </c>
      <c r="E354" s="1" t="n">
        <v>46217</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36095-2024</t>
        </is>
      </c>
      <c r="B355" t="inlineStr">
        <is>
          <t>avverkningsanmälan</t>
        </is>
      </c>
      <c r="C355" t="inlineStr">
        <is>
          <t>Föryngringsavverkning</t>
        </is>
      </c>
      <c r="D355" s="1" t="n">
        <v>45533</v>
      </c>
      <c r="E355" s="1" t="n">
        <v>46217</v>
      </c>
      <c r="F355" t="inlineStr">
        <is>
          <t>VÄSTRA GÖTALANDS LÄN</t>
        </is>
      </c>
      <c r="G355" t="inlineStr">
        <is>
          <t>DALS-ED</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6515-2023</t>
        </is>
      </c>
      <c r="B356" t="inlineStr">
        <is>
          <t>avverkningsanmälan</t>
        </is>
      </c>
      <c r="C356" t="inlineStr">
        <is>
          <t>Föryngringsavverkning</t>
        </is>
      </c>
      <c r="D356" s="1" t="n">
        <v>44966</v>
      </c>
      <c r="E356" s="1" t="n">
        <v>46217</v>
      </c>
      <c r="F356" t="inlineStr">
        <is>
          <t>VÄSTRA GÖTALANDS LÄN</t>
        </is>
      </c>
      <c r="G356" t="inlineStr">
        <is>
          <t>DALS-ED</t>
        </is>
      </c>
      <c r="I356" t="n">
        <v>6.4</v>
      </c>
      <c r="J356" t="n">
        <v>0</v>
      </c>
      <c r="K356" t="n">
        <v>0</v>
      </c>
      <c r="L356" t="n">
        <v>0</v>
      </c>
      <c r="M356" t="n">
        <v>0</v>
      </c>
      <c r="N356" t="n">
        <v>0</v>
      </c>
      <c r="O356" t="n">
        <v>0</v>
      </c>
      <c r="P356" t="n">
        <v>0</v>
      </c>
      <c r="Q356" t="n">
        <v>0</v>
      </c>
      <c r="R356" t="n">
        <v>0</v>
      </c>
      <c r="S356" t="n">
        <v>0</v>
      </c>
      <c r="T356" t="n">
        <v>0</v>
      </c>
      <c r="U356" s="2" t="inlineStr"/>
    </row>
    <row r="357" ht="15" customHeight="1">
      <c r="A357" t="inlineStr">
        <is>
          <t>A 42341-2021</t>
        </is>
      </c>
      <c r="B357" t="inlineStr">
        <is>
          <t>avverkningsanmälan</t>
        </is>
      </c>
      <c r="C357" t="inlineStr">
        <is>
          <t>Föryngringsavverkning</t>
        </is>
      </c>
      <c r="D357" s="1" t="n">
        <v>44427</v>
      </c>
      <c r="E357" s="1" t="n">
        <v>46217</v>
      </c>
      <c r="F357" t="inlineStr">
        <is>
          <t>VÄSTRA GÖTALANDS LÄN</t>
        </is>
      </c>
      <c r="G357" t="inlineStr">
        <is>
          <t>DALS-ED</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10749-2022</t>
        </is>
      </c>
      <c r="B358" t="inlineStr">
        <is>
          <t>avverkningsanmälan</t>
        </is>
      </c>
      <c r="C358" t="inlineStr">
        <is>
          <t>Föryngringsavverkning</t>
        </is>
      </c>
      <c r="D358" s="1" t="n">
        <v>44627</v>
      </c>
      <c r="E358" s="1" t="n">
        <v>46217</v>
      </c>
      <c r="F358" t="inlineStr">
        <is>
          <t>VÄSTRA GÖTALANDS LÄN</t>
        </is>
      </c>
      <c r="G358" t="inlineStr">
        <is>
          <t>DALS-ED</t>
        </is>
      </c>
      <c r="I358" t="n">
        <v>4.8</v>
      </c>
      <c r="J358" t="n">
        <v>0</v>
      </c>
      <c r="K358" t="n">
        <v>0</v>
      </c>
      <c r="L358" t="n">
        <v>0</v>
      </c>
      <c r="M358" t="n">
        <v>0</v>
      </c>
      <c r="N358" t="n">
        <v>0</v>
      </c>
      <c r="O358" t="n">
        <v>0</v>
      </c>
      <c r="P358" t="n">
        <v>0</v>
      </c>
      <c r="Q358" t="n">
        <v>0</v>
      </c>
      <c r="R358" t="n">
        <v>0</v>
      </c>
      <c r="S358" t="n">
        <v>0</v>
      </c>
      <c r="T358" t="n">
        <v>0</v>
      </c>
      <c r="U358" s="2" t="inlineStr"/>
    </row>
    <row r="359" ht="15" customHeight="1">
      <c r="A359" t="inlineStr">
        <is>
          <t>A 4025-2023</t>
        </is>
      </c>
      <c r="B359" t="inlineStr">
        <is>
          <t>avverkningsanmälan</t>
        </is>
      </c>
      <c r="C359" t="inlineStr">
        <is>
          <t>Föryngringsavverkning</t>
        </is>
      </c>
      <c r="D359" s="1" t="n">
        <v>44952</v>
      </c>
      <c r="E359" s="1" t="n">
        <v>46217</v>
      </c>
      <c r="F359" t="inlineStr">
        <is>
          <t>VÄSTRA GÖTALANDS LÄN</t>
        </is>
      </c>
      <c r="G359" t="inlineStr">
        <is>
          <t>DALS-ED</t>
        </is>
      </c>
      <c r="I359" t="n">
        <v>4.1</v>
      </c>
      <c r="J359" t="n">
        <v>0</v>
      </c>
      <c r="K359" t="n">
        <v>0</v>
      </c>
      <c r="L359" t="n">
        <v>0</v>
      </c>
      <c r="M359" t="n">
        <v>0</v>
      </c>
      <c r="N359" t="n">
        <v>0</v>
      </c>
      <c r="O359" t="n">
        <v>0</v>
      </c>
      <c r="P359" t="n">
        <v>0</v>
      </c>
      <c r="Q359" t="n">
        <v>0</v>
      </c>
      <c r="R359" t="n">
        <v>0</v>
      </c>
      <c r="S359" t="n">
        <v>0</v>
      </c>
      <c r="T359" t="n">
        <v>0</v>
      </c>
      <c r="U359" s="2" t="inlineStr"/>
    </row>
    <row r="360" ht="15" customHeight="1">
      <c r="A360" t="inlineStr">
        <is>
          <t>A 41799-2024</t>
        </is>
      </c>
      <c r="B360" t="inlineStr">
        <is>
          <t>avverkningsanmälan</t>
        </is>
      </c>
      <c r="C360" t="inlineStr">
        <is>
          <t>Föryngringsavverkning</t>
        </is>
      </c>
      <c r="D360" s="1" t="n">
        <v>45561</v>
      </c>
      <c r="E360" s="1" t="n">
        <v>46217</v>
      </c>
      <c r="F360" t="inlineStr">
        <is>
          <t>VÄSTRA GÖTALANDS LÄN</t>
        </is>
      </c>
      <c r="G360" t="inlineStr">
        <is>
          <t>DALS-ED</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21915-2024</t>
        </is>
      </c>
      <c r="B361" t="inlineStr">
        <is>
          <t>avverkningsanmälan</t>
        </is>
      </c>
      <c r="C361" t="inlineStr">
        <is>
          <t>Avverkning för att bevara och utveckla /försöksver</t>
        </is>
      </c>
      <c r="D361" s="1" t="n">
        <v>45443</v>
      </c>
      <c r="E361" s="1" t="n">
        <v>46217</v>
      </c>
      <c r="F361" t="inlineStr">
        <is>
          <t>VÄSTRA GÖTALANDS LÄN</t>
        </is>
      </c>
      <c r="G361" t="inlineStr">
        <is>
          <t>DALS-ED</t>
        </is>
      </c>
      <c r="H361" t="inlineStr">
        <is>
          <t>Kyrkan</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4731-2022</t>
        </is>
      </c>
      <c r="B362" t="inlineStr">
        <is>
          <t>avverkningsanmälan</t>
        </is>
      </c>
      <c r="C362" t="inlineStr">
        <is>
          <t>Föryngringsavverkning</t>
        </is>
      </c>
      <c r="D362" s="1" t="n">
        <v>44592</v>
      </c>
      <c r="E362" s="1" t="n">
        <v>46217</v>
      </c>
      <c r="F362" t="inlineStr">
        <is>
          <t>VÄSTRA GÖTALANDS LÄN</t>
        </is>
      </c>
      <c r="G362" t="inlineStr">
        <is>
          <t>DALS-ED</t>
        </is>
      </c>
      <c r="I362" t="n">
        <v>2.6</v>
      </c>
      <c r="J362" t="n">
        <v>0</v>
      </c>
      <c r="K362" t="n">
        <v>0</v>
      </c>
      <c r="L362" t="n">
        <v>0</v>
      </c>
      <c r="M362" t="n">
        <v>0</v>
      </c>
      <c r="N362" t="n">
        <v>0</v>
      </c>
      <c r="O362" t="n">
        <v>0</v>
      </c>
      <c r="P362" t="n">
        <v>0</v>
      </c>
      <c r="Q362" t="n">
        <v>0</v>
      </c>
      <c r="R362" t="n">
        <v>0</v>
      </c>
      <c r="S362" t="n">
        <v>0</v>
      </c>
      <c r="T362" t="n">
        <v>0</v>
      </c>
      <c r="U362" s="2" t="inlineStr"/>
    </row>
    <row r="363" ht="15" customHeight="1">
      <c r="A363" t="inlineStr">
        <is>
          <t>A 13491-2024</t>
        </is>
      </c>
      <c r="B363" t="inlineStr">
        <is>
          <t>avverkningsanmälan</t>
        </is>
      </c>
      <c r="C363" t="inlineStr">
        <is>
          <t>Föryngringsavverkning</t>
        </is>
      </c>
      <c r="D363" s="1" t="n">
        <v>45387</v>
      </c>
      <c r="E363" s="1" t="n">
        <v>46217</v>
      </c>
      <c r="F363" t="inlineStr">
        <is>
          <t>VÄSTRA GÖTALANDS LÄN</t>
        </is>
      </c>
      <c r="G363" t="inlineStr">
        <is>
          <t>DALS-ED</t>
        </is>
      </c>
      <c r="I363" t="n">
        <v>2</v>
      </c>
      <c r="J363" t="n">
        <v>0</v>
      </c>
      <c r="K363" t="n">
        <v>0</v>
      </c>
      <c r="L363" t="n">
        <v>0</v>
      </c>
      <c r="M363" t="n">
        <v>0</v>
      </c>
      <c r="N363" t="n">
        <v>0</v>
      </c>
      <c r="O363" t="n">
        <v>0</v>
      </c>
      <c r="P363" t="n">
        <v>0</v>
      </c>
      <c r="Q363" t="n">
        <v>0</v>
      </c>
      <c r="R363" t="n">
        <v>0</v>
      </c>
      <c r="S363" t="n">
        <v>0</v>
      </c>
      <c r="T363" t="n">
        <v>0</v>
      </c>
      <c r="U363" s="2" t="inlineStr"/>
    </row>
    <row r="364" ht="15" customHeight="1">
      <c r="A364" t="inlineStr">
        <is>
          <t>A 7986-2023</t>
        </is>
      </c>
      <c r="B364" t="inlineStr">
        <is>
          <t>avverkningsanmälan</t>
        </is>
      </c>
      <c r="C364" t="inlineStr">
        <is>
          <t>Föryngringsavverkning</t>
        </is>
      </c>
      <c r="D364" s="1" t="n">
        <v>44970</v>
      </c>
      <c r="E364" s="1" t="n">
        <v>46217</v>
      </c>
      <c r="F364" t="inlineStr">
        <is>
          <t>VÄSTRA GÖTALANDS LÄN</t>
        </is>
      </c>
      <c r="G364" t="inlineStr">
        <is>
          <t>DALS-ED</t>
        </is>
      </c>
      <c r="H364" t="inlineStr">
        <is>
          <t>Kyrkan</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48574-2024</t>
        </is>
      </c>
      <c r="B365" t="inlineStr">
        <is>
          <t>avverkningsanmälan</t>
        </is>
      </c>
      <c r="C365" t="inlineStr">
        <is>
          <t>Föryngringsavverkning</t>
        </is>
      </c>
      <c r="D365" s="1" t="n">
        <v>45593</v>
      </c>
      <c r="E365" s="1" t="n">
        <v>46217</v>
      </c>
      <c r="F365" t="inlineStr">
        <is>
          <t>VÄSTRA GÖTALANDS LÄN</t>
        </is>
      </c>
      <c r="G365" t="inlineStr">
        <is>
          <t>DALS-ED</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61626-2022</t>
        </is>
      </c>
      <c r="B366" t="inlineStr">
        <is>
          <t>avverkningsanmälan</t>
        </is>
      </c>
      <c r="C366" t="inlineStr">
        <is>
          <t>Föryngringsavverkning</t>
        </is>
      </c>
      <c r="D366" s="1" t="n">
        <v>44916</v>
      </c>
      <c r="E366" s="1" t="n">
        <v>46217</v>
      </c>
      <c r="F366" t="inlineStr">
        <is>
          <t>VÄSTRA GÖTALANDS LÄN</t>
        </is>
      </c>
      <c r="G366" t="inlineStr">
        <is>
          <t>DALS-ED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40380-2022</t>
        </is>
      </c>
      <c r="B367" t="inlineStr">
        <is>
          <t>avverkningsanmälan</t>
        </is>
      </c>
      <c r="C367" t="inlineStr">
        <is>
          <t>Föryngringsavverkning</t>
        </is>
      </c>
      <c r="D367" s="1" t="n">
        <v>44823</v>
      </c>
      <c r="E367" s="1" t="n">
        <v>46217</v>
      </c>
      <c r="F367" t="inlineStr">
        <is>
          <t>VÄSTRA GÖTALANDS LÄN</t>
        </is>
      </c>
      <c r="G367" t="inlineStr">
        <is>
          <t>DALS-ED</t>
        </is>
      </c>
      <c r="I367" t="n">
        <v>5.1</v>
      </c>
      <c r="J367" t="n">
        <v>0</v>
      </c>
      <c r="K367" t="n">
        <v>0</v>
      </c>
      <c r="L367" t="n">
        <v>0</v>
      </c>
      <c r="M367" t="n">
        <v>0</v>
      </c>
      <c r="N367" t="n">
        <v>0</v>
      </c>
      <c r="O367" t="n">
        <v>0</v>
      </c>
      <c r="P367" t="n">
        <v>0</v>
      </c>
      <c r="Q367" t="n">
        <v>0</v>
      </c>
      <c r="R367" t="n">
        <v>0</v>
      </c>
      <c r="S367" t="n">
        <v>0</v>
      </c>
      <c r="T367" t="n">
        <v>0</v>
      </c>
      <c r="U367" s="2" t="inlineStr"/>
    </row>
    <row r="368" ht="15" customHeight="1">
      <c r="A368" t="inlineStr">
        <is>
          <t>A 50298-2024</t>
        </is>
      </c>
      <c r="B368" t="inlineStr">
        <is>
          <t>avverkningsanmälan</t>
        </is>
      </c>
      <c r="C368" t="inlineStr">
        <is>
          <t>Föryngringsavverkning</t>
        </is>
      </c>
      <c r="D368" s="1" t="n">
        <v>45600</v>
      </c>
      <c r="E368" s="1" t="n">
        <v>46217</v>
      </c>
      <c r="F368" t="inlineStr">
        <is>
          <t>VÄSTRA GÖTALANDS LÄN</t>
        </is>
      </c>
      <c r="G368" t="inlineStr">
        <is>
          <t>DALS-ED</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50303-2024</t>
        </is>
      </c>
      <c r="B369" t="inlineStr">
        <is>
          <t>avverkningsanmälan</t>
        </is>
      </c>
      <c r="C369" t="inlineStr">
        <is>
          <t>Föryngringsavverkning</t>
        </is>
      </c>
      <c r="D369" s="1" t="n">
        <v>45600</v>
      </c>
      <c r="E369" s="1" t="n">
        <v>46217</v>
      </c>
      <c r="F369" t="inlineStr">
        <is>
          <t>VÄSTRA GÖTALANDS LÄN</t>
        </is>
      </c>
      <c r="G369" t="inlineStr">
        <is>
          <t>DALS-ED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42588-2021</t>
        </is>
      </c>
      <c r="B370" t="inlineStr">
        <is>
          <t>avverkningsanmälan</t>
        </is>
      </c>
      <c r="C370" t="inlineStr">
        <is>
          <t>Föryngringsavverkning</t>
        </is>
      </c>
      <c r="D370" s="1" t="n">
        <v>44428</v>
      </c>
      <c r="E370" s="1" t="n">
        <v>46217</v>
      </c>
      <c r="F370" t="inlineStr">
        <is>
          <t>VÄSTRA GÖTALANDS LÄN</t>
        </is>
      </c>
      <c r="G370" t="inlineStr">
        <is>
          <t>DALS-ED</t>
        </is>
      </c>
      <c r="I370" t="n">
        <v>5.7</v>
      </c>
      <c r="J370" t="n">
        <v>0</v>
      </c>
      <c r="K370" t="n">
        <v>0</v>
      </c>
      <c r="L370" t="n">
        <v>0</v>
      </c>
      <c r="M370" t="n">
        <v>0</v>
      </c>
      <c r="N370" t="n">
        <v>0</v>
      </c>
      <c r="O370" t="n">
        <v>0</v>
      </c>
      <c r="P370" t="n">
        <v>0</v>
      </c>
      <c r="Q370" t="n">
        <v>0</v>
      </c>
      <c r="R370" t="n">
        <v>0</v>
      </c>
      <c r="S370" t="n">
        <v>0</v>
      </c>
      <c r="T370" t="n">
        <v>0</v>
      </c>
      <c r="U370" s="2" t="inlineStr"/>
    </row>
    <row r="371" ht="15" customHeight="1">
      <c r="A371" t="inlineStr">
        <is>
          <t>A 18360-2022</t>
        </is>
      </c>
      <c r="B371" t="inlineStr">
        <is>
          <t>avverkningsanmälan</t>
        </is>
      </c>
      <c r="C371" t="inlineStr">
        <is>
          <t>Föryngringsavverkning</t>
        </is>
      </c>
      <c r="D371" s="1" t="n">
        <v>44685</v>
      </c>
      <c r="E371" s="1" t="n">
        <v>46217</v>
      </c>
      <c r="F371" t="inlineStr">
        <is>
          <t>VÄSTRA GÖTALANDS LÄN</t>
        </is>
      </c>
      <c r="G371" t="inlineStr">
        <is>
          <t>DALS-ED</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36456-2023</t>
        </is>
      </c>
      <c r="B372" t="inlineStr">
        <is>
          <t>avverkningsanmälan</t>
        </is>
      </c>
      <c r="C372" t="inlineStr">
        <is>
          <t>Föryngringsavverkning</t>
        </is>
      </c>
      <c r="D372" s="1" t="n">
        <v>45151</v>
      </c>
      <c r="E372" s="1" t="n">
        <v>46217</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s="2" t="inlineStr"/>
    </row>
    <row r="373" ht="15" customHeight="1">
      <c r="A373" t="inlineStr">
        <is>
          <t>A 19382-2023</t>
        </is>
      </c>
      <c r="B373" t="inlineStr">
        <is>
          <t>avverkningsanmälan</t>
        </is>
      </c>
      <c r="C373" t="inlineStr">
        <is>
          <t>Avverkning för annat ändamål</t>
        </is>
      </c>
      <c r="D373" s="1" t="n">
        <v>45049</v>
      </c>
      <c r="E373" s="1" t="n">
        <v>46217</v>
      </c>
      <c r="F373" t="inlineStr">
        <is>
          <t>VÄSTRA GÖTALANDS LÄN</t>
        </is>
      </c>
      <c r="G373" t="inlineStr">
        <is>
          <t>DALS-ED</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2284-2023</t>
        </is>
      </c>
      <c r="B374" t="inlineStr">
        <is>
          <t>avverkningsanmälan</t>
        </is>
      </c>
      <c r="C374" t="inlineStr">
        <is>
          <t>Föryngringsavverkning</t>
        </is>
      </c>
      <c r="D374" s="1" t="n">
        <v>44942</v>
      </c>
      <c r="E374" s="1" t="n">
        <v>46217</v>
      </c>
      <c r="F374" t="inlineStr">
        <is>
          <t>VÄSTRA GÖTALANDS LÄN</t>
        </is>
      </c>
      <c r="G374" t="inlineStr">
        <is>
          <t>DALS-ED</t>
        </is>
      </c>
      <c r="I374" t="n">
        <v>6.9</v>
      </c>
      <c r="J374" t="n">
        <v>0</v>
      </c>
      <c r="K374" t="n">
        <v>0</v>
      </c>
      <c r="L374" t="n">
        <v>0</v>
      </c>
      <c r="M374" t="n">
        <v>0</v>
      </c>
      <c r="N374" t="n">
        <v>0</v>
      </c>
      <c r="O374" t="n">
        <v>0</v>
      </c>
      <c r="P374" t="n">
        <v>0</v>
      </c>
      <c r="Q374" t="n">
        <v>0</v>
      </c>
      <c r="R374" t="n">
        <v>0</v>
      </c>
      <c r="S374" t="n">
        <v>0</v>
      </c>
      <c r="T374" t="n">
        <v>0</v>
      </c>
      <c r="U374" s="2" t="inlineStr"/>
    </row>
    <row r="375" ht="15" customHeight="1">
      <c r="A375" t="inlineStr">
        <is>
          <t>A 4499-2024</t>
        </is>
      </c>
      <c r="B375" t="inlineStr">
        <is>
          <t>avverkningsanmälan</t>
        </is>
      </c>
      <c r="C375" t="inlineStr">
        <is>
          <t>Föryngringsavverkning</t>
        </is>
      </c>
      <c r="D375" s="1" t="n">
        <v>45327</v>
      </c>
      <c r="E375" s="1" t="n">
        <v>46217</v>
      </c>
      <c r="F375" t="inlineStr">
        <is>
          <t>VÄSTRA GÖTALANDS LÄN</t>
        </is>
      </c>
      <c r="G375" t="inlineStr">
        <is>
          <t>DALS-ED</t>
        </is>
      </c>
      <c r="I375" t="n">
        <v>2.8</v>
      </c>
      <c r="J375" t="n">
        <v>0</v>
      </c>
      <c r="K375" t="n">
        <v>0</v>
      </c>
      <c r="L375" t="n">
        <v>0</v>
      </c>
      <c r="M375" t="n">
        <v>0</v>
      </c>
      <c r="N375" t="n">
        <v>0</v>
      </c>
      <c r="O375" t="n">
        <v>0</v>
      </c>
      <c r="P375" t="n">
        <v>0</v>
      </c>
      <c r="Q375" t="n">
        <v>0</v>
      </c>
      <c r="R375" t="n">
        <v>0</v>
      </c>
      <c r="S375" t="n">
        <v>0</v>
      </c>
      <c r="T375" t="n">
        <v>0</v>
      </c>
      <c r="U375" s="2" t="inlineStr"/>
    </row>
    <row r="376" ht="15" customHeight="1">
      <c r="A376" t="inlineStr">
        <is>
          <t>A 8180-2024</t>
        </is>
      </c>
      <c r="B376" t="inlineStr">
        <is>
          <t>avverkningsanmälan</t>
        </is>
      </c>
      <c r="C376" t="inlineStr">
        <is>
          <t>Föryngringsavverkning</t>
        </is>
      </c>
      <c r="D376" s="1" t="n">
        <v>45351</v>
      </c>
      <c r="E376" s="1" t="n">
        <v>46217</v>
      </c>
      <c r="F376" t="inlineStr">
        <is>
          <t>VÄSTRA GÖTALANDS LÄN</t>
        </is>
      </c>
      <c r="G376" t="inlineStr">
        <is>
          <t>DALS-ED</t>
        </is>
      </c>
      <c r="H376" t="inlineStr">
        <is>
          <t>Övriga Aktiebolag</t>
        </is>
      </c>
      <c r="I376" t="n">
        <v>3.2</v>
      </c>
      <c r="J376" t="n">
        <v>0</v>
      </c>
      <c r="K376" t="n">
        <v>0</v>
      </c>
      <c r="L376" t="n">
        <v>0</v>
      </c>
      <c r="M376" t="n">
        <v>0</v>
      </c>
      <c r="N376" t="n">
        <v>0</v>
      </c>
      <c r="O376" t="n">
        <v>0</v>
      </c>
      <c r="P376" t="n">
        <v>0</v>
      </c>
      <c r="Q376" t="n">
        <v>0</v>
      </c>
      <c r="R376" t="n">
        <v>0</v>
      </c>
      <c r="S376" t="n">
        <v>0</v>
      </c>
      <c r="T376" t="n">
        <v>0</v>
      </c>
      <c r="U376" s="2" t="inlineStr"/>
    </row>
    <row r="377" ht="15" customHeight="1">
      <c r="A377" t="inlineStr">
        <is>
          <t>A 18437-2025</t>
        </is>
      </c>
      <c r="B377" t="inlineStr">
        <is>
          <t>avverkningsanmälan</t>
        </is>
      </c>
      <c r="C377" t="inlineStr">
        <is>
          <t>Föryngringsavverkning</t>
        </is>
      </c>
      <c r="D377" s="1" t="n">
        <v>45762</v>
      </c>
      <c r="E377" s="1" t="n">
        <v>46217</v>
      </c>
      <c r="F377" t="inlineStr">
        <is>
          <t>VÄSTRA GÖTALANDS LÄN</t>
        </is>
      </c>
      <c r="G377" t="inlineStr">
        <is>
          <t>DALS-ED</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52349-2024</t>
        </is>
      </c>
      <c r="B378" t="inlineStr">
        <is>
          <t>avverkningsanmälan</t>
        </is>
      </c>
      <c r="C378" t="inlineStr">
        <is>
          <t>Föryngringsavverkning</t>
        </is>
      </c>
      <c r="D378" s="1" t="n">
        <v>45609</v>
      </c>
      <c r="E378" s="1" t="n">
        <v>46217</v>
      </c>
      <c r="F378" t="inlineStr">
        <is>
          <t>VÄSTRA GÖTALANDS LÄN</t>
        </is>
      </c>
      <c r="G378" t="inlineStr">
        <is>
          <t>DALS-ED</t>
        </is>
      </c>
      <c r="I378" t="n">
        <v>6.1</v>
      </c>
      <c r="J378" t="n">
        <v>0</v>
      </c>
      <c r="K378" t="n">
        <v>0</v>
      </c>
      <c r="L378" t="n">
        <v>0</v>
      </c>
      <c r="M378" t="n">
        <v>0</v>
      </c>
      <c r="N378" t="n">
        <v>0</v>
      </c>
      <c r="O378" t="n">
        <v>0</v>
      </c>
      <c r="P378" t="n">
        <v>0</v>
      </c>
      <c r="Q378" t="n">
        <v>0</v>
      </c>
      <c r="R378" t="n">
        <v>0</v>
      </c>
      <c r="S378" t="n">
        <v>0</v>
      </c>
      <c r="T378" t="n">
        <v>0</v>
      </c>
      <c r="U378" s="2" t="inlineStr"/>
    </row>
    <row r="379" ht="15" customHeight="1">
      <c r="A379" t="inlineStr">
        <is>
          <t>A 4105-2023</t>
        </is>
      </c>
      <c r="B379" t="inlineStr">
        <is>
          <t>avverkningsanmälan</t>
        </is>
      </c>
      <c r="C379" t="inlineStr">
        <is>
          <t>Föryngringsavverkning</t>
        </is>
      </c>
      <c r="D379" s="1" t="n">
        <v>44952</v>
      </c>
      <c r="E379" s="1" t="n">
        <v>46217</v>
      </c>
      <c r="F379" t="inlineStr">
        <is>
          <t>VÄSTRA GÖTALANDS LÄN</t>
        </is>
      </c>
      <c r="G379" t="inlineStr">
        <is>
          <t>DALS-ED</t>
        </is>
      </c>
      <c r="I379" t="n">
        <v>3.9</v>
      </c>
      <c r="J379" t="n">
        <v>0</v>
      </c>
      <c r="K379" t="n">
        <v>0</v>
      </c>
      <c r="L379" t="n">
        <v>0</v>
      </c>
      <c r="M379" t="n">
        <v>0</v>
      </c>
      <c r="N379" t="n">
        <v>0</v>
      </c>
      <c r="O379" t="n">
        <v>0</v>
      </c>
      <c r="P379" t="n">
        <v>0</v>
      </c>
      <c r="Q379" t="n">
        <v>0</v>
      </c>
      <c r="R379" t="n">
        <v>0</v>
      </c>
      <c r="S379" t="n">
        <v>0</v>
      </c>
      <c r="T379" t="n">
        <v>0</v>
      </c>
      <c r="U379" s="2" t="inlineStr"/>
    </row>
    <row r="380" ht="15" customHeight="1">
      <c r="A380" t="inlineStr">
        <is>
          <t>A 4108-2023</t>
        </is>
      </c>
      <c r="B380" t="inlineStr">
        <is>
          <t>avverkningsanmälan</t>
        </is>
      </c>
      <c r="C380" t="inlineStr">
        <is>
          <t>Föryngringsavverkning</t>
        </is>
      </c>
      <c r="D380" s="1" t="n">
        <v>44952</v>
      </c>
      <c r="E380" s="1" t="n">
        <v>46217</v>
      </c>
      <c r="F380" t="inlineStr">
        <is>
          <t>VÄSTRA GÖTALANDS LÄN</t>
        </is>
      </c>
      <c r="G380" t="inlineStr">
        <is>
          <t>DALS-ED</t>
        </is>
      </c>
      <c r="I380" t="n">
        <v>4</v>
      </c>
      <c r="J380" t="n">
        <v>0</v>
      </c>
      <c r="K380" t="n">
        <v>0</v>
      </c>
      <c r="L380" t="n">
        <v>0</v>
      </c>
      <c r="M380" t="n">
        <v>0</v>
      </c>
      <c r="N380" t="n">
        <v>0</v>
      </c>
      <c r="O380" t="n">
        <v>0</v>
      </c>
      <c r="P380" t="n">
        <v>0</v>
      </c>
      <c r="Q380" t="n">
        <v>0</v>
      </c>
      <c r="R380" t="n">
        <v>0</v>
      </c>
      <c r="S380" t="n">
        <v>0</v>
      </c>
      <c r="T380" t="n">
        <v>0</v>
      </c>
      <c r="U380" s="2" t="inlineStr"/>
    </row>
    <row r="381" ht="15" customHeight="1">
      <c r="A381" t="inlineStr">
        <is>
          <t>A 2632-2025</t>
        </is>
      </c>
      <c r="B381" t="inlineStr">
        <is>
          <t>avverkningsanmälan</t>
        </is>
      </c>
      <c r="C381" t="inlineStr">
        <is>
          <t>Föryngringsavverkning</t>
        </is>
      </c>
      <c r="D381" s="1" t="n">
        <v>45675</v>
      </c>
      <c r="E381" s="1" t="n">
        <v>46217</v>
      </c>
      <c r="F381" t="inlineStr">
        <is>
          <t>VÄSTRA GÖTALANDS LÄN</t>
        </is>
      </c>
      <c r="G381" t="inlineStr">
        <is>
          <t>DALS-ED</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2082-2025</t>
        </is>
      </c>
      <c r="B382" t="inlineStr">
        <is>
          <t>avverkningsanmälan</t>
        </is>
      </c>
      <c r="C382" t="inlineStr">
        <is>
          <t>Föryngringsavverkning</t>
        </is>
      </c>
      <c r="D382" s="1" t="n">
        <v>45672</v>
      </c>
      <c r="E382" s="1" t="n">
        <v>46217</v>
      </c>
      <c r="F382" t="inlineStr">
        <is>
          <t>VÄSTRA GÖTALANDS LÄN</t>
        </is>
      </c>
      <c r="G382" t="inlineStr">
        <is>
          <t>DALS-ED</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41804-2024</t>
        </is>
      </c>
      <c r="B383" t="inlineStr">
        <is>
          <t>avverkningsanmälan</t>
        </is>
      </c>
      <c r="C383" t="inlineStr">
        <is>
          <t>Föryngringsavverkning</t>
        </is>
      </c>
      <c r="D383" s="1" t="n">
        <v>45561</v>
      </c>
      <c r="E383" s="1" t="n">
        <v>46217</v>
      </c>
      <c r="F383" t="inlineStr">
        <is>
          <t>VÄSTRA GÖTALANDS LÄN</t>
        </is>
      </c>
      <c r="G383" t="inlineStr">
        <is>
          <t>DALS-ED</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36342-2023</t>
        </is>
      </c>
      <c r="B384" t="inlineStr">
        <is>
          <t>avverkningsanmälan</t>
        </is>
      </c>
      <c r="C384" t="inlineStr">
        <is>
          <t>Föryngringsavverkning</t>
        </is>
      </c>
      <c r="D384" s="1" t="n">
        <v>45152</v>
      </c>
      <c r="E384" s="1" t="n">
        <v>46217</v>
      </c>
      <c r="F384" t="inlineStr">
        <is>
          <t>VÄSTRA GÖTALANDS LÄN</t>
        </is>
      </c>
      <c r="G384" t="inlineStr">
        <is>
          <t>DALS-ED</t>
        </is>
      </c>
      <c r="I384" t="n">
        <v>5.2</v>
      </c>
      <c r="J384" t="n">
        <v>0</v>
      </c>
      <c r="K384" t="n">
        <v>0</v>
      </c>
      <c r="L384" t="n">
        <v>0</v>
      </c>
      <c r="M384" t="n">
        <v>0</v>
      </c>
      <c r="N384" t="n">
        <v>0</v>
      </c>
      <c r="O384" t="n">
        <v>0</v>
      </c>
      <c r="P384" t="n">
        <v>0</v>
      </c>
      <c r="Q384" t="n">
        <v>0</v>
      </c>
      <c r="R384" t="n">
        <v>0</v>
      </c>
      <c r="S384" t="n">
        <v>0</v>
      </c>
      <c r="T384" t="n">
        <v>0</v>
      </c>
      <c r="U384" s="2" t="inlineStr"/>
    </row>
    <row r="385" ht="15" customHeight="1">
      <c r="A385" t="inlineStr">
        <is>
          <t>A 25007-2023</t>
        </is>
      </c>
      <c r="B385" t="inlineStr">
        <is>
          <t>avverkningsanmälan</t>
        </is>
      </c>
      <c r="C385" t="inlineStr">
        <is>
          <t>Föryngringsavverkning</t>
        </is>
      </c>
      <c r="D385" s="1" t="n">
        <v>45085</v>
      </c>
      <c r="E385" s="1" t="n">
        <v>46217</v>
      </c>
      <c r="F385" t="inlineStr">
        <is>
          <t>VÄSTRA GÖTALANDS LÄN</t>
        </is>
      </c>
      <c r="G385" t="inlineStr">
        <is>
          <t>DALS-ED</t>
        </is>
      </c>
      <c r="I385" t="n">
        <v>4.3</v>
      </c>
      <c r="J385" t="n">
        <v>0</v>
      </c>
      <c r="K385" t="n">
        <v>0</v>
      </c>
      <c r="L385" t="n">
        <v>0</v>
      </c>
      <c r="M385" t="n">
        <v>0</v>
      </c>
      <c r="N385" t="n">
        <v>0</v>
      </c>
      <c r="O385" t="n">
        <v>0</v>
      </c>
      <c r="P385" t="n">
        <v>0</v>
      </c>
      <c r="Q385" t="n">
        <v>0</v>
      </c>
      <c r="R385" t="n">
        <v>0</v>
      </c>
      <c r="S385" t="n">
        <v>0</v>
      </c>
      <c r="T385" t="n">
        <v>0</v>
      </c>
      <c r="U385" s="2" t="inlineStr"/>
    </row>
    <row r="386" ht="15" customHeight="1">
      <c r="A386" t="inlineStr">
        <is>
          <t>A 17503-2024</t>
        </is>
      </c>
      <c r="B386" t="inlineStr">
        <is>
          <t>avverkningsanmälan</t>
        </is>
      </c>
      <c r="C386" t="inlineStr">
        <is>
          <t>Föryngringsavverkning</t>
        </is>
      </c>
      <c r="D386" s="1" t="n">
        <v>45415</v>
      </c>
      <c r="E386" s="1" t="n">
        <v>46217</v>
      </c>
      <c r="F386" t="inlineStr">
        <is>
          <t>VÄSTRA GÖTALANDS LÄN</t>
        </is>
      </c>
      <c r="G386" t="inlineStr">
        <is>
          <t>DALS-ED</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58206-2022</t>
        </is>
      </c>
      <c r="B387" t="inlineStr">
        <is>
          <t>avverkningsanmälan</t>
        </is>
      </c>
      <c r="C387" t="inlineStr">
        <is>
          <t>Föryngringsavverkning</t>
        </is>
      </c>
      <c r="D387" s="1" t="n">
        <v>44901</v>
      </c>
      <c r="E387" s="1" t="n">
        <v>46217</v>
      </c>
      <c r="F387" t="inlineStr">
        <is>
          <t>VÄSTRA GÖTALANDS LÄN</t>
        </is>
      </c>
      <c r="G387" t="inlineStr">
        <is>
          <t>DALS-ED</t>
        </is>
      </c>
      <c r="I387" t="n">
        <v>5.3</v>
      </c>
      <c r="J387" t="n">
        <v>0</v>
      </c>
      <c r="K387" t="n">
        <v>0</v>
      </c>
      <c r="L387" t="n">
        <v>0</v>
      </c>
      <c r="M387" t="n">
        <v>0</v>
      </c>
      <c r="N387" t="n">
        <v>0</v>
      </c>
      <c r="O387" t="n">
        <v>0</v>
      </c>
      <c r="P387" t="n">
        <v>0</v>
      </c>
      <c r="Q387" t="n">
        <v>0</v>
      </c>
      <c r="R387" t="n">
        <v>0</v>
      </c>
      <c r="S387" t="n">
        <v>0</v>
      </c>
      <c r="T387" t="n">
        <v>0</v>
      </c>
      <c r="U387" s="2" t="inlineStr"/>
    </row>
    <row r="388" ht="15" customHeight="1">
      <c r="A388" t="inlineStr">
        <is>
          <t>A 4369-2024</t>
        </is>
      </c>
      <c r="B388" t="inlineStr">
        <is>
          <t>avverkningsanmälan</t>
        </is>
      </c>
      <c r="C388" t="inlineStr">
        <is>
          <t>Föryngringsavverkning</t>
        </is>
      </c>
      <c r="D388" s="1" t="n">
        <v>45326</v>
      </c>
      <c r="E388" s="1" t="n">
        <v>46217</v>
      </c>
      <c r="F388" t="inlineStr">
        <is>
          <t>VÄSTRA GÖTALANDS LÄN</t>
        </is>
      </c>
      <c r="G388" t="inlineStr">
        <is>
          <t>DALS-ED</t>
        </is>
      </c>
      <c r="I388" t="n">
        <v>4.2</v>
      </c>
      <c r="J388" t="n">
        <v>0</v>
      </c>
      <c r="K388" t="n">
        <v>0</v>
      </c>
      <c r="L388" t="n">
        <v>0</v>
      </c>
      <c r="M388" t="n">
        <v>0</v>
      </c>
      <c r="N388" t="n">
        <v>0</v>
      </c>
      <c r="O388" t="n">
        <v>0</v>
      </c>
      <c r="P388" t="n">
        <v>0</v>
      </c>
      <c r="Q388" t="n">
        <v>0</v>
      </c>
      <c r="R388" t="n">
        <v>0</v>
      </c>
      <c r="S388" t="n">
        <v>0</v>
      </c>
      <c r="T388" t="n">
        <v>0</v>
      </c>
      <c r="U388" s="2" t="inlineStr"/>
    </row>
    <row r="389" ht="15" customHeight="1">
      <c r="A389" t="inlineStr">
        <is>
          <t>A 2283-2025</t>
        </is>
      </c>
      <c r="B389" t="inlineStr">
        <is>
          <t>avverkningsanmälan</t>
        </is>
      </c>
      <c r="C389" t="inlineStr">
        <is>
          <t>Föryngringsavverkning</t>
        </is>
      </c>
      <c r="D389" s="1" t="n">
        <v>45673</v>
      </c>
      <c r="E389" s="1" t="n">
        <v>46217</v>
      </c>
      <c r="F389" t="inlineStr">
        <is>
          <t>VÄSTRA GÖTALANDS LÄN</t>
        </is>
      </c>
      <c r="G389" t="inlineStr">
        <is>
          <t>DALS-ED</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21865-2023</t>
        </is>
      </c>
      <c r="B390" t="inlineStr">
        <is>
          <t>avverkningsanmälan</t>
        </is>
      </c>
      <c r="C390" t="inlineStr">
        <is>
          <t>Föryngringsavverkning</t>
        </is>
      </c>
      <c r="D390" s="1" t="n">
        <v>45068</v>
      </c>
      <c r="E390" s="1" t="n">
        <v>46217</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34467-2023</t>
        </is>
      </c>
      <c r="B391" t="inlineStr">
        <is>
          <t>avverkningsanmälan</t>
        </is>
      </c>
      <c r="C391" t="inlineStr">
        <is>
          <t>Föryngringsavverkning</t>
        </is>
      </c>
      <c r="D391" s="1" t="n">
        <v>45139</v>
      </c>
      <c r="E391" s="1" t="n">
        <v>46217</v>
      </c>
      <c r="F391" t="inlineStr">
        <is>
          <t>VÄSTRA GÖTALANDS LÄN</t>
        </is>
      </c>
      <c r="G391" t="inlineStr">
        <is>
          <t>DALS-ED</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32683-2023</t>
        </is>
      </c>
      <c r="B392" t="inlineStr">
        <is>
          <t>avverkningsanmälan</t>
        </is>
      </c>
      <c r="C392" t="inlineStr">
        <is>
          <t>Avverkning för annat ändamål</t>
        </is>
      </c>
      <c r="D392" s="1" t="n">
        <v>45112</v>
      </c>
      <c r="E392" s="1" t="n">
        <v>46217</v>
      </c>
      <c r="F392" t="inlineStr">
        <is>
          <t>VÄSTRA GÖTALANDS LÄN</t>
        </is>
      </c>
      <c r="G392" t="inlineStr">
        <is>
          <t>DALS-ED</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4724-2022</t>
        </is>
      </c>
      <c r="B393" t="inlineStr">
        <is>
          <t>avverkningsanmälan</t>
        </is>
      </c>
      <c r="C393" t="inlineStr">
        <is>
          <t>Föryngringsavverkning</t>
        </is>
      </c>
      <c r="D393" s="1" t="n">
        <v>44592</v>
      </c>
      <c r="E393" s="1" t="n">
        <v>46217</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s="2" t="inlineStr"/>
    </row>
    <row r="394" ht="15" customHeight="1">
      <c r="A394" t="inlineStr">
        <is>
          <t>A 5569-2023</t>
        </is>
      </c>
      <c r="B394" t="inlineStr">
        <is>
          <t>avverkningsanmälan</t>
        </is>
      </c>
      <c r="C394" t="inlineStr">
        <is>
          <t>Föryngringsavverkning</t>
        </is>
      </c>
      <c r="D394" s="1" t="n">
        <v>44960</v>
      </c>
      <c r="E394" s="1" t="n">
        <v>46217</v>
      </c>
      <c r="F394" t="inlineStr">
        <is>
          <t>VÄSTRA GÖTALANDS LÄN</t>
        </is>
      </c>
      <c r="G394" t="inlineStr">
        <is>
          <t>DALS-ED</t>
        </is>
      </c>
      <c r="I394" t="n">
        <v>10.4</v>
      </c>
      <c r="J394" t="n">
        <v>0</v>
      </c>
      <c r="K394" t="n">
        <v>0</v>
      </c>
      <c r="L394" t="n">
        <v>0</v>
      </c>
      <c r="M394" t="n">
        <v>0</v>
      </c>
      <c r="N394" t="n">
        <v>0</v>
      </c>
      <c r="O394" t="n">
        <v>0</v>
      </c>
      <c r="P394" t="n">
        <v>0</v>
      </c>
      <c r="Q394" t="n">
        <v>0</v>
      </c>
      <c r="R394" t="n">
        <v>0</v>
      </c>
      <c r="S394" t="n">
        <v>0</v>
      </c>
      <c r="T394" t="n">
        <v>0</v>
      </c>
      <c r="U394" s="2" t="inlineStr"/>
    </row>
    <row r="395" ht="15" customHeight="1">
      <c r="A395" t="inlineStr">
        <is>
          <t>A 62303-2021</t>
        </is>
      </c>
      <c r="B395" t="inlineStr">
        <is>
          <t>avverkningsanmälan</t>
        </is>
      </c>
      <c r="C395" t="inlineStr">
        <is>
          <t>Avverkning för annat ändamål</t>
        </is>
      </c>
      <c r="D395" s="1" t="n">
        <v>44503</v>
      </c>
      <c r="E395" s="1" t="n">
        <v>46217</v>
      </c>
      <c r="F395" t="inlineStr">
        <is>
          <t>VÄSTRA GÖTALANDS LÄN</t>
        </is>
      </c>
      <c r="G395" t="inlineStr">
        <is>
          <t>DALS-ED</t>
        </is>
      </c>
      <c r="H395" t="inlineStr">
        <is>
          <t>Kyrkan</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14012-2023</t>
        </is>
      </c>
      <c r="B396" t="inlineStr">
        <is>
          <t>avverkningsanmälan</t>
        </is>
      </c>
      <c r="C396" t="inlineStr">
        <is>
          <t>Föryngringsavverkning</t>
        </is>
      </c>
      <c r="D396" s="1" t="n">
        <v>45008</v>
      </c>
      <c r="E396" s="1" t="n">
        <v>46217</v>
      </c>
      <c r="F396" t="inlineStr">
        <is>
          <t>VÄSTRA GÖTALANDS LÄN</t>
        </is>
      </c>
      <c r="G396" t="inlineStr">
        <is>
          <t>DALS-ED</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42823-2023</t>
        </is>
      </c>
      <c r="B397" t="inlineStr">
        <is>
          <t>avverkningsanmälan</t>
        </is>
      </c>
      <c r="C397" t="inlineStr">
        <is>
          <t>Föryngringsavverkning</t>
        </is>
      </c>
      <c r="D397" s="1" t="n">
        <v>45182</v>
      </c>
      <c r="E397" s="1" t="n">
        <v>46217</v>
      </c>
      <c r="F397" t="inlineStr">
        <is>
          <t>VÄSTRA GÖTALANDS LÄN</t>
        </is>
      </c>
      <c r="G397" t="inlineStr">
        <is>
          <t>DALS-ED</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32797-2023</t>
        </is>
      </c>
      <c r="B398" t="inlineStr">
        <is>
          <t>avverkningsanmälan</t>
        </is>
      </c>
      <c r="C398" t="inlineStr">
        <is>
          <t>Föryngringsavverkning</t>
        </is>
      </c>
      <c r="D398" s="1" t="n">
        <v>45124</v>
      </c>
      <c r="E398" s="1" t="n">
        <v>46217</v>
      </c>
      <c r="F398" t="inlineStr">
        <is>
          <t>VÄSTRA GÖTALANDS LÄN</t>
        </is>
      </c>
      <c r="G398" t="inlineStr">
        <is>
          <t>DALS-ED</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28702-2023</t>
        </is>
      </c>
      <c r="B399" t="inlineStr">
        <is>
          <t>avverkningsanmälan</t>
        </is>
      </c>
      <c r="C399" t="inlineStr">
        <is>
          <t>Föryngringsavverkning</t>
        </is>
      </c>
      <c r="D399" s="1" t="n">
        <v>45103</v>
      </c>
      <c r="E399" s="1" t="n">
        <v>46217</v>
      </c>
      <c r="F399" t="inlineStr">
        <is>
          <t>VÄSTRA GÖTALANDS LÄN</t>
        </is>
      </c>
      <c r="G399" t="inlineStr">
        <is>
          <t>DALS-ED</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37874-2024</t>
        </is>
      </c>
      <c r="B400" t="inlineStr">
        <is>
          <t>avverkningsanmälan</t>
        </is>
      </c>
      <c r="C400" t="inlineStr">
        <is>
          <t>Föryngringsavverkning</t>
        </is>
      </c>
      <c r="D400" s="1" t="n">
        <v>45544</v>
      </c>
      <c r="E400" s="1" t="n">
        <v>46217</v>
      </c>
      <c r="F400" t="inlineStr">
        <is>
          <t>VÄSTRA GÖTALANDS LÄN</t>
        </is>
      </c>
      <c r="G400" t="inlineStr">
        <is>
          <t>DALS-ED</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54183-2024</t>
        </is>
      </c>
      <c r="B401" t="inlineStr">
        <is>
          <t>avverkningsanmälan</t>
        </is>
      </c>
      <c r="C401" t="inlineStr">
        <is>
          <t>Föryngringsavverkning</t>
        </is>
      </c>
      <c r="D401" s="1" t="n">
        <v>45616</v>
      </c>
      <c r="E401" s="1" t="n">
        <v>46217</v>
      </c>
      <c r="F401" t="inlineStr">
        <is>
          <t>VÄSTRA GÖTALANDS LÄN</t>
        </is>
      </c>
      <c r="G401" t="inlineStr">
        <is>
          <t>DALS-ED</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59530-2022</t>
        </is>
      </c>
      <c r="B402" t="inlineStr">
        <is>
          <t>avverkningsanmälan</t>
        </is>
      </c>
      <c r="C402" t="inlineStr">
        <is>
          <t>Föryngringsavverkning</t>
        </is>
      </c>
      <c r="D402" s="1" t="n">
        <v>44907</v>
      </c>
      <c r="E402" s="1" t="n">
        <v>46217</v>
      </c>
      <c r="F402" t="inlineStr">
        <is>
          <t>VÄSTRA GÖTALANDS LÄN</t>
        </is>
      </c>
      <c r="G402" t="inlineStr">
        <is>
          <t>DALS-ED</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12693-2024</t>
        </is>
      </c>
      <c r="B403" t="inlineStr">
        <is>
          <t>avverkningsanmälan</t>
        </is>
      </c>
      <c r="C403" t="inlineStr">
        <is>
          <t>Föryngringsavverkning</t>
        </is>
      </c>
      <c r="D403" s="1" t="n">
        <v>45384</v>
      </c>
      <c r="E403" s="1" t="n">
        <v>46217</v>
      </c>
      <c r="F403" t="inlineStr">
        <is>
          <t>VÄSTRA GÖTALANDS LÄN</t>
        </is>
      </c>
      <c r="G403" t="inlineStr">
        <is>
          <t>DALS-ED</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61736-2023</t>
        </is>
      </c>
      <c r="B404" t="inlineStr">
        <is>
          <t>avverkningsanmälan</t>
        </is>
      </c>
      <c r="C404" t="inlineStr">
        <is>
          <t>Föryngringsavverkning</t>
        </is>
      </c>
      <c r="D404" s="1" t="n">
        <v>45265</v>
      </c>
      <c r="E404" s="1" t="n">
        <v>46217</v>
      </c>
      <c r="F404" t="inlineStr">
        <is>
          <t>VÄSTRA GÖTALANDS LÄN</t>
        </is>
      </c>
      <c r="G404" t="inlineStr">
        <is>
          <t>DALS-ED</t>
        </is>
      </c>
      <c r="I404" t="n">
        <v>4.5</v>
      </c>
      <c r="J404" t="n">
        <v>0</v>
      </c>
      <c r="K404" t="n">
        <v>0</v>
      </c>
      <c r="L404" t="n">
        <v>0</v>
      </c>
      <c r="M404" t="n">
        <v>0</v>
      </c>
      <c r="N404" t="n">
        <v>0</v>
      </c>
      <c r="O404" t="n">
        <v>0</v>
      </c>
      <c r="P404" t="n">
        <v>0</v>
      </c>
      <c r="Q404" t="n">
        <v>0</v>
      </c>
      <c r="R404" t="n">
        <v>0</v>
      </c>
      <c r="S404" t="n">
        <v>0</v>
      </c>
      <c r="T404" t="n">
        <v>0</v>
      </c>
      <c r="U404" s="2" t="inlineStr"/>
    </row>
    <row r="405" ht="15" customHeight="1">
      <c r="A405" t="inlineStr">
        <is>
          <t>A 47617-2023</t>
        </is>
      </c>
      <c r="B405" t="inlineStr">
        <is>
          <t>avverkningsanmälan</t>
        </is>
      </c>
      <c r="C405" t="inlineStr">
        <is>
          <t>Föryngringsavverkning</t>
        </is>
      </c>
      <c r="D405" s="1" t="n">
        <v>45198</v>
      </c>
      <c r="E405" s="1" t="n">
        <v>46217</v>
      </c>
      <c r="F405" t="inlineStr">
        <is>
          <t>VÄSTRA GÖTALANDS LÄN</t>
        </is>
      </c>
      <c r="G405" t="inlineStr">
        <is>
          <t>DALS-ED</t>
        </is>
      </c>
      <c r="I405" t="n">
        <v>6</v>
      </c>
      <c r="J405" t="n">
        <v>0</v>
      </c>
      <c r="K405" t="n">
        <v>0</v>
      </c>
      <c r="L405" t="n">
        <v>0</v>
      </c>
      <c r="M405" t="n">
        <v>0</v>
      </c>
      <c r="N405" t="n">
        <v>0</v>
      </c>
      <c r="O405" t="n">
        <v>0</v>
      </c>
      <c r="P405" t="n">
        <v>0</v>
      </c>
      <c r="Q405" t="n">
        <v>0</v>
      </c>
      <c r="R405" t="n">
        <v>0</v>
      </c>
      <c r="S405" t="n">
        <v>0</v>
      </c>
      <c r="T405" t="n">
        <v>0</v>
      </c>
      <c r="U405" s="2" t="inlineStr"/>
    </row>
    <row r="406" ht="15" customHeight="1">
      <c r="A406" t="inlineStr">
        <is>
          <t>A 38392-2022</t>
        </is>
      </c>
      <c r="B406" t="inlineStr">
        <is>
          <t>avverkningsanmälan</t>
        </is>
      </c>
      <c r="C406" t="inlineStr">
        <is>
          <t>Föryngringsavverkning</t>
        </is>
      </c>
      <c r="D406" s="1" t="n">
        <v>44812</v>
      </c>
      <c r="E406" s="1" t="n">
        <v>46217</v>
      </c>
      <c r="F406" t="inlineStr">
        <is>
          <t>VÄSTRA GÖTALANDS LÄN</t>
        </is>
      </c>
      <c r="G406" t="inlineStr">
        <is>
          <t>DALS-ED</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36464-2023</t>
        </is>
      </c>
      <c r="B407" t="inlineStr">
        <is>
          <t>avverkningsanmälan</t>
        </is>
      </c>
      <c r="C407" t="inlineStr">
        <is>
          <t>Föryngringsavverkning</t>
        </is>
      </c>
      <c r="D407" s="1" t="n">
        <v>45151</v>
      </c>
      <c r="E407" s="1" t="n">
        <v>46217</v>
      </c>
      <c r="F407" t="inlineStr">
        <is>
          <t>VÄSTRA GÖTALANDS LÄN</t>
        </is>
      </c>
      <c r="G407" t="inlineStr">
        <is>
          <t>DALS-ED</t>
        </is>
      </c>
      <c r="I407" t="n">
        <v>6.2</v>
      </c>
      <c r="J407" t="n">
        <v>0</v>
      </c>
      <c r="K407" t="n">
        <v>0</v>
      </c>
      <c r="L407" t="n">
        <v>0</v>
      </c>
      <c r="M407" t="n">
        <v>0</v>
      </c>
      <c r="N407" t="n">
        <v>0</v>
      </c>
      <c r="O407" t="n">
        <v>0</v>
      </c>
      <c r="P407" t="n">
        <v>0</v>
      </c>
      <c r="Q407" t="n">
        <v>0</v>
      </c>
      <c r="R407" t="n">
        <v>0</v>
      </c>
      <c r="S407" t="n">
        <v>0</v>
      </c>
      <c r="T407" t="n">
        <v>0</v>
      </c>
      <c r="U407" s="2" t="inlineStr"/>
    </row>
    <row r="408" ht="15" customHeight="1">
      <c r="A408" t="inlineStr">
        <is>
          <t>A 12561-2025</t>
        </is>
      </c>
      <c r="B408" t="inlineStr">
        <is>
          <t>avverkningsanmälan</t>
        </is>
      </c>
      <c r="C408" t="inlineStr">
        <is>
          <t>Föryngringsavverkning</t>
        </is>
      </c>
      <c r="D408" s="1" t="n">
        <v>45731</v>
      </c>
      <c r="E408" s="1" t="n">
        <v>46217</v>
      </c>
      <c r="F408" t="inlineStr">
        <is>
          <t>VÄSTRA GÖTALANDS LÄN</t>
        </is>
      </c>
      <c r="G408" t="inlineStr">
        <is>
          <t>DALS-ED</t>
        </is>
      </c>
      <c r="I408" t="n">
        <v>0.4</v>
      </c>
      <c r="J408" t="n">
        <v>0</v>
      </c>
      <c r="K408" t="n">
        <v>0</v>
      </c>
      <c r="L408" t="n">
        <v>0</v>
      </c>
      <c r="M408" t="n">
        <v>0</v>
      </c>
      <c r="N408" t="n">
        <v>0</v>
      </c>
      <c r="O408" t="n">
        <v>0</v>
      </c>
      <c r="P408" t="n">
        <v>0</v>
      </c>
      <c r="Q408" t="n">
        <v>0</v>
      </c>
      <c r="R408" t="n">
        <v>0</v>
      </c>
      <c r="S408" t="n">
        <v>0</v>
      </c>
      <c r="T408" t="n">
        <v>0</v>
      </c>
      <c r="U408" s="2" t="inlineStr"/>
    </row>
    <row r="409" ht="15" customHeight="1">
      <c r="A409" t="inlineStr">
        <is>
          <t>A 42676-2024</t>
        </is>
      </c>
      <c r="B409" t="inlineStr">
        <is>
          <t>avverkningsanmälan</t>
        </is>
      </c>
      <c r="C409" t="inlineStr">
        <is>
          <t>Föryngringsavverkning</t>
        </is>
      </c>
      <c r="D409" s="1" t="n">
        <v>45566</v>
      </c>
      <c r="E409" s="1" t="n">
        <v>46217</v>
      </c>
      <c r="F409" t="inlineStr">
        <is>
          <t>VÄSTRA GÖTALANDS LÄN</t>
        </is>
      </c>
      <c r="G409" t="inlineStr">
        <is>
          <t>DALS-ED</t>
        </is>
      </c>
      <c r="I409" t="n">
        <v>3.5</v>
      </c>
      <c r="J409" t="n">
        <v>0</v>
      </c>
      <c r="K409" t="n">
        <v>0</v>
      </c>
      <c r="L409" t="n">
        <v>0</v>
      </c>
      <c r="M409" t="n">
        <v>0</v>
      </c>
      <c r="N409" t="n">
        <v>0</v>
      </c>
      <c r="O409" t="n">
        <v>0</v>
      </c>
      <c r="P409" t="n">
        <v>0</v>
      </c>
      <c r="Q409" t="n">
        <v>0</v>
      </c>
      <c r="R409" t="n">
        <v>0</v>
      </c>
      <c r="S409" t="n">
        <v>0</v>
      </c>
      <c r="T409" t="n">
        <v>0</v>
      </c>
      <c r="U409" s="2" t="inlineStr"/>
    </row>
    <row r="410" ht="15" customHeight="1">
      <c r="A410" t="inlineStr">
        <is>
          <t>A 20948-2025</t>
        </is>
      </c>
      <c r="B410" t="inlineStr">
        <is>
          <t>avverkningsanmälan</t>
        </is>
      </c>
      <c r="C410" t="inlineStr">
        <is>
          <t>Föryngringsavverkning</t>
        </is>
      </c>
      <c r="D410" s="1" t="n">
        <v>45777</v>
      </c>
      <c r="E410" s="1" t="n">
        <v>46217</v>
      </c>
      <c r="F410" t="inlineStr">
        <is>
          <t>VÄSTRA GÖTALANDS LÄN</t>
        </is>
      </c>
      <c r="G410" t="inlineStr">
        <is>
          <t>DALS-ED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61487-2022</t>
        </is>
      </c>
      <c r="B411" t="inlineStr">
        <is>
          <t>avverkningsanmälan</t>
        </is>
      </c>
      <c r="C411" t="inlineStr">
        <is>
          <t>Föryngringsavverkning</t>
        </is>
      </c>
      <c r="D411" s="1" t="n">
        <v>44910</v>
      </c>
      <c r="E411" s="1" t="n">
        <v>46217</v>
      </c>
      <c r="F411" t="inlineStr">
        <is>
          <t>VÄSTRA GÖTALANDS LÄN</t>
        </is>
      </c>
      <c r="G411" t="inlineStr">
        <is>
          <t>DALS-ED</t>
        </is>
      </c>
      <c r="H411" t="inlineStr">
        <is>
          <t>Kyrkan</t>
        </is>
      </c>
      <c r="I411" t="n">
        <v>9.4</v>
      </c>
      <c r="J411" t="n">
        <v>0</v>
      </c>
      <c r="K411" t="n">
        <v>0</v>
      </c>
      <c r="L411" t="n">
        <v>0</v>
      </c>
      <c r="M411" t="n">
        <v>0</v>
      </c>
      <c r="N411" t="n">
        <v>0</v>
      </c>
      <c r="O411" t="n">
        <v>0</v>
      </c>
      <c r="P411" t="n">
        <v>0</v>
      </c>
      <c r="Q411" t="n">
        <v>0</v>
      </c>
      <c r="R411" t="n">
        <v>0</v>
      </c>
      <c r="S411" t="n">
        <v>0</v>
      </c>
      <c r="T411" t="n">
        <v>0</v>
      </c>
      <c r="U411" s="2" t="inlineStr"/>
    </row>
    <row r="412" ht="15" customHeight="1">
      <c r="A412" t="inlineStr">
        <is>
          <t>A 21571-2025</t>
        </is>
      </c>
      <c r="B412" t="inlineStr">
        <is>
          <t>avverkningsanmälan</t>
        </is>
      </c>
      <c r="C412" t="inlineStr">
        <is>
          <t>Föryngringsavverkning</t>
        </is>
      </c>
      <c r="D412" s="1" t="n">
        <v>45782</v>
      </c>
      <c r="E412" s="1" t="n">
        <v>46217</v>
      </c>
      <c r="F412" t="inlineStr">
        <is>
          <t>VÄSTRA GÖTALANDS LÄN</t>
        </is>
      </c>
      <c r="G412" t="inlineStr">
        <is>
          <t>DALS-ED</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22293-2025</t>
        </is>
      </c>
      <c r="B413" t="inlineStr">
        <is>
          <t>avverkningsanmälan</t>
        </is>
      </c>
      <c r="C413" t="inlineStr">
        <is>
          <t>Föryngringsavverkning</t>
        </is>
      </c>
      <c r="D413" s="1" t="n">
        <v>45786</v>
      </c>
      <c r="E413" s="1" t="n">
        <v>46217</v>
      </c>
      <c r="F413" t="inlineStr">
        <is>
          <t>VÄSTRA GÖTALANDS LÄN</t>
        </is>
      </c>
      <c r="G413" t="inlineStr">
        <is>
          <t>DALS-ED</t>
        </is>
      </c>
      <c r="I413" t="n">
        <v>8</v>
      </c>
      <c r="J413" t="n">
        <v>0</v>
      </c>
      <c r="K413" t="n">
        <v>0</v>
      </c>
      <c r="L413" t="n">
        <v>0</v>
      </c>
      <c r="M413" t="n">
        <v>0</v>
      </c>
      <c r="N413" t="n">
        <v>0</v>
      </c>
      <c r="O413" t="n">
        <v>0</v>
      </c>
      <c r="P413" t="n">
        <v>0</v>
      </c>
      <c r="Q413" t="n">
        <v>0</v>
      </c>
      <c r="R413" t="n">
        <v>0</v>
      </c>
      <c r="S413" t="n">
        <v>0</v>
      </c>
      <c r="T413" t="n">
        <v>0</v>
      </c>
      <c r="U413" s="2" t="inlineStr"/>
    </row>
    <row r="414" ht="15" customHeight="1">
      <c r="A414" t="inlineStr">
        <is>
          <t>A 12548-2023</t>
        </is>
      </c>
      <c r="B414" t="inlineStr">
        <is>
          <t>avverkningsanmälan</t>
        </is>
      </c>
      <c r="C414" t="inlineStr">
        <is>
          <t>Föryngringsavverkning</t>
        </is>
      </c>
      <c r="D414" s="1" t="n">
        <v>45000</v>
      </c>
      <c r="E414" s="1" t="n">
        <v>46217</v>
      </c>
      <c r="F414" t="inlineStr">
        <is>
          <t>VÄSTRA GÖTALANDS LÄN</t>
        </is>
      </c>
      <c r="G414" t="inlineStr">
        <is>
          <t>DALS-ED</t>
        </is>
      </c>
      <c r="I414" t="n">
        <v>2.7</v>
      </c>
      <c r="J414" t="n">
        <v>0</v>
      </c>
      <c r="K414" t="n">
        <v>0</v>
      </c>
      <c r="L414" t="n">
        <v>0</v>
      </c>
      <c r="M414" t="n">
        <v>0</v>
      </c>
      <c r="N414" t="n">
        <v>0</v>
      </c>
      <c r="O414" t="n">
        <v>0</v>
      </c>
      <c r="P414" t="n">
        <v>0</v>
      </c>
      <c r="Q414" t="n">
        <v>0</v>
      </c>
      <c r="R414" t="n">
        <v>0</v>
      </c>
      <c r="S414" t="n">
        <v>0</v>
      </c>
      <c r="T414" t="n">
        <v>0</v>
      </c>
      <c r="U414" s="2" t="inlineStr"/>
    </row>
    <row r="415" ht="15" customHeight="1">
      <c r="A415" t="inlineStr">
        <is>
          <t>A 22077-2025</t>
        </is>
      </c>
      <c r="B415" t="inlineStr">
        <is>
          <t>avverkningsanmälan</t>
        </is>
      </c>
      <c r="C415" t="inlineStr">
        <is>
          <t>Föryngringsavverkning</t>
        </is>
      </c>
      <c r="D415" s="1" t="n">
        <v>45785</v>
      </c>
      <c r="E415" s="1" t="n">
        <v>46217</v>
      </c>
      <c r="F415" t="inlineStr">
        <is>
          <t>VÄSTRA GÖTALANDS LÄN</t>
        </is>
      </c>
      <c r="G415" t="inlineStr">
        <is>
          <t>DALS-ED</t>
        </is>
      </c>
      <c r="I415" t="n">
        <v>10.9</v>
      </c>
      <c r="J415" t="n">
        <v>0</v>
      </c>
      <c r="K415" t="n">
        <v>0</v>
      </c>
      <c r="L415" t="n">
        <v>0</v>
      </c>
      <c r="M415" t="n">
        <v>0</v>
      </c>
      <c r="N415" t="n">
        <v>0</v>
      </c>
      <c r="O415" t="n">
        <v>0</v>
      </c>
      <c r="P415" t="n">
        <v>0</v>
      </c>
      <c r="Q415" t="n">
        <v>0</v>
      </c>
      <c r="R415" t="n">
        <v>0</v>
      </c>
      <c r="S415" t="n">
        <v>0</v>
      </c>
      <c r="T415" t="n">
        <v>0</v>
      </c>
      <c r="U415" s="2" t="inlineStr"/>
    </row>
    <row r="416" ht="15" customHeight="1">
      <c r="A416" t="inlineStr">
        <is>
          <t>A 22069-2025</t>
        </is>
      </c>
      <c r="B416" t="inlineStr">
        <is>
          <t>avverkningsanmälan</t>
        </is>
      </c>
      <c r="C416" t="inlineStr">
        <is>
          <t>Föryngringsavverkning</t>
        </is>
      </c>
      <c r="D416" s="1" t="n">
        <v>45785</v>
      </c>
      <c r="E416" s="1" t="n">
        <v>46217</v>
      </c>
      <c r="F416" t="inlineStr">
        <is>
          <t>VÄSTRA GÖTALANDS LÄN</t>
        </is>
      </c>
      <c r="G416" t="inlineStr">
        <is>
          <t>DALS-ED</t>
        </is>
      </c>
      <c r="H416" t="inlineStr">
        <is>
          <t>Övriga Aktiebolag</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22075-2025</t>
        </is>
      </c>
      <c r="B417" t="inlineStr">
        <is>
          <t>avverkningsanmälan</t>
        </is>
      </c>
      <c r="C417" t="inlineStr">
        <is>
          <t>Föryngringsavverkning</t>
        </is>
      </c>
      <c r="D417" s="1" t="n">
        <v>45785</v>
      </c>
      <c r="E417" s="1" t="n">
        <v>46217</v>
      </c>
      <c r="F417" t="inlineStr">
        <is>
          <t>VÄSTRA GÖTALANDS LÄN</t>
        </is>
      </c>
      <c r="G417" t="inlineStr">
        <is>
          <t>DALS-ED</t>
        </is>
      </c>
      <c r="H417" t="inlineStr">
        <is>
          <t>Övriga Aktiebolag</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22059-2025</t>
        </is>
      </c>
      <c r="B418" t="inlineStr">
        <is>
          <t>avverkningsanmälan</t>
        </is>
      </c>
      <c r="C418" t="inlineStr">
        <is>
          <t>Föryngringsavverkning</t>
        </is>
      </c>
      <c r="D418" s="1" t="n">
        <v>45785</v>
      </c>
      <c r="E418" s="1" t="n">
        <v>46217</v>
      </c>
      <c r="F418" t="inlineStr">
        <is>
          <t>VÄSTRA GÖTALANDS LÄN</t>
        </is>
      </c>
      <c r="G418" t="inlineStr">
        <is>
          <t>DALS-ED</t>
        </is>
      </c>
      <c r="H418" t="inlineStr">
        <is>
          <t>Övriga Aktiebolag</t>
        </is>
      </c>
      <c r="I418" t="n">
        <v>2.9</v>
      </c>
      <c r="J418" t="n">
        <v>0</v>
      </c>
      <c r="K418" t="n">
        <v>0</v>
      </c>
      <c r="L418" t="n">
        <v>0</v>
      </c>
      <c r="M418" t="n">
        <v>0</v>
      </c>
      <c r="N418" t="n">
        <v>0</v>
      </c>
      <c r="O418" t="n">
        <v>0</v>
      </c>
      <c r="P418" t="n">
        <v>0</v>
      </c>
      <c r="Q418" t="n">
        <v>0</v>
      </c>
      <c r="R418" t="n">
        <v>0</v>
      </c>
      <c r="S418" t="n">
        <v>0</v>
      </c>
      <c r="T418" t="n">
        <v>0</v>
      </c>
      <c r="U418" s="2" t="inlineStr"/>
    </row>
    <row r="419" ht="15" customHeight="1">
      <c r="A419" t="inlineStr">
        <is>
          <t>A 22847-2025</t>
        </is>
      </c>
      <c r="B419" t="inlineStr">
        <is>
          <t>avverkningsanmälan</t>
        </is>
      </c>
      <c r="C419" t="inlineStr">
        <is>
          <t>Föryngringsavverkning</t>
        </is>
      </c>
      <c r="D419" s="1" t="n">
        <v>45790</v>
      </c>
      <c r="E419" s="1" t="n">
        <v>46217</v>
      </c>
      <c r="F419" t="inlineStr">
        <is>
          <t>VÄSTRA GÖTALANDS LÄN</t>
        </is>
      </c>
      <c r="G419" t="inlineStr">
        <is>
          <t>DALS-ED</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22901-2025</t>
        </is>
      </c>
      <c r="B420" t="inlineStr">
        <is>
          <t>avverkningsanmälan</t>
        </is>
      </c>
      <c r="C420" t="inlineStr">
        <is>
          <t>Föryngringsavverkning</t>
        </is>
      </c>
      <c r="D420" s="1" t="n">
        <v>45790</v>
      </c>
      <c r="E420" s="1" t="n">
        <v>46217</v>
      </c>
      <c r="F420" t="inlineStr">
        <is>
          <t>VÄSTRA GÖTALANDS LÄN</t>
        </is>
      </c>
      <c r="G420" t="inlineStr">
        <is>
          <t>DALS-ED</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8888-2025</t>
        </is>
      </c>
      <c r="B421" t="inlineStr">
        <is>
          <t>avverkningsanmälan</t>
        </is>
      </c>
      <c r="C421" t="inlineStr">
        <is>
          <t>Föryngringsavverkning</t>
        </is>
      </c>
      <c r="D421" s="1" t="n">
        <v>45713</v>
      </c>
      <c r="E421" s="1" t="n">
        <v>46217</v>
      </c>
      <c r="F421" t="inlineStr">
        <is>
          <t>VÄSTRA GÖTALANDS LÄN</t>
        </is>
      </c>
      <c r="G421" t="inlineStr">
        <is>
          <t>DALS-ED</t>
        </is>
      </c>
      <c r="I421" t="n">
        <v>6.8</v>
      </c>
      <c r="J421" t="n">
        <v>0</v>
      </c>
      <c r="K421" t="n">
        <v>0</v>
      </c>
      <c r="L421" t="n">
        <v>0</v>
      </c>
      <c r="M421" t="n">
        <v>0</v>
      </c>
      <c r="N421" t="n">
        <v>0</v>
      </c>
      <c r="O421" t="n">
        <v>0</v>
      </c>
      <c r="P421" t="n">
        <v>0</v>
      </c>
      <c r="Q421" t="n">
        <v>0</v>
      </c>
      <c r="R421" t="n">
        <v>0</v>
      </c>
      <c r="S421" t="n">
        <v>0</v>
      </c>
      <c r="T421" t="n">
        <v>0</v>
      </c>
      <c r="U421" s="2" t="inlineStr"/>
    </row>
    <row r="422" ht="15" customHeight="1">
      <c r="A422" t="inlineStr">
        <is>
          <t>A 14924-2025</t>
        </is>
      </c>
      <c r="B422" t="inlineStr">
        <is>
          <t>avverkningsanmälan</t>
        </is>
      </c>
      <c r="C422" t="inlineStr">
        <is>
          <t>Föryngringsavverkning</t>
        </is>
      </c>
      <c r="D422" s="1" t="n">
        <v>45743</v>
      </c>
      <c r="E422" s="1" t="n">
        <v>46217</v>
      </c>
      <c r="F422" t="inlineStr">
        <is>
          <t>VÄSTRA GÖTALANDS LÄN</t>
        </is>
      </c>
      <c r="G422" t="inlineStr">
        <is>
          <t>DALS-ED</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10976-2025</t>
        </is>
      </c>
      <c r="B423" t="inlineStr">
        <is>
          <t>avverkningsanmälan</t>
        </is>
      </c>
      <c r="C423" t="inlineStr">
        <is>
          <t>Föryngringsavverkning</t>
        </is>
      </c>
      <c r="D423" s="1" t="n">
        <v>45723</v>
      </c>
      <c r="E423" s="1" t="n">
        <v>46217</v>
      </c>
      <c r="F423" t="inlineStr">
        <is>
          <t>VÄSTRA GÖTALANDS LÄN</t>
        </is>
      </c>
      <c r="G423" t="inlineStr">
        <is>
          <t>DALS-ED</t>
        </is>
      </c>
      <c r="I423" t="n">
        <v>4.1</v>
      </c>
      <c r="J423" t="n">
        <v>0</v>
      </c>
      <c r="K423" t="n">
        <v>0</v>
      </c>
      <c r="L423" t="n">
        <v>0</v>
      </c>
      <c r="M423" t="n">
        <v>0</v>
      </c>
      <c r="N423" t="n">
        <v>0</v>
      </c>
      <c r="O423" t="n">
        <v>0</v>
      </c>
      <c r="P423" t="n">
        <v>0</v>
      </c>
      <c r="Q423" t="n">
        <v>0</v>
      </c>
      <c r="R423" t="n">
        <v>0</v>
      </c>
      <c r="S423" t="n">
        <v>0</v>
      </c>
      <c r="T423" t="n">
        <v>0</v>
      </c>
      <c r="U423" s="2" t="inlineStr"/>
    </row>
    <row r="424" ht="15" customHeight="1">
      <c r="A424" t="inlineStr">
        <is>
          <t>A 23636-2025</t>
        </is>
      </c>
      <c r="B424" t="inlineStr">
        <is>
          <t>avverkningsanmälan</t>
        </is>
      </c>
      <c r="C424" t="inlineStr">
        <is>
          <t>Föryngringsavverkning</t>
        </is>
      </c>
      <c r="D424" s="1" t="n">
        <v>45792</v>
      </c>
      <c r="E424" s="1" t="n">
        <v>46217</v>
      </c>
      <c r="F424" t="inlineStr">
        <is>
          <t>VÄSTRA GÖTALANDS LÄN</t>
        </is>
      </c>
      <c r="G424" t="inlineStr">
        <is>
          <t>DALS-ED</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9975-2025</t>
        </is>
      </c>
      <c r="B425" t="inlineStr">
        <is>
          <t>avverkningsanmälan</t>
        </is>
      </c>
      <c r="C425" t="inlineStr">
        <is>
          <t>Föryngringsavverkning</t>
        </is>
      </c>
      <c r="D425" s="1" t="n">
        <v>45719</v>
      </c>
      <c r="E425" s="1" t="n">
        <v>46217</v>
      </c>
      <c r="F425" t="inlineStr">
        <is>
          <t>VÄSTRA GÖTALANDS LÄN</t>
        </is>
      </c>
      <c r="G425" t="inlineStr">
        <is>
          <t>DALS-ED</t>
        </is>
      </c>
      <c r="I425" t="n">
        <v>3.1</v>
      </c>
      <c r="J425" t="n">
        <v>0</v>
      </c>
      <c r="K425" t="n">
        <v>0</v>
      </c>
      <c r="L425" t="n">
        <v>0</v>
      </c>
      <c r="M425" t="n">
        <v>0</v>
      </c>
      <c r="N425" t="n">
        <v>0</v>
      </c>
      <c r="O425" t="n">
        <v>0</v>
      </c>
      <c r="P425" t="n">
        <v>0</v>
      </c>
      <c r="Q425" t="n">
        <v>0</v>
      </c>
      <c r="R425" t="n">
        <v>0</v>
      </c>
      <c r="S425" t="n">
        <v>0</v>
      </c>
      <c r="T425" t="n">
        <v>0</v>
      </c>
      <c r="U425" s="2" t="inlineStr"/>
    </row>
    <row r="426" ht="15" customHeight="1">
      <c r="A426" t="inlineStr">
        <is>
          <t>A 8875-2025</t>
        </is>
      </c>
      <c r="B426" t="inlineStr">
        <is>
          <t>avverkningsanmälan</t>
        </is>
      </c>
      <c r="C426" t="inlineStr">
        <is>
          <t>Föryngringsavverkning</t>
        </is>
      </c>
      <c r="D426" s="1" t="n">
        <v>45713</v>
      </c>
      <c r="E426" s="1" t="n">
        <v>46217</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14934-2025</t>
        </is>
      </c>
      <c r="B427" t="inlineStr">
        <is>
          <t>avverkningsanmälan</t>
        </is>
      </c>
      <c r="C427" t="inlineStr">
        <is>
          <t>Föryngringsavverkning</t>
        </is>
      </c>
      <c r="D427" s="1" t="n">
        <v>45743</v>
      </c>
      <c r="E427" s="1" t="n">
        <v>46217</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23956-2025</t>
        </is>
      </c>
      <c r="B428" t="inlineStr">
        <is>
          <t>avverkningsanmälan</t>
        </is>
      </c>
      <c r="C428" t="inlineStr">
        <is>
          <t>Föryngringsavverkning</t>
        </is>
      </c>
      <c r="D428" s="1" t="n">
        <v>45796</v>
      </c>
      <c r="E428" s="1" t="n">
        <v>46217</v>
      </c>
      <c r="F428" t="inlineStr">
        <is>
          <t>VÄSTRA GÖTALANDS LÄN</t>
        </is>
      </c>
      <c r="G428" t="inlineStr">
        <is>
          <t>DALS-ED</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23962-2025</t>
        </is>
      </c>
      <c r="B429" t="inlineStr">
        <is>
          <t>avverkningsanmälan</t>
        </is>
      </c>
      <c r="C429" t="inlineStr">
        <is>
          <t>Föryngringsavverkning</t>
        </is>
      </c>
      <c r="D429" s="1" t="n">
        <v>45796</v>
      </c>
      <c r="E429" s="1" t="n">
        <v>46217</v>
      </c>
      <c r="F429" t="inlineStr">
        <is>
          <t>VÄSTRA GÖTALANDS LÄN</t>
        </is>
      </c>
      <c r="G429" t="inlineStr">
        <is>
          <t>DALS-ED</t>
        </is>
      </c>
      <c r="I429" t="n">
        <v>2.3</v>
      </c>
      <c r="J429" t="n">
        <v>0</v>
      </c>
      <c r="K429" t="n">
        <v>0</v>
      </c>
      <c r="L429" t="n">
        <v>0</v>
      </c>
      <c r="M429" t="n">
        <v>0</v>
      </c>
      <c r="N429" t="n">
        <v>0</v>
      </c>
      <c r="O429" t="n">
        <v>0</v>
      </c>
      <c r="P429" t="n">
        <v>0</v>
      </c>
      <c r="Q429" t="n">
        <v>0</v>
      </c>
      <c r="R429" t="n">
        <v>0</v>
      </c>
      <c r="S429" t="n">
        <v>0</v>
      </c>
      <c r="T429" t="n">
        <v>0</v>
      </c>
      <c r="U429" s="2" t="inlineStr"/>
    </row>
    <row r="430" ht="15" customHeight="1">
      <c r="A430" t="inlineStr">
        <is>
          <t>A 24466-2025</t>
        </is>
      </c>
      <c r="B430" t="inlineStr">
        <is>
          <t>avverkningsanmälan</t>
        </is>
      </c>
      <c r="C430" t="inlineStr">
        <is>
          <t>Föryngringsavverkning</t>
        </is>
      </c>
      <c r="D430" s="1" t="n">
        <v>45798</v>
      </c>
      <c r="E430" s="1" t="n">
        <v>46217</v>
      </c>
      <c r="F430" t="inlineStr">
        <is>
          <t>VÄSTRA GÖTALANDS LÄN</t>
        </is>
      </c>
      <c r="G430" t="inlineStr">
        <is>
          <t>DALS-ED</t>
        </is>
      </c>
      <c r="I430" t="n">
        <v>0.4</v>
      </c>
      <c r="J430" t="n">
        <v>0</v>
      </c>
      <c r="K430" t="n">
        <v>0</v>
      </c>
      <c r="L430" t="n">
        <v>0</v>
      </c>
      <c r="M430" t="n">
        <v>0</v>
      </c>
      <c r="N430" t="n">
        <v>0</v>
      </c>
      <c r="O430" t="n">
        <v>0</v>
      </c>
      <c r="P430" t="n">
        <v>0</v>
      </c>
      <c r="Q430" t="n">
        <v>0</v>
      </c>
      <c r="R430" t="n">
        <v>0</v>
      </c>
      <c r="S430" t="n">
        <v>0</v>
      </c>
      <c r="T430" t="n">
        <v>0</v>
      </c>
      <c r="U430" s="2" t="inlineStr"/>
    </row>
    <row r="431" ht="15" customHeight="1">
      <c r="A431" t="inlineStr">
        <is>
          <t>A 981-2025</t>
        </is>
      </c>
      <c r="B431" t="inlineStr">
        <is>
          <t>avverkningsanmälan</t>
        </is>
      </c>
      <c r="C431" t="inlineStr">
        <is>
          <t>Föryngringsavverkning</t>
        </is>
      </c>
      <c r="D431" s="1" t="n">
        <v>45666</v>
      </c>
      <c r="E431" s="1" t="n">
        <v>46217</v>
      </c>
      <c r="F431" t="inlineStr">
        <is>
          <t>VÄSTRA GÖTALANDS LÄN</t>
        </is>
      </c>
      <c r="G431" t="inlineStr">
        <is>
          <t>DALS-ED</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24459-2025</t>
        </is>
      </c>
      <c r="B432" t="inlineStr">
        <is>
          <t>avverkningsanmälan</t>
        </is>
      </c>
      <c r="C432" t="inlineStr">
        <is>
          <t>Föryngringsavverkning</t>
        </is>
      </c>
      <c r="D432" s="1" t="n">
        <v>45798</v>
      </c>
      <c r="E432" s="1" t="n">
        <v>46217</v>
      </c>
      <c r="F432" t="inlineStr">
        <is>
          <t>VÄSTRA GÖTALANDS LÄN</t>
        </is>
      </c>
      <c r="G432" t="inlineStr">
        <is>
          <t>DALS-ED</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4661-2024</t>
        </is>
      </c>
      <c r="B433" t="inlineStr">
        <is>
          <t>avverkningsanmälan</t>
        </is>
      </c>
      <c r="C433" t="inlineStr">
        <is>
          <t>Föryngringsavverkning</t>
        </is>
      </c>
      <c r="D433" s="1" t="n">
        <v>45328</v>
      </c>
      <c r="E433" s="1" t="n">
        <v>46217</v>
      </c>
      <c r="F433" t="inlineStr">
        <is>
          <t>VÄSTRA GÖTALANDS LÄN</t>
        </is>
      </c>
      <c r="G433" t="inlineStr">
        <is>
          <t>DALS-ED</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1738-2025</t>
        </is>
      </c>
      <c r="B434" t="inlineStr">
        <is>
          <t>avverkningsanmälan</t>
        </is>
      </c>
      <c r="C434" t="inlineStr">
        <is>
          <t>Föryngringsavverkning</t>
        </is>
      </c>
      <c r="D434" s="1" t="n">
        <v>45671</v>
      </c>
      <c r="E434" s="1" t="n">
        <v>46217</v>
      </c>
      <c r="F434" t="inlineStr">
        <is>
          <t>VÄSTRA GÖTALANDS LÄN</t>
        </is>
      </c>
      <c r="G434" t="inlineStr">
        <is>
          <t>DALS-ED</t>
        </is>
      </c>
      <c r="I434" t="n">
        <v>3.5</v>
      </c>
      <c r="J434" t="n">
        <v>0</v>
      </c>
      <c r="K434" t="n">
        <v>0</v>
      </c>
      <c r="L434" t="n">
        <v>0</v>
      </c>
      <c r="M434" t="n">
        <v>0</v>
      </c>
      <c r="N434" t="n">
        <v>0</v>
      </c>
      <c r="O434" t="n">
        <v>0</v>
      </c>
      <c r="P434" t="n">
        <v>0</v>
      </c>
      <c r="Q434" t="n">
        <v>0</v>
      </c>
      <c r="R434" t="n">
        <v>0</v>
      </c>
      <c r="S434" t="n">
        <v>0</v>
      </c>
      <c r="T434" t="n">
        <v>0</v>
      </c>
      <c r="U434" s="2" t="inlineStr"/>
    </row>
    <row r="435" ht="15" customHeight="1">
      <c r="A435" t="inlineStr">
        <is>
          <t>A 25633-2025</t>
        </is>
      </c>
      <c r="B435" t="inlineStr">
        <is>
          <t>avverkningsanmälan</t>
        </is>
      </c>
      <c r="C435" t="inlineStr">
        <is>
          <t>Föryngringsavverkning</t>
        </is>
      </c>
      <c r="D435" s="1" t="n">
        <v>45803</v>
      </c>
      <c r="E435" s="1" t="n">
        <v>46217</v>
      </c>
      <c r="F435" t="inlineStr">
        <is>
          <t>VÄSTRA GÖTALANDS LÄN</t>
        </is>
      </c>
      <c r="G435" t="inlineStr">
        <is>
          <t>DALS-ED</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25795-2025</t>
        </is>
      </c>
      <c r="B436" t="inlineStr">
        <is>
          <t>avverkningsanmälan</t>
        </is>
      </c>
      <c r="C436" t="inlineStr">
        <is>
          <t>Föryngringsavverkning</t>
        </is>
      </c>
      <c r="D436" s="1" t="n">
        <v>45804</v>
      </c>
      <c r="E436" s="1" t="n">
        <v>46217</v>
      </c>
      <c r="F436" t="inlineStr">
        <is>
          <t>VÄSTRA GÖTALANDS LÄN</t>
        </is>
      </c>
      <c r="G436" t="inlineStr">
        <is>
          <t>DALS-ED</t>
        </is>
      </c>
      <c r="I436" t="n">
        <v>1.6</v>
      </c>
      <c r="J436" t="n">
        <v>0</v>
      </c>
      <c r="K436" t="n">
        <v>0</v>
      </c>
      <c r="L436" t="n">
        <v>0</v>
      </c>
      <c r="M436" t="n">
        <v>0</v>
      </c>
      <c r="N436" t="n">
        <v>0</v>
      </c>
      <c r="O436" t="n">
        <v>0</v>
      </c>
      <c r="P436" t="n">
        <v>0</v>
      </c>
      <c r="Q436" t="n">
        <v>0</v>
      </c>
      <c r="R436" t="n">
        <v>0</v>
      </c>
      <c r="S436" t="n">
        <v>0</v>
      </c>
      <c r="T436" t="n">
        <v>0</v>
      </c>
      <c r="U436" s="2" t="inlineStr"/>
    </row>
    <row r="437" ht="15" customHeight="1">
      <c r="A437" t="inlineStr">
        <is>
          <t>A 26864-2024</t>
        </is>
      </c>
      <c r="B437" t="inlineStr">
        <is>
          <t>avverkningsanmälan</t>
        </is>
      </c>
      <c r="C437" t="inlineStr">
        <is>
          <t>Föryngringsavverkning</t>
        </is>
      </c>
      <c r="D437" s="1" t="n">
        <v>45470</v>
      </c>
      <c r="E437" s="1" t="n">
        <v>46217</v>
      </c>
      <c r="F437" t="inlineStr">
        <is>
          <t>VÄSTRA GÖTALANDS LÄN</t>
        </is>
      </c>
      <c r="G437" t="inlineStr">
        <is>
          <t>DALS-ED</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27152-2025</t>
        </is>
      </c>
      <c r="B438" t="inlineStr">
        <is>
          <t>avverkningsanmälan</t>
        </is>
      </c>
      <c r="C438" t="inlineStr">
        <is>
          <t>Föryngringsavverkning</t>
        </is>
      </c>
      <c r="D438" s="1" t="n">
        <v>45812</v>
      </c>
      <c r="E438" s="1" t="n">
        <v>46217</v>
      </c>
      <c r="F438" t="inlineStr">
        <is>
          <t>VÄSTRA GÖTALANDS LÄN</t>
        </is>
      </c>
      <c r="G438" t="inlineStr">
        <is>
          <t>DALS-ED</t>
        </is>
      </c>
      <c r="I438" t="n">
        <v>0.3</v>
      </c>
      <c r="J438" t="n">
        <v>0</v>
      </c>
      <c r="K438" t="n">
        <v>0</v>
      </c>
      <c r="L438" t="n">
        <v>0</v>
      </c>
      <c r="M438" t="n">
        <v>0</v>
      </c>
      <c r="N438" t="n">
        <v>0</v>
      </c>
      <c r="O438" t="n">
        <v>0</v>
      </c>
      <c r="P438" t="n">
        <v>0</v>
      </c>
      <c r="Q438" t="n">
        <v>0</v>
      </c>
      <c r="R438" t="n">
        <v>0</v>
      </c>
      <c r="S438" t="n">
        <v>0</v>
      </c>
      <c r="T438" t="n">
        <v>0</v>
      </c>
      <c r="U438" s="2" t="inlineStr"/>
    </row>
    <row r="439" ht="15" customHeight="1">
      <c r="A439" t="inlineStr">
        <is>
          <t>A 26899-2025</t>
        </is>
      </c>
      <c r="B439" t="inlineStr">
        <is>
          <t>avverkningsanmälan</t>
        </is>
      </c>
      <c r="C439" t="inlineStr">
        <is>
          <t>Föryngringsavverkning</t>
        </is>
      </c>
      <c r="D439" s="1" t="n">
        <v>45811</v>
      </c>
      <c r="E439" s="1" t="n">
        <v>46217</v>
      </c>
      <c r="F439" t="inlineStr">
        <is>
          <t>VÄSTRA GÖTALANDS LÄN</t>
        </is>
      </c>
      <c r="G439" t="inlineStr">
        <is>
          <t>DALS-ED</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29686-2025</t>
        </is>
      </c>
      <c r="B440" t="inlineStr">
        <is>
          <t>avverkningsanmälan</t>
        </is>
      </c>
      <c r="C440" t="inlineStr">
        <is>
          <t>Föryngringsavverkning</t>
        </is>
      </c>
      <c r="D440" s="1" t="n">
        <v>45825</v>
      </c>
      <c r="E440" s="1" t="n">
        <v>46217</v>
      </c>
      <c r="F440" t="inlineStr">
        <is>
          <t>VÄSTRA GÖTALANDS LÄN</t>
        </is>
      </c>
      <c r="G440" t="inlineStr">
        <is>
          <t>DALS-ED</t>
        </is>
      </c>
      <c r="I440" t="n">
        <v>3.7</v>
      </c>
      <c r="J440" t="n">
        <v>0</v>
      </c>
      <c r="K440" t="n">
        <v>0</v>
      </c>
      <c r="L440" t="n">
        <v>0</v>
      </c>
      <c r="M440" t="n">
        <v>0</v>
      </c>
      <c r="N440" t="n">
        <v>0</v>
      </c>
      <c r="O440" t="n">
        <v>0</v>
      </c>
      <c r="P440" t="n">
        <v>0</v>
      </c>
      <c r="Q440" t="n">
        <v>0</v>
      </c>
      <c r="R440" t="n">
        <v>0</v>
      </c>
      <c r="S440" t="n">
        <v>0</v>
      </c>
      <c r="T440" t="n">
        <v>0</v>
      </c>
      <c r="U440" s="2" t="inlineStr"/>
    </row>
    <row r="441" ht="15" customHeight="1">
      <c r="A441" t="inlineStr">
        <is>
          <t>A 29790-2025</t>
        </is>
      </c>
      <c r="B441" t="inlineStr">
        <is>
          <t>avverkningsanmälan</t>
        </is>
      </c>
      <c r="C441" t="inlineStr">
        <is>
          <t>Föryngringsavverkning</t>
        </is>
      </c>
      <c r="D441" s="1" t="n">
        <v>45825</v>
      </c>
      <c r="E441" s="1" t="n">
        <v>46217</v>
      </c>
      <c r="F441" t="inlineStr">
        <is>
          <t>VÄSTRA GÖTALANDS LÄN</t>
        </is>
      </c>
      <c r="G441" t="inlineStr">
        <is>
          <t>DALS-ED</t>
        </is>
      </c>
      <c r="I441" t="n">
        <v>2</v>
      </c>
      <c r="J441" t="n">
        <v>0</v>
      </c>
      <c r="K441" t="n">
        <v>0</v>
      </c>
      <c r="L441" t="n">
        <v>0</v>
      </c>
      <c r="M441" t="n">
        <v>0</v>
      </c>
      <c r="N441" t="n">
        <v>0</v>
      </c>
      <c r="O441" t="n">
        <v>0</v>
      </c>
      <c r="P441" t="n">
        <v>0</v>
      </c>
      <c r="Q441" t="n">
        <v>0</v>
      </c>
      <c r="R441" t="n">
        <v>0</v>
      </c>
      <c r="S441" t="n">
        <v>0</v>
      </c>
      <c r="T441" t="n">
        <v>0</v>
      </c>
      <c r="U441" s="2" t="inlineStr"/>
    </row>
    <row r="442" ht="15" customHeight="1">
      <c r="A442" t="inlineStr">
        <is>
          <t>A 30708-2025</t>
        </is>
      </c>
      <c r="B442" t="inlineStr">
        <is>
          <t>avverkningsanmälan</t>
        </is>
      </c>
      <c r="C442" t="inlineStr">
        <is>
          <t>Föryngringsavverkning</t>
        </is>
      </c>
      <c r="D442" s="1" t="n">
        <v>45831</v>
      </c>
      <c r="E442" s="1" t="n">
        <v>46217</v>
      </c>
      <c r="F442" t="inlineStr">
        <is>
          <t>VÄSTRA GÖTALANDS LÄN</t>
        </is>
      </c>
      <c r="G442" t="inlineStr">
        <is>
          <t>DALS-ED</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32770-2025</t>
        </is>
      </c>
      <c r="B443" t="inlineStr">
        <is>
          <t>avverkningsanmälan</t>
        </is>
      </c>
      <c r="C443" t="inlineStr">
        <is>
          <t>Föryngringsavverkning</t>
        </is>
      </c>
      <c r="D443" s="1" t="n">
        <v>45839</v>
      </c>
      <c r="E443" s="1" t="n">
        <v>46217</v>
      </c>
      <c r="F443" t="inlineStr">
        <is>
          <t>VÄSTRA GÖTALANDS LÄN</t>
        </is>
      </c>
      <c r="G443" t="inlineStr">
        <is>
          <t>DALS-ED</t>
        </is>
      </c>
      <c r="H443" t="inlineStr">
        <is>
          <t>Övriga Aktiebolag</t>
        </is>
      </c>
      <c r="I443" t="n">
        <v>6.3</v>
      </c>
      <c r="J443" t="n">
        <v>0</v>
      </c>
      <c r="K443" t="n">
        <v>0</v>
      </c>
      <c r="L443" t="n">
        <v>0</v>
      </c>
      <c r="M443" t="n">
        <v>0</v>
      </c>
      <c r="N443" t="n">
        <v>0</v>
      </c>
      <c r="O443" t="n">
        <v>0</v>
      </c>
      <c r="P443" t="n">
        <v>0</v>
      </c>
      <c r="Q443" t="n">
        <v>0</v>
      </c>
      <c r="R443" t="n">
        <v>0</v>
      </c>
      <c r="S443" t="n">
        <v>0</v>
      </c>
      <c r="T443" t="n">
        <v>0</v>
      </c>
      <c r="U443" s="2" t="inlineStr"/>
    </row>
    <row r="444" ht="15" customHeight="1">
      <c r="A444" t="inlineStr">
        <is>
          <t>A 33967-2025</t>
        </is>
      </c>
      <c r="B444" t="inlineStr">
        <is>
          <t>avverkningsanmälan</t>
        </is>
      </c>
      <c r="C444" t="inlineStr">
        <is>
          <t>Föryngringsavverkning</t>
        </is>
      </c>
      <c r="D444" s="1" t="n">
        <v>45842</v>
      </c>
      <c r="E444" s="1" t="n">
        <v>46217</v>
      </c>
      <c r="F444" t="inlineStr">
        <is>
          <t>VÄSTRA GÖTALANDS LÄN</t>
        </is>
      </c>
      <c r="G444" t="inlineStr">
        <is>
          <t>DALS-ED</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9039-2025</t>
        </is>
      </c>
      <c r="B445" t="inlineStr">
        <is>
          <t>avverkningsanmälan</t>
        </is>
      </c>
      <c r="C445" t="inlineStr">
        <is>
          <t>Föryngringsavverkning</t>
        </is>
      </c>
      <c r="D445" s="1" t="n">
        <v>45713</v>
      </c>
      <c r="E445" s="1" t="n">
        <v>46217</v>
      </c>
      <c r="F445" t="inlineStr">
        <is>
          <t>VÄSTRA GÖTALANDS LÄN</t>
        </is>
      </c>
      <c r="G445" t="inlineStr">
        <is>
          <t>DALS-ED</t>
        </is>
      </c>
      <c r="I445" t="n">
        <v>5.5</v>
      </c>
      <c r="J445" t="n">
        <v>0</v>
      </c>
      <c r="K445" t="n">
        <v>0</v>
      </c>
      <c r="L445" t="n">
        <v>0</v>
      </c>
      <c r="M445" t="n">
        <v>0</v>
      </c>
      <c r="N445" t="n">
        <v>0</v>
      </c>
      <c r="O445" t="n">
        <v>0</v>
      </c>
      <c r="P445" t="n">
        <v>0</v>
      </c>
      <c r="Q445" t="n">
        <v>0</v>
      </c>
      <c r="R445" t="n">
        <v>0</v>
      </c>
      <c r="S445" t="n">
        <v>0</v>
      </c>
      <c r="T445" t="n">
        <v>0</v>
      </c>
      <c r="U445" s="2" t="inlineStr"/>
    </row>
    <row r="446" ht="15" customHeight="1">
      <c r="A446" t="inlineStr">
        <is>
          <t>A 34874-2025</t>
        </is>
      </c>
      <c r="B446" t="inlineStr">
        <is>
          <t>avverkningsanmälan</t>
        </is>
      </c>
      <c r="C446" t="inlineStr">
        <is>
          <t>Föryngringsavverkning</t>
        </is>
      </c>
      <c r="D446" s="1" t="n">
        <v>45849</v>
      </c>
      <c r="E446" s="1" t="n">
        <v>46217</v>
      </c>
      <c r="F446" t="inlineStr">
        <is>
          <t>VÄSTRA GÖTALANDS LÄN</t>
        </is>
      </c>
      <c r="G446" t="inlineStr">
        <is>
          <t>DALS-ED</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31754-2022</t>
        </is>
      </c>
      <c r="B447" t="inlineStr">
        <is>
          <t>avverkningsanmälan</t>
        </is>
      </c>
      <c r="C447" t="inlineStr">
        <is>
          <t>Föryngringsavverkning</t>
        </is>
      </c>
      <c r="D447" s="1" t="n">
        <v>44776</v>
      </c>
      <c r="E447" s="1" t="n">
        <v>46217</v>
      </c>
      <c r="F447" t="inlineStr">
        <is>
          <t>VÄSTRA GÖTALANDS LÄN</t>
        </is>
      </c>
      <c r="G447" t="inlineStr">
        <is>
          <t>DALS-ED</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A 12975-2025</t>
        </is>
      </c>
      <c r="B448" t="inlineStr">
        <is>
          <t>avverkningsanmälan</t>
        </is>
      </c>
      <c r="C448" t="inlineStr">
        <is>
          <t>Föryngringsavverkning</t>
        </is>
      </c>
      <c r="D448" s="1" t="n">
        <v>45734</v>
      </c>
      <c r="E448" s="1" t="n">
        <v>46217</v>
      </c>
      <c r="F448" t="inlineStr">
        <is>
          <t>VÄSTRA GÖTALANDS LÄN</t>
        </is>
      </c>
      <c r="G448" t="inlineStr">
        <is>
          <t>DALS-ED</t>
        </is>
      </c>
      <c r="I448" t="n">
        <v>4.6</v>
      </c>
      <c r="J448" t="n">
        <v>0</v>
      </c>
      <c r="K448" t="n">
        <v>0</v>
      </c>
      <c r="L448" t="n">
        <v>0</v>
      </c>
      <c r="M448" t="n">
        <v>0</v>
      </c>
      <c r="N448" t="n">
        <v>0</v>
      </c>
      <c r="O448" t="n">
        <v>0</v>
      </c>
      <c r="P448" t="n">
        <v>0</v>
      </c>
      <c r="Q448" t="n">
        <v>0</v>
      </c>
      <c r="R448" t="n">
        <v>0</v>
      </c>
      <c r="S448" t="n">
        <v>0</v>
      </c>
      <c r="T448" t="n">
        <v>0</v>
      </c>
      <c r="U448" s="2" t="inlineStr"/>
    </row>
    <row r="449" ht="15" customHeight="1">
      <c r="A449" t="inlineStr">
        <is>
          <t>S 1024-2022</t>
        </is>
      </c>
      <c r="B449" t="inlineStr">
        <is>
          <t>samrådsanmälan</t>
        </is>
      </c>
      <c r="C449" t="inlineStr">
        <is>
          <t>Åtgärd i nyckelbiotop</t>
        </is>
      </c>
      <c r="D449" s="1" t="n">
        <v>44613</v>
      </c>
      <c r="E449" s="1" t="n">
        <v>46217</v>
      </c>
      <c r="F449" t="inlineStr">
        <is>
          <t>VÄSTRA GÖTALANDS LÄN</t>
        </is>
      </c>
      <c r="G449" t="inlineStr">
        <is>
          <t>DALS-ED</t>
        </is>
      </c>
      <c r="H449" t="inlineStr">
        <is>
          <t>Kommuner</t>
        </is>
      </c>
      <c r="I449" t="n">
        <v>0.2</v>
      </c>
      <c r="J449" t="n">
        <v>0</v>
      </c>
      <c r="K449" t="n">
        <v>0</v>
      </c>
      <c r="L449" t="n">
        <v>0</v>
      </c>
      <c r="M449" t="n">
        <v>0</v>
      </c>
      <c r="N449" t="n">
        <v>0</v>
      </c>
      <c r="O449" t="n">
        <v>0</v>
      </c>
      <c r="P449" t="n">
        <v>0</v>
      </c>
      <c r="Q449" t="n">
        <v>0</v>
      </c>
      <c r="R449" t="n">
        <v>0</v>
      </c>
      <c r="S449" t="n">
        <v>0</v>
      </c>
      <c r="T449" t="n">
        <v>0</v>
      </c>
      <c r="U449" s="2" t="inlineStr"/>
    </row>
    <row r="450" ht="15" customHeight="1">
      <c r="A450" t="inlineStr">
        <is>
          <t>S 4983-2022</t>
        </is>
      </c>
      <c r="B450" t="inlineStr">
        <is>
          <t>samrådsanmälan</t>
        </is>
      </c>
      <c r="C450" t="inlineStr">
        <is>
          <t>Annan skogsbruksåtgärd</t>
        </is>
      </c>
      <c r="D450" s="1" t="n">
        <v>44812</v>
      </c>
      <c r="E450" s="1" t="n">
        <v>46217</v>
      </c>
      <c r="F450" t="inlineStr">
        <is>
          <t>VÄSTRA GÖTALANDS LÄN</t>
        </is>
      </c>
      <c r="G450" t="inlineStr">
        <is>
          <t>DALS-ED</t>
        </is>
      </c>
      <c r="H450" t="inlineStr">
        <is>
          <t>Kyrkan</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S 4471-2021</t>
        </is>
      </c>
      <c r="B451" t="inlineStr">
        <is>
          <t>samrådsanmälan</t>
        </is>
      </c>
      <c r="C451" t="inlineStr">
        <is>
          <t>Skogsbilväg</t>
        </is>
      </c>
      <c r="D451" s="1" t="n">
        <v>44399</v>
      </c>
      <c r="E451" s="1" t="n">
        <v>46217</v>
      </c>
      <c r="F451" t="inlineStr">
        <is>
          <t>VÄSTRA GÖTALANDS LÄN</t>
        </is>
      </c>
      <c r="G451" t="inlineStr">
        <is>
          <t>DALS-ED</t>
        </is>
      </c>
      <c r="I451" t="n">
        <v>0.4</v>
      </c>
      <c r="J451" t="n">
        <v>0</v>
      </c>
      <c r="K451" t="n">
        <v>0</v>
      </c>
      <c r="L451" t="n">
        <v>0</v>
      </c>
      <c r="M451" t="n">
        <v>0</v>
      </c>
      <c r="N451" t="n">
        <v>0</v>
      </c>
      <c r="O451" t="n">
        <v>0</v>
      </c>
      <c r="P451" t="n">
        <v>0</v>
      </c>
      <c r="Q451" t="n">
        <v>0</v>
      </c>
      <c r="R451" t="n">
        <v>0</v>
      </c>
      <c r="S451" t="n">
        <v>0</v>
      </c>
      <c r="T451" t="n">
        <v>0</v>
      </c>
      <c r="U451" s="2" t="inlineStr"/>
    </row>
    <row r="452" ht="15" customHeight="1">
      <c r="A452" t="inlineStr">
        <is>
          <t>S 2178-2021</t>
        </is>
      </c>
      <c r="B452" t="inlineStr">
        <is>
          <t>samrådsanmälan</t>
        </is>
      </c>
      <c r="C452" t="inlineStr">
        <is>
          <t>Skogsbilväg</t>
        </is>
      </c>
      <c r="D452" s="1" t="n">
        <v>44448</v>
      </c>
      <c r="E452" s="1" t="n">
        <v>46217</v>
      </c>
      <c r="F452" t="inlineStr">
        <is>
          <t>VÄSTRA GÖTALANDS LÄN</t>
        </is>
      </c>
      <c r="G452" t="inlineStr">
        <is>
          <t>DALS-ED</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S 6073-2021</t>
        </is>
      </c>
      <c r="B453" t="inlineStr">
        <is>
          <t>samrådsanmälan</t>
        </is>
      </c>
      <c r="C453" t="inlineStr">
        <is>
          <t>Basväg</t>
        </is>
      </c>
      <c r="D453" s="1" t="n">
        <v>44442</v>
      </c>
      <c r="E453" s="1" t="n">
        <v>46217</v>
      </c>
      <c r="F453" t="inlineStr">
        <is>
          <t>VÄSTRA GÖTALANDS LÄN</t>
        </is>
      </c>
      <c r="G453" t="inlineStr">
        <is>
          <t>DALS-ED</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S 78-2025</t>
        </is>
      </c>
      <c r="B454" t="inlineStr">
        <is>
          <t>samrådsanmälan</t>
        </is>
      </c>
      <c r="C454" t="inlineStr">
        <is>
          <t>Annan skogsbruksåtgärd</t>
        </is>
      </c>
      <c r="D454" s="1" t="n">
        <v>45670</v>
      </c>
      <c r="E454" s="1" t="n">
        <v>46217</v>
      </c>
      <c r="F454" t="inlineStr">
        <is>
          <t>VÄSTRA GÖTALANDS LÄN</t>
        </is>
      </c>
      <c r="G454" t="inlineStr">
        <is>
          <t>DALS-ED</t>
        </is>
      </c>
      <c r="I454" t="n">
        <v>0.2</v>
      </c>
      <c r="J454" t="n">
        <v>0</v>
      </c>
      <c r="K454" t="n">
        <v>0</v>
      </c>
      <c r="L454" t="n">
        <v>0</v>
      </c>
      <c r="M454" t="n">
        <v>0</v>
      </c>
      <c r="N454" t="n">
        <v>0</v>
      </c>
      <c r="O454" t="n">
        <v>0</v>
      </c>
      <c r="P454" t="n">
        <v>0</v>
      </c>
      <c r="Q454" t="n">
        <v>0</v>
      </c>
      <c r="R454" t="n">
        <v>0</v>
      </c>
      <c r="S454" t="n">
        <v>0</v>
      </c>
      <c r="T454" t="n">
        <v>0</v>
      </c>
      <c r="U454" s="2" t="inlineStr"/>
    </row>
    <row r="455" ht="15" customHeight="1">
      <c r="A455" t="inlineStr">
        <is>
          <t>S 4474-2021</t>
        </is>
      </c>
      <c r="B455" t="inlineStr">
        <is>
          <t>samrådsanmälan</t>
        </is>
      </c>
      <c r="C455" t="inlineStr">
        <is>
          <t>Skogsbilväg</t>
        </is>
      </c>
      <c r="D455" s="1" t="n">
        <v>44399</v>
      </c>
      <c r="E455" s="1" t="n">
        <v>46217</v>
      </c>
      <c r="F455" t="inlineStr">
        <is>
          <t>VÄSTRA GÖTALANDS LÄN</t>
        </is>
      </c>
      <c r="G455" t="inlineStr">
        <is>
          <t>DALS-ED</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S 6214-2021</t>
        </is>
      </c>
      <c r="B456" t="inlineStr">
        <is>
          <t>samrådsanmälan</t>
        </is>
      </c>
      <c r="C456" t="inlineStr">
        <is>
          <t>Skogsbilväg</t>
        </is>
      </c>
      <c r="D456" s="1" t="n">
        <v>44446</v>
      </c>
      <c r="E456" s="1" t="n">
        <v>46217</v>
      </c>
      <c r="F456" t="inlineStr">
        <is>
          <t>VÄSTRA GÖTALANDS LÄN</t>
        </is>
      </c>
      <c r="G456" t="inlineStr">
        <is>
          <t>DALS-ED</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S 2720-2024</t>
        </is>
      </c>
      <c r="B457" t="inlineStr">
        <is>
          <t>samrådsanmälan</t>
        </is>
      </c>
      <c r="C457" t="inlineStr">
        <is>
          <t>Askåterföring</t>
        </is>
      </c>
      <c r="D457" s="1" t="n">
        <v>45483</v>
      </c>
      <c r="E457" s="1" t="n">
        <v>46217</v>
      </c>
      <c r="F457" t="inlineStr">
        <is>
          <t>VÄSTRA GÖTALANDS LÄN</t>
        </is>
      </c>
      <c r="G457" t="inlineStr">
        <is>
          <t>DALS-ED</t>
        </is>
      </c>
      <c r="I457" t="n">
        <v>22.1</v>
      </c>
      <c r="J457" t="n">
        <v>0</v>
      </c>
      <c r="K457" t="n">
        <v>0</v>
      </c>
      <c r="L457" t="n">
        <v>0</v>
      </c>
      <c r="M457" t="n">
        <v>0</v>
      </c>
      <c r="N457" t="n">
        <v>0</v>
      </c>
      <c r="O457" t="n">
        <v>0</v>
      </c>
      <c r="P457" t="n">
        <v>0</v>
      </c>
      <c r="Q457" t="n">
        <v>0</v>
      </c>
      <c r="R457" t="n">
        <v>0</v>
      </c>
      <c r="S457" t="n">
        <v>0</v>
      </c>
      <c r="T457" t="n">
        <v>0</v>
      </c>
      <c r="U457" s="2" t="inlineStr"/>
    </row>
    <row r="458">
      <c r="A458" t="inlineStr">
        <is>
          <t>S 680-2025</t>
        </is>
      </c>
      <c r="B458" t="inlineStr">
        <is>
          <t>samrådsanmälan</t>
        </is>
      </c>
      <c r="C458" t="inlineStr">
        <is>
          <t>Annan skogsbruksåtgärd</t>
        </is>
      </c>
      <c r="D458" s="1" t="n">
        <v>45717</v>
      </c>
      <c r="E458" s="1" t="n">
        <v>46217</v>
      </c>
      <c r="F458" t="inlineStr">
        <is>
          <t>VÄSTRA GÖTALANDS LÄN</t>
        </is>
      </c>
      <c r="G458" t="inlineStr">
        <is>
          <t>DALS-ED</t>
        </is>
      </c>
      <c r="I458" t="n">
        <v>10.4</v>
      </c>
      <c r="J458" t="n">
        <v>0</v>
      </c>
      <c r="K458" t="n">
        <v>0</v>
      </c>
      <c r="L458" t="n">
        <v>0</v>
      </c>
      <c r="M458" t="n">
        <v>0</v>
      </c>
      <c r="N458" t="n">
        <v>0</v>
      </c>
      <c r="O458" t="n">
        <v>0</v>
      </c>
      <c r="P458" t="n">
        <v>0</v>
      </c>
      <c r="Q458" t="n">
        <v>0</v>
      </c>
      <c r="R458" t="n">
        <v>0</v>
      </c>
      <c r="S458" t="n">
        <v>0</v>
      </c>
      <c r="T458" t="n">
        <v>0</v>
      </c>
      <c r="U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2026-07-14T09:02:03Z</dcterms:created>
  <dcterms:modified xmlns:dcterms="http://purl.org/dc/terms/" xmlns:xsi="http://www.w3.org/2001/XMLSchema-instance" xsi:type="dcterms:W3CDTF">2026-07-14T09:02:03Z</dcterms:modified>
</cp:coreProperties>
</file>